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6.xml" ContentType="application/vnd.openxmlformats-officedocument.drawing+xml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ENE" sheetId="1" r:id="rId4"/>
    <sheet name="FEB" sheetId="2" r:id="rId5"/>
    <sheet name="MAR" sheetId="3" r:id="rId6"/>
    <sheet name="ABR" sheetId="4" r:id="rId7"/>
    <sheet name="MAY" sheetId="5" r:id="rId8"/>
    <sheet name="JUN" sheetId="6" r:id="rId9"/>
    <sheet name="JUL" sheetId="7" r:id="rId10"/>
    <sheet name="AGO" sheetId="8" r:id="rId11"/>
    <sheet name="SEP" sheetId="9" r:id="rId12"/>
    <sheet name="OCT" sheetId="10" r:id="rId13"/>
    <sheet name="NOV" sheetId="11" r:id="rId14"/>
    <sheet name="DIC" sheetId="12" r:id="rId15"/>
    <sheet name="Total 2026" sheetId="13" r:id="rId16"/>
    <sheet name="Modelo" sheetId="14" r:id="rId17"/>
    <sheet name="Hoja1" sheetId="15" r:id="rId18"/>
    <sheet name="Proyección 2025" sheetId="16" r:id="rId19"/>
  </sheets>
  <definedNames>
    <definedName name="Z_DAF976D5_FCCB_4417_8719_3CCA499BF400_.wvu.Cols" localSheetId="3">ABR!$K:$K,ABR!$T:$T,ABR!$W:$W,ABR!#REF!</definedName>
    <definedName name="Z_DAF976D5_FCCB_4417_8719_3CCA499BF400_.wvu.Cols" localSheetId="7">AGO!$K:$K,AGO!$T:$T,AGO!$W:$W,AGO!#REF!</definedName>
    <definedName name="Z_DAF976D5_FCCB_4417_8719_3CCA499BF400_.wvu.Cols" localSheetId="11">DIC!$K:$K,DIC!$T:$T,DIC!$W:$W,DIC!#REF!</definedName>
    <definedName name="Z_DAF976D5_FCCB_4417_8719_3CCA499BF400_.wvu.Cols" localSheetId="0">ENE!$K:$K,ENE!$T:$T,ENE!$W:$W,ENE!#REF!</definedName>
    <definedName name="Z_DAF976D5_FCCB_4417_8719_3CCA499BF400_.wvu.Cols" localSheetId="1">FEB!$K:$K,FEB!$T:$T,FEB!$W:$W,FEB!#REF!</definedName>
    <definedName name="Z_DAF976D5_FCCB_4417_8719_3CCA499BF400_.wvu.Cols" localSheetId="6">JUL!$K:$K,JUL!$T:$T,JUL!$W:$W,JUL!#REF!</definedName>
    <definedName name="Z_DAF976D5_FCCB_4417_8719_3CCA499BF400_.wvu.Cols" localSheetId="5">JUN!$K:$K,JUN!$T:$T,JUN!$W:$W,JUN!#REF!</definedName>
    <definedName name="Z_DAF976D5_FCCB_4417_8719_3CCA499BF400_.wvu.Cols" localSheetId="2">MAR!$K:$K,MAR!$T:$T,MAR!$W:$W,MAR!#REF!</definedName>
    <definedName name="Z_DAF976D5_FCCB_4417_8719_3CCA499BF400_.wvu.Cols" localSheetId="4">MAY!$K:$K,MAY!$T:$T,MAY!$W:$W,MAY!#REF!</definedName>
    <definedName name="Z_DAF976D5_FCCB_4417_8719_3CCA499BF400_.wvu.Cols" localSheetId="13">Modelo!$K:$K,Modelo!$P:$P,Modelo!$R:$R,Modelo!#REF!</definedName>
    <definedName name="Z_DAF976D5_FCCB_4417_8719_3CCA499BF400_.wvu.Cols" localSheetId="10">NOV!$K:$K,NOV!$T:$T,NOV!$W:$W,NOV!#REF!</definedName>
    <definedName name="Z_DAF976D5_FCCB_4417_8719_3CCA499BF400_.wvu.Cols" localSheetId="9">OCT!$K:$K,OCT!$T:$T,OCT!$W:$W,OCT!#REF!</definedName>
    <definedName name="Z_DAF976D5_FCCB_4417_8719_3CCA499BF400_.wvu.Cols" localSheetId="8">SEP!$K:$K,SEP!$T:$T,SEP!$W:$W,SEP!#REF!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Brandon Moreno. Brandon Moreno</author>
  </authors>
  <commentList>
    <comment ref="S12" authorId="0">
      <text>
        <r>
          <rPr>
            <rFont val="Arial"/>
            <b val="false"/>
            <i val="false"/>
            <strike val="false"/>
            <color rgb="FF000000"/>
            <sz val="10"/>
            <u val="none"/>
          </rPr>
          <t xml:space="preserve"/>
        </r>
      </text>
    </comment>
  </commentList>
</comments>
</file>

<file path=xl/comments4.xml><?xml version="1.0" encoding="utf-8"?>
<comments xmlns="http://schemas.openxmlformats.org/spreadsheetml/2006/main">
  <authors>
    <author>Brandon Moreno. Brandon Moreno</author>
  </authors>
  <commentList>
    <comment ref="S1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Brandon Moreno. Brandon Moreno: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Harina T1 en bulto x 50
</t>
        </r>
      </text>
    </comment>
  </commentList>
</comments>
</file>

<file path=xl/comments5.xml><?xml version="1.0" encoding="utf-8"?>
<comments xmlns="http://schemas.openxmlformats.org/spreadsheetml/2006/main">
  <authors>
    <author>Brandon Moreno. Brandon Moreno</author>
  </authors>
  <commentList>
    <comment ref="S1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Brandon Moreno. Brandon Moreno: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Harina T1 en bulto x 50
</t>
        </r>
      </text>
    </comment>
  </commentList>
</comments>
</file>

<file path=xl/comments6.xml><?xml version="1.0" encoding="utf-8"?>
<comments xmlns="http://schemas.openxmlformats.org/spreadsheetml/2006/main">
  <authors>
    <author>Brandon Moreno. Brandon Moreno</author>
  </authors>
  <commentList>
    <comment ref="S1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Brandon Moreno. Brandon Moreno: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Harina T1 en bulto x 50
</t>
        </r>
      </text>
    </comment>
  </commentList>
</comments>
</file>

<file path=xl/comments7.xml><?xml version="1.0" encoding="utf-8"?>
<comments xmlns="http://schemas.openxmlformats.org/spreadsheetml/2006/main">
  <authors>
    <author>Brandon Moreno. Brandon Moreno</author>
  </authors>
  <commentList>
    <comment ref="S1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Brandon Moreno. Brandon Moreno: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Harina T1 en bulto x 50
</t>
        </r>
      </text>
    </comment>
  </commentList>
</comments>
</file>

<file path=xl/comments8.xml><?xml version="1.0" encoding="utf-8"?>
<comments xmlns="http://schemas.openxmlformats.org/spreadsheetml/2006/main">
  <authors>
    <author>Brandon Moreno. Brandon Moreno</author>
  </authors>
  <commentList>
    <comment ref="S1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Brandon Moreno. Brandon Moreno: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Harina T1 en bulto x 50
</t>
        </r>
      </text>
    </comment>
  </commentList>
</comments>
</file>

<file path=xl/comments9.xml><?xml version="1.0" encoding="utf-8"?>
<comments xmlns="http://schemas.openxmlformats.org/spreadsheetml/2006/main">
  <authors>
    <author>Brandon Moreno. Brandon Moreno</author>
  </authors>
  <commentList>
    <comment ref="S1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Brandon Moreno. Brandon Moreno: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Harina T1 en bulto x 50
</t>
        </r>
      </text>
    </comment>
  </commentList>
</comments>
</file>

<file path=xl/comments10.xml><?xml version="1.0" encoding="utf-8"?>
<comments xmlns="http://schemas.openxmlformats.org/spreadsheetml/2006/main">
  <authors>
    <author>Brandon Moreno. Brandon Moreno</author>
  </authors>
  <commentList>
    <comment ref="S1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Brandon Moreno. Brandon Moreno: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Harina T1 en bulto x 50
</t>
        </r>
      </text>
    </comment>
  </commentList>
</comments>
</file>

<file path=xl/comments11.xml><?xml version="1.0" encoding="utf-8"?>
<comments xmlns="http://schemas.openxmlformats.org/spreadsheetml/2006/main">
  <authors>
    <author>Brandon Moreno. Brandon Moreno</author>
  </authors>
  <commentList>
    <comment ref="S1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Brandon Moreno. Brandon Moreno: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Harina T1 en bulto x 50
</t>
        </r>
      </text>
    </comment>
  </commentList>
</comments>
</file>

<file path=xl/comments12.xml><?xml version="1.0" encoding="utf-8"?>
<comments xmlns="http://schemas.openxmlformats.org/spreadsheetml/2006/main">
  <authors>
    <author>Brandon Moreno. Brandon Moreno</author>
  </authors>
  <commentList>
    <comment ref="S1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Brandon Moreno. Brandon Moreno: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Harina T1 en bulto x 50
</t>
        </r>
      </text>
    </comment>
  </commentList>
</comments>
</file>

<file path=xl/sharedStrings.xml><?xml version="1.0" encoding="utf-8"?>
<sst xmlns="http://schemas.openxmlformats.org/spreadsheetml/2006/main" uniqueCount="260">
  <si>
    <t>Producción</t>
  </si>
  <si>
    <t>Extracción</t>
  </si>
  <si>
    <t>Indicadores</t>
  </si>
  <si>
    <t xml:space="preserve">HARINA EN BULTO </t>
  </si>
  <si>
    <t>HARINA GRANEL</t>
  </si>
  <si>
    <t>P. EXP</t>
  </si>
  <si>
    <t>REPASO</t>
  </si>
  <si>
    <t>ESPECIAL</t>
  </si>
  <si>
    <t>SUBPRODUCTO</t>
  </si>
  <si>
    <t xml:space="preserve">EXTRACION </t>
  </si>
  <si>
    <t>HORAS</t>
  </si>
  <si>
    <t>INDICACORES MOLINO</t>
  </si>
  <si>
    <t>MOJADORA</t>
  </si>
  <si>
    <t>EQUIPOS ELECTRONICOS</t>
  </si>
  <si>
    <t>Dia</t>
  </si>
  <si>
    <t>Fecha</t>
  </si>
  <si>
    <t>Extrapan
 50</t>
  </si>
  <si>
    <t>Extrapan
25</t>
  </si>
  <si>
    <t>Extrapan
10</t>
  </si>
  <si>
    <t>Artesanal 
50</t>
  </si>
  <si>
    <t>Artesanal
25</t>
  </si>
  <si>
    <t>Natural 
50</t>
  </si>
  <si>
    <t>Fuerte
25</t>
  </si>
  <si>
    <t>Fuerte exp
25</t>
  </si>
  <si>
    <t>Exclusiva
50</t>
  </si>
  <si>
    <t>Exclusiva 
25</t>
  </si>
  <si>
    <t>S. Sal           25</t>
  </si>
  <si>
    <t>Harina Tortas y Ponques</t>
  </si>
  <si>
    <t>Harina Galeras Ligera</t>
  </si>
  <si>
    <t xml:space="preserve">H. Manitova </t>
  </si>
  <si>
    <t>ESPECIAL
50</t>
  </si>
  <si>
    <t>Harina de alta proteina x 1
G</t>
  </si>
  <si>
    <t>Harina de baja proteina x 1</t>
  </si>
  <si>
    <t>ARTESANAL X 1
G</t>
  </si>
  <si>
    <t xml:space="preserve">H. espcial x 25
</t>
  </si>
  <si>
    <t>+
Repaso</t>
  </si>
  <si>
    <t>-
Reproceso</t>
  </si>
  <si>
    <t>Germen 
25</t>
  </si>
  <si>
    <t>Semola 
25</t>
  </si>
  <si>
    <t>Grano 
entero 25</t>
  </si>
  <si>
    <t>Salvado 
25</t>
  </si>
  <si>
    <t>Mogolla 
40</t>
  </si>
  <si>
    <t>Segunda  
50</t>
  </si>
  <si>
    <t>Total
trigo</t>
  </si>
  <si>
    <t>Total
Bultos</t>
  </si>
  <si>
    <t>Harina</t>
  </si>
  <si>
    <t>Grano 
entero
partido</t>
  </si>
  <si>
    <t>Semola</t>
  </si>
  <si>
    <t>Molienda</t>
  </si>
  <si>
    <t>moje</t>
  </si>
  <si>
    <t>Horas
varada</t>
  </si>
  <si>
    <t>Molido/
Mojado</t>
  </si>
  <si>
    <t>Capacidad
TM. hora</t>
  </si>
  <si>
    <t>Capacidad
TM. Día</t>
  </si>
  <si>
    <t>%
Utilizado</t>
  </si>
  <si>
    <t>Bultos
Hora</t>
  </si>
  <si>
    <t>capacidad
TM. hora</t>
  </si>
  <si>
    <t>MYFC</t>
  </si>
  <si>
    <t>Bascula Trigo</t>
  </si>
  <si>
    <t>Bascula Harina</t>
  </si>
  <si>
    <t>Agua
M³</t>
  </si>
  <si>
    <t>Bascula Mejorante A</t>
  </si>
  <si>
    <t>Bascula Mejorante B</t>
  </si>
  <si>
    <t>Flowbalacer
1</t>
  </si>
  <si>
    <t>Flowbalacer
2</t>
  </si>
  <si>
    <t>Flowbalacer
3</t>
  </si>
  <si>
    <t>Flowbalacer
4</t>
  </si>
  <si>
    <t>Total</t>
  </si>
  <si>
    <t>Promedio</t>
  </si>
  <si>
    <t>Cambio de Mezcla</t>
  </si>
  <si>
    <t xml:space="preserve"> Total Kg.</t>
  </si>
  <si>
    <t xml:space="preserve"> Total Tm.</t>
  </si>
  <si>
    <t>Grano entero</t>
  </si>
  <si>
    <t xml:space="preserve">Bio Convercion </t>
  </si>
  <si>
    <t>Kamut</t>
  </si>
  <si>
    <t xml:space="preserve">Trigo entero </t>
  </si>
  <si>
    <t>Produccion</t>
  </si>
  <si>
    <t xml:space="preserve">% rendimiento </t>
  </si>
  <si>
    <t>Energia</t>
  </si>
  <si>
    <t>ART</t>
  </si>
  <si>
    <t>PEDIDO PUERTO</t>
  </si>
  <si>
    <t>SAP</t>
  </si>
  <si>
    <t>Inicial</t>
  </si>
  <si>
    <t>CONSUMOS</t>
  </si>
  <si>
    <t>FINAL</t>
  </si>
  <si>
    <t>tm trigo:</t>
  </si>
  <si>
    <t>Precio Kw:</t>
  </si>
  <si>
    <t>Blt harina:</t>
  </si>
  <si>
    <t>Kw/tm trigo:</t>
  </si>
  <si>
    <t>Tm harina:</t>
  </si>
  <si>
    <t>Kw/tm harina:</t>
  </si>
  <si>
    <t>HRW</t>
  </si>
  <si>
    <t>Extraccion:</t>
  </si>
  <si>
    <t>KW:</t>
  </si>
  <si>
    <t>SRW</t>
  </si>
  <si>
    <t>Hrs molienda:</t>
  </si>
  <si>
    <t>KVAR:</t>
  </si>
  <si>
    <t>BIO</t>
  </si>
  <si>
    <t>Hrs varada:</t>
  </si>
  <si>
    <t>Reactiva:</t>
  </si>
  <si>
    <t>% dia utilizado:</t>
  </si>
  <si>
    <t>Precio:</t>
  </si>
  <si>
    <t>Capacidad utilizada:</t>
  </si>
  <si>
    <t>Hz neumatico:</t>
  </si>
  <si>
    <t>Basculas</t>
  </si>
  <si>
    <t>Capacidad:</t>
  </si>
  <si>
    <t>Tm Trigo T1:</t>
  </si>
  <si>
    <t>tm</t>
  </si>
  <si>
    <t>Bultos hora:</t>
  </si>
  <si>
    <t xml:space="preserve">Granza: </t>
  </si>
  <si>
    <t>kg.</t>
  </si>
  <si>
    <t>Bascula Harina:</t>
  </si>
  <si>
    <t>Dias molienda:</t>
  </si>
  <si>
    <t xml:space="preserve">% </t>
  </si>
  <si>
    <t>MYCE</t>
  </si>
  <si>
    <t>AA</t>
  </si>
  <si>
    <t>Granozyme</t>
  </si>
  <si>
    <t>Alfa</t>
  </si>
  <si>
    <t xml:space="preserve">Total Ton de trig: </t>
  </si>
  <si>
    <t>grf</t>
  </si>
  <si>
    <t xml:space="preserve">TRIGO </t>
  </si>
  <si>
    <t>Ton. molidas/persona:</t>
  </si>
  <si>
    <t xml:space="preserve">Energia M.martillo </t>
  </si>
  <si>
    <t>Energia C.granel</t>
  </si>
  <si>
    <t>AGUA m3</t>
  </si>
  <si>
    <t>Valor tonelada/nomina:</t>
  </si>
  <si>
    <t xml:space="preserve">Ton Molidas </t>
  </si>
  <si>
    <t>Ton despachadas</t>
  </si>
  <si>
    <t>Valor ton/Horas extras:</t>
  </si>
  <si>
    <t xml:space="preserve">Tiempo de cargue </t>
  </si>
  <si>
    <t>Flowbalancer</t>
  </si>
  <si>
    <t>TRIGO</t>
  </si>
  <si>
    <t>HARINA</t>
  </si>
  <si>
    <t>CRWS</t>
  </si>
  <si>
    <t>Datos Generales</t>
  </si>
  <si>
    <t>CPS / HRW</t>
  </si>
  <si>
    <t>Personal de planta</t>
  </si>
  <si>
    <t>AMP</t>
  </si>
  <si>
    <t>Cuota de ventas</t>
  </si>
  <si>
    <t>KW/H</t>
  </si>
  <si>
    <t xml:space="preserve">OTROS </t>
  </si>
  <si>
    <t>Fisico</t>
  </si>
  <si>
    <t>Ventas reales</t>
  </si>
  <si>
    <t>KW Total</t>
  </si>
  <si>
    <t>% de cumplimiento Proy</t>
  </si>
  <si>
    <t xml:space="preserve">VALOR X HORA DE VARADA </t>
  </si>
  <si>
    <t>% de cumplimiento Real</t>
  </si>
  <si>
    <t>Mob</t>
  </si>
  <si>
    <t>Vitamina</t>
  </si>
  <si>
    <t>COP</t>
  </si>
  <si>
    <t>EXP</t>
  </si>
  <si>
    <t>Cif</t>
  </si>
  <si>
    <t>gr/blt</t>
  </si>
  <si>
    <t>gr.</t>
  </si>
  <si>
    <t>Datos Nomina Producción</t>
  </si>
  <si>
    <t>Nomina</t>
  </si>
  <si>
    <t>Horas extras</t>
  </si>
  <si>
    <t>CWRS</t>
  </si>
  <si>
    <t>CPS</t>
  </si>
  <si>
    <t>trigo</t>
  </si>
  <si>
    <t>Codigo</t>
  </si>
  <si>
    <t>%</t>
  </si>
  <si>
    <t>Extrapan
 25</t>
  </si>
  <si>
    <t>Extrapan
 10</t>
  </si>
  <si>
    <t>Artesanal 
25</t>
  </si>
  <si>
    <t>Exclusiva 25</t>
  </si>
  <si>
    <t>trigo granel</t>
  </si>
  <si>
    <t xml:space="preserve">Harina Manitoba
</t>
  </si>
  <si>
    <t>Toneladas para Forecast</t>
  </si>
  <si>
    <t>ADA</t>
  </si>
  <si>
    <t>T1G</t>
  </si>
  <si>
    <t>T3 G</t>
  </si>
  <si>
    <t>Mes</t>
  </si>
  <si>
    <t>S.Dulce       25</t>
  </si>
  <si>
    <t>T1
G</t>
  </si>
  <si>
    <t>T3
G</t>
  </si>
  <si>
    <t>ARTESANAL
G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</si>
  <si>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</si>
  <si>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</si>
  <si>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</si>
  <si>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</si>
  <si>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</si>
  <si>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</si>
  <si>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</si>
  <si>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</si>
  <si>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</si>
  <si>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</si>
  <si>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</si>
  <si>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</si>
  <si>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</si>
  <si>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 xml:space="preserve"> </t>
  </si>
  <si>
    <t>CPS/HRW</t>
  </si>
  <si>
    <t>Nacl/PAN</t>
  </si>
  <si>
    <t>Total trigo</t>
  </si>
  <si>
    <t>RE</t>
  </si>
  <si>
    <t>MOLINO</t>
  </si>
  <si>
    <t>CMEX
 50</t>
  </si>
  <si>
    <t>CMEX 
12,5</t>
  </si>
  <si>
    <t>CMPA 
50</t>
  </si>
  <si>
    <t>CMPA 
25</t>
  </si>
  <si>
    <t>SMGA 
50</t>
  </si>
  <si>
    <t>SMGA 
12,5</t>
  </si>
  <si>
    <t>SMFU
25</t>
  </si>
  <si>
    <t>SMFE
25</t>
  </si>
  <si>
    <t>SMTH 
50</t>
  </si>
  <si>
    <t>CMSD 
50</t>
  </si>
  <si>
    <t xml:space="preserve">CMSS 
50 </t>
  </si>
  <si>
    <t>SMTL
50</t>
  </si>
  <si>
    <t>CMAD 
50</t>
  </si>
  <si>
    <t>XXX
25</t>
  </si>
  <si>
    <t>Bio</t>
  </si>
  <si>
    <t>Consumos</t>
  </si>
  <si>
    <t>Final</t>
  </si>
  <si>
    <t>tm.</t>
  </si>
  <si>
    <t>blt</t>
  </si>
  <si>
    <t>horas</t>
  </si>
  <si>
    <t>Administracion:</t>
  </si>
  <si>
    <t>Ventas:</t>
  </si>
  <si>
    <t>Calidad:</t>
  </si>
  <si>
    <t>tm/dia</t>
  </si>
  <si>
    <t>Produccion:</t>
  </si>
  <si>
    <t>Trigo acondicionado:</t>
  </si>
  <si>
    <t>blt/hora</t>
  </si>
  <si>
    <t>Otros:</t>
  </si>
  <si>
    <t>Agua adicionada:</t>
  </si>
  <si>
    <r>
      <t xml:space="preserve">m</t>
    </r>
    <r>
      <rPr>
        <rFont val="Calibri"/>
        <b val="false"/>
        <i val="false"/>
        <strike val="false"/>
        <color rgb="FF000000"/>
        <sz val="10"/>
        <u val="none"/>
      </rPr>
      <t xml:space="preserve">³</t>
    </r>
  </si>
  <si>
    <t>dias</t>
  </si>
  <si>
    <t>Percal</t>
  </si>
  <si>
    <t>Pan</t>
  </si>
  <si>
    <t>Ciclos</t>
  </si>
  <si>
    <t>Contabilidad</t>
  </si>
  <si>
    <t>Gastos (5):</t>
  </si>
  <si>
    <t>G. Entero</t>
  </si>
  <si>
    <t>Oper. de admon (51):</t>
  </si>
  <si>
    <t>Oper. de ventas (52):</t>
  </si>
  <si>
    <t>No operacionales (53):</t>
  </si>
  <si>
    <t>Costos produccion (7):</t>
  </si>
  <si>
    <t>Materia prima (71):</t>
  </si>
  <si>
    <t>MOD (72):</t>
  </si>
  <si>
    <t>CIF (73):</t>
  </si>
  <si>
    <t>receta</t>
  </si>
  <si>
    <t>cwrs</t>
  </si>
  <si>
    <t>swr</t>
  </si>
  <si>
    <t>hrw</t>
  </si>
  <si>
    <t>extrapan</t>
  </si>
  <si>
    <t>artesanal</t>
  </si>
  <si>
    <t>natural</t>
  </si>
  <si>
    <t>exclusiva</t>
  </si>
  <si>
    <t>especial</t>
  </si>
  <si>
    <t>fuerte</t>
  </si>
  <si>
    <t>fuerte exportacion</t>
  </si>
  <si>
    <t>harina t1</t>
  </si>
  <si>
    <t>ORGANIZACIÓN MAS S.A.S.</t>
  </si>
  <si>
    <t>PROYECCIÓN MOLIENDA 2024</t>
  </si>
  <si>
    <t>Año 2024</t>
  </si>
  <si>
    <t>Bultos harina</t>
  </si>
  <si>
    <t>Segunda 
50</t>
  </si>
  <si>
    <t>Salvado 
30</t>
  </si>
  <si>
    <t>Toneladas
trigo</t>
  </si>
  <si>
    <t>Hellman R</t>
  </si>
</sst>
</file>

<file path=xl/styles.xml><?xml version="1.0" encoding="utf-8"?>
<styleSheet xmlns="http://schemas.openxmlformats.org/spreadsheetml/2006/main" xml:space="preserve">
  <numFmts count="11">
    <numFmt numFmtId="164" formatCode="0.0%"/>
    <numFmt numFmtId="165" formatCode="0.0"/>
    <numFmt numFmtId="166" formatCode="#,##0.0"/>
    <numFmt numFmtId="167" formatCode="_(&quot;$&quot;* #,##0_);_(&quot;$&quot;* \(#,##0\);_(&quot;$&quot;* &quot;-&quot;??_);_(@_)"/>
    <numFmt numFmtId="168" formatCode="_(&quot;$&quot;\ * #,##0_);_(&quot;$&quot;\ * \(#,##0\);_(&quot;$&quot;\ * &quot;-&quot;??_);_(@_)"/>
    <numFmt numFmtId="169" formatCode="_(* #,##0.00_);_(* \(#,##0.00\);_(* &quot;-&quot;??_);_(@_)"/>
    <numFmt numFmtId="170" formatCode="_(* #,##0_);_(* \(#,##0\);_(* &quot;-&quot;??_);_(@_)"/>
    <numFmt numFmtId="171" formatCode="_-* #,##0.00_-;\-* #,##0.00_-;_-* &quot;-&quot;??_-;_-@_-"/>
    <numFmt numFmtId="172" formatCode="_(&quot;$&quot;\ * #,##0.0_);_(&quot;$&quot;\ * \(#,##0.0\);_(&quot;$&quot;\ * &quot;-&quot;??_);_(@_)"/>
    <numFmt numFmtId="173" formatCode="0.000%"/>
    <numFmt numFmtId="174" formatCode="&quot;$&quot;\ #,##0_);\(&quot;$&quot;\ #,##0\)"/>
  </numFmts>
  <fonts count="58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7"/>
      <color rgb="FF8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theme="1"/>
      <name val="Arial"/>
    </font>
    <font>
      <b val="1"/>
      <i val="0"/>
      <strike val="0"/>
      <u val="none"/>
      <sz val="10"/>
      <color rgb="FFFF0000"/>
      <name val="Arial"/>
    </font>
    <font>
      <b val="1"/>
      <i val="0"/>
      <strike val="0"/>
      <u val="none"/>
      <sz val="10"/>
      <color rgb="FF00B050"/>
      <name val="Arial"/>
    </font>
    <font>
      <b val="1"/>
      <i val="0"/>
      <strike val="0"/>
      <u val="none"/>
      <sz val="10"/>
      <color rgb="FF806000"/>
      <name val="Arial"/>
    </font>
    <font>
      <b val="1"/>
      <i val="0"/>
      <strike val="0"/>
      <u val="none"/>
      <sz val="10"/>
      <color rgb="FF002060"/>
      <name val="Arial"/>
    </font>
    <font>
      <b val="1"/>
      <i val="0"/>
      <strike val="0"/>
      <u val="none"/>
      <sz val="10"/>
      <color rgb="FF7030A0"/>
      <name val="Arial"/>
    </font>
    <font>
      <b val="1"/>
      <i val="0"/>
      <strike val="0"/>
      <u val="none"/>
      <sz val="10"/>
      <color rgb="FF0000CC"/>
      <name val="Arial"/>
    </font>
    <font>
      <b val="1"/>
      <i val="0"/>
      <strike val="0"/>
      <u val="none"/>
      <sz val="10"/>
      <color rgb="FF548135"/>
      <name val="Arial"/>
    </font>
    <font>
      <b val="1"/>
      <i val="0"/>
      <strike val="0"/>
      <u val="none"/>
      <sz val="9"/>
      <color rgb="FF548135"/>
      <name val="Arial"/>
    </font>
    <font>
      <b val="1"/>
      <i val="0"/>
      <strike val="0"/>
      <u val="none"/>
      <sz val="8"/>
      <color theme="1"/>
      <name val="Arial"/>
    </font>
    <font>
      <b val="1"/>
      <i val="0"/>
      <strike val="0"/>
      <u val="none"/>
      <sz val="8"/>
      <color rgb="FF385724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92D050"/>
      <name val="Arial"/>
    </font>
    <font>
      <b val="0"/>
      <i val="0"/>
      <strike val="0"/>
      <u val="none"/>
      <sz val="10"/>
      <color theme="1"/>
      <name val="Arial"/>
    </font>
    <font>
      <b val="1"/>
      <i val="0"/>
      <strike val="0"/>
      <u val="none"/>
      <sz val="10"/>
      <color theme="0"/>
      <name val="Arial"/>
    </font>
    <font>
      <b val="0"/>
      <i val="0"/>
      <strike val="0"/>
      <u val="none"/>
      <sz val="10"/>
      <color rgb="FF000080"/>
      <name val="Arial"/>
    </font>
    <font>
      <b val="0"/>
      <i val="0"/>
      <strike val="0"/>
      <u val="none"/>
      <sz val="10"/>
      <color rgb="FF0070C0"/>
      <name val="Arial"/>
    </font>
    <font>
      <b val="0"/>
      <i val="0"/>
      <strike val="0"/>
      <u val="none"/>
      <sz val="7"/>
      <color rgb="FF00008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2060"/>
      <name val="Arial"/>
    </font>
    <font>
      <b val="1"/>
      <i val="0"/>
      <strike val="0"/>
      <u val="none"/>
      <sz val="12"/>
      <color rgb="FFFF0000"/>
      <name val="Arial"/>
    </font>
    <font>
      <b val="1"/>
      <i val="0"/>
      <strike val="0"/>
      <u val="none"/>
      <sz val="11"/>
      <color theme="1"/>
      <name val="Arial"/>
    </font>
    <font>
      <b val="1"/>
      <i val="0"/>
      <strike val="0"/>
      <u val="none"/>
      <sz val="11"/>
      <color rgb="FF0070C0"/>
      <name val="Arial"/>
    </font>
    <font>
      <b val="0"/>
      <i val="0"/>
      <strike val="0"/>
      <u val="none"/>
      <sz val="10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2"/>
      <color rgb="FF002060"/>
      <name val="Calibri"/>
      <scheme val="minor"/>
    </font>
    <font>
      <b val="0"/>
      <i val="0"/>
      <strike val="0"/>
      <u val="none"/>
      <sz val="12"/>
      <color rgb="FF0070C0"/>
      <name val="Calibri"/>
      <scheme val="minor"/>
    </font>
    <font>
      <b val="1"/>
      <i val="0"/>
      <strike val="0"/>
      <u val="none"/>
      <sz val="10"/>
      <color rgb="FF0070C0"/>
      <name val="Arial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0"/>
      <color rgb="FFFF00FF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BF8F00"/>
      <name val="Arial"/>
    </font>
    <font>
      <b val="1"/>
      <i val="0"/>
      <strike val="0"/>
      <u val="none"/>
      <sz val="10"/>
      <color rgb="FF0099FF"/>
      <name val="Arial"/>
    </font>
    <font>
      <b val="1"/>
      <i val="0"/>
      <strike val="0"/>
      <u val="none"/>
      <sz val="10"/>
      <color rgb="FF0FA907"/>
      <name val="Arial"/>
    </font>
    <font>
      <b val="1"/>
      <i val="0"/>
      <strike val="0"/>
      <u val="none"/>
      <sz val="10"/>
      <color rgb="FF0000FF"/>
      <name val="Arial"/>
    </font>
    <font>
      <b val="1"/>
      <i val="0"/>
      <strike val="0"/>
      <u val="none"/>
      <sz val="10"/>
      <color rgb="FFC55911"/>
      <name val="Arial"/>
    </font>
    <font>
      <b val="1"/>
      <i val="0"/>
      <strike val="0"/>
      <u val="none"/>
      <sz val="10"/>
      <color rgb="FF009900"/>
      <name val="Arial"/>
    </font>
    <font>
      <b val="1"/>
      <i val="0"/>
      <strike val="0"/>
      <u val="none"/>
      <sz val="8"/>
      <color rgb="FF7030A0"/>
      <name val="Arial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70C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rgb="FF0070C0"/>
      <name val="Arial"/>
    </font>
    <font>
      <b val="0"/>
      <i val="0"/>
      <strike val="0"/>
      <u val="none"/>
      <sz val="12"/>
      <color theme="8"/>
      <name val="Arial"/>
    </font>
    <font>
      <b val="0"/>
      <i val="0"/>
      <strike val="0"/>
      <u val="none"/>
      <sz val="10"/>
      <color theme="8"/>
      <name val="Arial"/>
    </font>
    <font>
      <b val="1"/>
      <i val="0"/>
      <strike val="0"/>
      <u val="none"/>
      <sz val="9"/>
      <color rgb="FF800000"/>
      <name val="Arial"/>
    </font>
    <font>
      <b val="0"/>
      <i val="0"/>
      <strike val="0"/>
      <u val="none"/>
      <sz val="8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DFEB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9DC3E6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FFD685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DBDBDB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E699"/>
        <bgColor rgb="FFFFFFFF"/>
      </patternFill>
    </fill>
  </fills>
  <borders count="258">
    <border>
      <left/>
      <right/>
      <top/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/>
      <diagonal/>
    </border>
    <border>
      <left/>
      <right style="thin">
        <color rgb="FF000080"/>
      </right>
      <top style="medium">
        <color rgb="FF000080"/>
      </top>
      <bottom/>
      <diagonal/>
    </border>
    <border>
      <left style="thin">
        <color rgb="FF000080"/>
      </left>
      <right style="thin">
        <color rgb="FF000080"/>
      </right>
      <top style="medium">
        <color rgb="FF000080"/>
      </top>
      <bottom/>
      <diagonal/>
    </border>
    <border>
      <left style="medium">
        <color rgb="FF000080"/>
      </left>
      <right style="thin">
        <color rgb="FF000080"/>
      </right>
      <top style="medium">
        <color rgb="FF000080"/>
      </top>
      <bottom/>
      <diagonal/>
    </border>
    <border>
      <left style="thin">
        <color rgb="FF000080"/>
      </left>
      <right style="medium">
        <color rgb="FF000080"/>
      </right>
      <top style="medium">
        <color rgb="FF000080"/>
      </top>
      <bottom/>
      <diagonal/>
    </border>
    <border>
      <left style="thin">
        <color rgb="FF0000FF"/>
      </left>
      <right style="thin">
        <color rgb="FF0000FF"/>
      </right>
      <top style="medium">
        <color rgb="FF000080"/>
      </top>
      <bottom/>
      <diagonal/>
    </border>
    <border>
      <left style="thin">
        <color rgb="FF0000FF"/>
      </left>
      <right style="medium">
        <color rgb="FF000080"/>
      </right>
      <top style="medium">
        <color rgb="FF000080"/>
      </top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n">
        <color rgb="FF0000FF"/>
      </bottom>
      <diagonal/>
    </border>
    <border>
      <left/>
      <right style="thin">
        <color rgb="FF000080"/>
      </right>
      <top style="thick">
        <color rgb="FF000080"/>
      </top>
      <bottom style="thin">
        <color rgb="FF000080"/>
      </bottom>
      <diagonal/>
    </border>
    <border>
      <left style="thin">
        <color rgb="FF000080"/>
      </left>
      <right style="thin">
        <color rgb="FF000080"/>
      </right>
      <top style="thick">
        <color rgb="FF000080"/>
      </top>
      <bottom style="thin">
        <color rgb="FF000080"/>
      </bottom>
      <diagonal/>
    </border>
    <border>
      <left style="medium">
        <color rgb="FF000080"/>
      </left>
      <right style="thin">
        <color rgb="FF000080"/>
      </right>
      <top style="thick">
        <color rgb="FF000080"/>
      </top>
      <bottom style="thin">
        <color rgb="FF000080"/>
      </bottom>
      <diagonal/>
    </border>
    <border>
      <left style="thin">
        <color rgb="FF000080"/>
      </left>
      <right style="medium">
        <color rgb="FF000080"/>
      </right>
      <top style="thick">
        <color rgb="FF000080"/>
      </top>
      <bottom style="thin">
        <color rgb="FF000080"/>
      </bottom>
      <diagonal/>
    </border>
    <border>
      <left style="thin">
        <color rgb="FF0000FF"/>
      </left>
      <right style="thin">
        <color rgb="FF0000FF"/>
      </right>
      <top style="thick">
        <color rgb="FF000080"/>
      </top>
      <bottom style="thin">
        <color rgb="FF0000FF"/>
      </bottom>
      <diagonal/>
    </border>
    <border>
      <left style="thin">
        <color rgb="FF0000FF"/>
      </left>
      <right style="thick">
        <color rgb="FF000080"/>
      </right>
      <top style="thick">
        <color rgb="FF000080"/>
      </top>
      <bottom style="thin">
        <color rgb="FF0000FF"/>
      </bottom>
      <diagonal/>
    </border>
    <border>
      <left style="thick">
        <color rgb="FF002060"/>
      </left>
      <right style="thin">
        <color rgb="FF0000FF"/>
      </right>
      <top style="thick">
        <color rgb="FF002060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ck">
        <color rgb="FF002060"/>
      </top>
      <bottom style="thin">
        <color rgb="FF0000FF"/>
      </bottom>
      <diagonal/>
    </border>
    <border>
      <left style="thin">
        <color rgb="FF0000FF"/>
      </left>
      <right style="thick">
        <color rgb="FF002060"/>
      </right>
      <top style="thick">
        <color rgb="FF002060"/>
      </top>
      <bottom style="thin">
        <color rgb="FF0000FF"/>
      </bottom>
      <diagonal/>
    </border>
    <border>
      <left style="thin">
        <color rgb="FF0070C0"/>
      </left>
      <right style="thick">
        <color rgb="FF002060"/>
      </right>
      <top style="thick">
        <color rgb="FF002060"/>
      </top>
      <bottom style="thin">
        <color rgb="FF0070C0"/>
      </bottom>
      <diagonal/>
    </border>
    <border>
      <left style="thick">
        <color rgb="FF002060"/>
      </left>
      <right style="thick">
        <color rgb="FF002060"/>
      </right>
      <top style="thin">
        <color rgb="FF0000FF"/>
      </top>
      <bottom style="thin">
        <color rgb="FF0000FF"/>
      </bottom>
      <diagonal/>
    </border>
    <border>
      <left/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medium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0080"/>
      </left>
      <right style="medium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00FF"/>
      </left>
      <right style="thick">
        <color rgb="FF000080"/>
      </right>
      <top style="thin">
        <color rgb="FF0000FF"/>
      </top>
      <bottom style="thin">
        <color rgb="FF0000FF"/>
      </bottom>
      <diagonal/>
    </border>
    <border>
      <left style="thick">
        <color rgb="FF002060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ck">
        <color rgb="FF002060"/>
      </right>
      <top style="thin">
        <color rgb="FF0000FF"/>
      </top>
      <bottom style="thin">
        <color rgb="FF0000FF"/>
      </bottom>
      <diagonal/>
    </border>
    <border>
      <left style="thin">
        <color rgb="FF0070C0"/>
      </left>
      <right style="thick">
        <color rgb="FF002060"/>
      </right>
      <top style="thin">
        <color rgb="FF0070C0"/>
      </top>
      <bottom style="thin">
        <color rgb="FF0070C0"/>
      </bottom>
      <diagonal/>
    </border>
    <border>
      <left style="thick">
        <color rgb="FF002060"/>
      </left>
      <right style="thick">
        <color rgb="FF002060"/>
      </right>
      <top/>
      <bottom style="thin">
        <color rgb="FF0000FF"/>
      </bottom>
      <diagonal/>
    </border>
    <border>
      <left style="thick">
        <color rgb="FF00206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002060"/>
      </left>
      <right style="thick">
        <color rgb="FF002060"/>
      </right>
      <top style="thin">
        <color rgb="FF0000FF"/>
      </top>
      <bottom style="thick">
        <color rgb="FF002060"/>
      </bottom>
      <diagonal/>
    </border>
    <border>
      <left/>
      <right style="thin">
        <color rgb="FF000080"/>
      </right>
      <top style="thin">
        <color rgb="FF000080"/>
      </top>
      <bottom style="thick">
        <color rgb="FF000080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ck">
        <color rgb="FF000080"/>
      </bottom>
      <diagonal/>
    </border>
    <border>
      <left style="medium">
        <color rgb="FF000080"/>
      </left>
      <right style="thin">
        <color rgb="FF000080"/>
      </right>
      <top style="thin">
        <color rgb="FF000080"/>
      </top>
      <bottom style="thick">
        <color rgb="FF000080"/>
      </bottom>
      <diagonal/>
    </border>
    <border>
      <left style="thin">
        <color rgb="FF000080"/>
      </left>
      <right style="medium">
        <color rgb="FF000080"/>
      </right>
      <top style="thin">
        <color rgb="FF000080"/>
      </top>
      <bottom style="thick">
        <color rgb="FF00008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ck">
        <color rgb="FF000080"/>
      </bottom>
      <diagonal/>
    </border>
    <border>
      <left style="thin">
        <color rgb="FF0000FF"/>
      </left>
      <right style="thick">
        <color rgb="FF000080"/>
      </right>
      <top style="thin">
        <color rgb="FF0000FF"/>
      </top>
      <bottom style="thick">
        <color rgb="FF000080"/>
      </bottom>
      <diagonal/>
    </border>
    <border>
      <left style="thick">
        <color rgb="FF002060"/>
      </left>
      <right style="thin">
        <color rgb="FF0000FF"/>
      </right>
      <top style="thin">
        <color rgb="FF0000FF"/>
      </top>
      <bottom style="thick">
        <color rgb="FF00206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ck">
        <color rgb="FF002060"/>
      </bottom>
      <diagonal/>
    </border>
    <border>
      <left style="thin">
        <color rgb="FF0000FF"/>
      </left>
      <right style="thick">
        <color rgb="FF002060"/>
      </right>
      <top style="thin">
        <color rgb="FF0000FF"/>
      </top>
      <bottom style="thick">
        <color rgb="FF002060"/>
      </bottom>
      <diagonal/>
    </border>
    <border>
      <left style="thick">
        <color rgb="FF002060"/>
      </left>
      <right style="thin">
        <color rgb="FF0070C0"/>
      </right>
      <top style="thin">
        <color rgb="FF0070C0"/>
      </top>
      <bottom style="thick">
        <color rgb="FF00206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2060"/>
      </bottom>
      <diagonal/>
    </border>
    <border>
      <left style="thin">
        <color rgb="FF0070C0"/>
      </left>
      <right style="thick">
        <color rgb="FF002060"/>
      </right>
      <top style="thin">
        <color rgb="FF0070C0"/>
      </top>
      <bottom style="thick">
        <color rgb="FF002060"/>
      </bottom>
      <diagonal/>
    </border>
    <border>
      <left/>
      <right/>
      <top/>
      <bottom style="thin">
        <color rgb="FF0000FF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2060"/>
      </left>
      <right style="thin">
        <color rgb="FF002060"/>
      </right>
      <top style="thick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ck">
        <color rgb="FF002060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 style="thick">
        <color rgb="FF002060"/>
      </top>
      <bottom style="thin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2060"/>
      </left>
      <right style="thin">
        <color rgb="FF000000"/>
      </right>
      <top style="thick">
        <color rgb="FF00206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2060"/>
      </top>
      <bottom style="thin">
        <color rgb="FF000000"/>
      </bottom>
      <diagonal/>
    </border>
    <border>
      <left style="thin">
        <color rgb="FF000000"/>
      </left>
      <right style="thick">
        <color rgb="FF002060"/>
      </right>
      <top style="thick">
        <color rgb="FF002060"/>
      </top>
      <bottom style="thin">
        <color rgb="FF000000"/>
      </bottom>
      <diagonal/>
    </border>
    <border>
      <left style="thick">
        <color rgb="FF00206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206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2060"/>
      </left>
      <right style="thin">
        <color rgb="FF000000"/>
      </right>
      <top style="thin">
        <color rgb="FF000000"/>
      </top>
      <bottom style="thick">
        <color rgb="FF0020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2060"/>
      </bottom>
      <diagonal/>
    </border>
    <border>
      <left style="thin">
        <color rgb="FF000000"/>
      </left>
      <right style="thin">
        <color rgb="FF000000"/>
      </right>
      <top/>
      <bottom style="thick">
        <color rgb="FF002060"/>
      </bottom>
      <diagonal/>
    </border>
    <border>
      <left style="thin">
        <color rgb="FF000000"/>
      </left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2060"/>
      </left>
      <right style="thick">
        <color rgb="FF002060"/>
      </right>
      <top style="thin">
        <color rgb="FF002060"/>
      </top>
      <bottom style="thick">
        <color rgb="FF00206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206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ck">
        <color rgb="FF002060"/>
      </right>
      <top style="thin">
        <color rgb="FF000000"/>
      </top>
      <bottom style="thick">
        <color rgb="FF002060"/>
      </bottom>
      <diagonal/>
    </border>
    <border>
      <left style="thick">
        <color rgb="FF002060"/>
      </left>
      <right style="thin">
        <color rgb="FF000000"/>
      </right>
      <top style="thick">
        <color rgb="FF002060"/>
      </top>
      <bottom style="thick">
        <color rgb="FF002060"/>
      </bottom>
      <diagonal/>
    </border>
    <border>
      <left style="thin">
        <color rgb="FF000000"/>
      </left>
      <right style="thin">
        <color rgb="FF000000"/>
      </right>
      <top style="thick">
        <color rgb="FF002060"/>
      </top>
      <bottom style="thick">
        <color rgb="FF002060"/>
      </bottom>
      <diagonal/>
    </border>
    <border>
      <left style="thin">
        <color rgb="FF00000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n">
        <color rgb="FF5B9BD5"/>
      </right>
      <top style="thick">
        <color rgb="FF002060"/>
      </top>
      <bottom/>
      <diagonal/>
    </border>
    <border>
      <left style="thin">
        <color rgb="FF5B9BD5"/>
      </left>
      <right style="thin">
        <color rgb="FF5B9BD5"/>
      </right>
      <top style="thick">
        <color rgb="FF00206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FF"/>
      </left>
      <right style="thick">
        <color rgb="FF000000"/>
      </right>
      <top style="thin">
        <color rgb="FF0000FF"/>
      </top>
      <bottom style="thin">
        <color rgb="FF0000FF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0000"/>
      </bottom>
      <diagonal/>
    </border>
    <border>
      <left style="thin">
        <color rgb="FF000080"/>
      </left>
      <right/>
      <top style="thick">
        <color rgb="FF000080"/>
      </top>
      <bottom style="thin">
        <color rgb="FF000080"/>
      </bottom>
      <diagonal/>
    </border>
    <border>
      <left style="thin">
        <color rgb="FF000080"/>
      </left>
      <right/>
      <top style="thin">
        <color rgb="FF000080"/>
      </top>
      <bottom style="thin">
        <color rgb="FF000080"/>
      </bottom>
      <diagonal/>
    </border>
    <border>
      <left style="thin">
        <color rgb="FF000080"/>
      </left>
      <right/>
      <top style="thin">
        <color rgb="FF000080"/>
      </top>
      <bottom style="thick">
        <color rgb="FF000080"/>
      </bottom>
      <diagonal/>
    </border>
    <border>
      <left style="thin">
        <color rgb="FF000080"/>
      </left>
      <right style="thin">
        <color rgb="FF000080"/>
      </right>
      <top style="thin">
        <color rgb="FF000000"/>
      </top>
      <bottom style="thin">
        <color rgb="FF000080"/>
      </bottom>
      <diagonal/>
    </border>
    <border>
      <left style="thin">
        <color rgb="FF000000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BFBFBF"/>
      </top>
      <bottom/>
      <diagonal/>
    </border>
    <border>
      <left style="thin">
        <color rgb="FF000000"/>
      </left>
      <right/>
      <top style="thin">
        <color rgb="FFBFBFBF"/>
      </top>
      <bottom style="thin">
        <color rgb="FF000000"/>
      </bottom>
      <diagonal/>
    </border>
    <border>
      <left style="thin">
        <color rgb="FF000000"/>
      </left>
      <right/>
      <top style="thin">
        <color rgb="FFBFBFBF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 style="thin">
        <color rgb="FFBFBFBF"/>
      </top>
      <bottom style="thin">
        <color rgb="FF000000"/>
      </bottom>
      <diagonal/>
    </border>
    <border>
      <left/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/>
      <right style="medium">
        <color rgb="FF000000"/>
      </right>
      <top style="thin">
        <color rgb="FFBFBFB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7030A0"/>
      </left>
      <right style="thin">
        <color rgb="FF7030A0"/>
      </right>
      <top style="thin">
        <color rgb="FF000080"/>
      </top>
      <bottom style="thin">
        <color rgb="FF000080"/>
      </bottom>
      <diagonal/>
    </border>
    <border>
      <left/>
      <right/>
      <top style="thick">
        <color rgb="FF000080"/>
      </top>
      <bottom style="thin">
        <color rgb="FF000080"/>
      </bottom>
      <diagonal/>
    </border>
    <border>
      <left style="thin">
        <color rgb="FF7030A0"/>
      </left>
      <right style="thin">
        <color rgb="FF7030A0"/>
      </right>
      <top/>
      <bottom style="thin">
        <color rgb="FF000080"/>
      </bottom>
      <diagonal/>
    </border>
    <border>
      <left style="thin">
        <color rgb="FF7030A0"/>
      </left>
      <right style="thin">
        <color rgb="FF7030A0"/>
      </right>
      <top style="thin">
        <color rgb="FF000080"/>
      </top>
      <bottom style="thin">
        <color rgb="FF7030A0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 style="thick">
        <color rgb="FF000080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ck">
        <color rgb="FF00008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8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6A6A6"/>
      </bottom>
      <diagonal/>
    </border>
    <border>
      <left/>
      <right style="thin">
        <color rgb="FF000000"/>
      </right>
      <top style="thin">
        <color rgb="FF000000"/>
      </top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A6A6A6"/>
      </top>
      <bottom style="thin">
        <color rgb="FFA6A6A6"/>
      </bottom>
      <diagonal/>
    </border>
    <border>
      <left/>
      <right style="thin">
        <color rgb="FF000000"/>
      </right>
      <top style="thin">
        <color rgb="FFA6A6A6"/>
      </top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A6A6A6"/>
      </top>
      <bottom style="double">
        <color rgb="FF000000"/>
      </bottom>
      <diagonal/>
    </border>
    <border>
      <left/>
      <right style="thin">
        <color rgb="FF000000"/>
      </right>
      <top style="thin">
        <color rgb="FFA6A6A6"/>
      </top>
      <bottom style="double">
        <color rgb="FF000000"/>
      </bottom>
      <diagonal/>
    </border>
    <border>
      <left style="thick">
        <color rgb="FF002060"/>
      </left>
      <right style="thick">
        <color rgb="FF002060"/>
      </right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80"/>
      </left>
      <right style="thin">
        <color rgb="FF000080"/>
      </right>
      <top/>
      <bottom style="thin">
        <color rgb="FF000080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 style="medium">
        <color rgb="FF000000"/>
      </top>
      <bottom style="thick">
        <color rgb="FF000000"/>
      </bottom>
      <diagonal/>
    </border>
    <border>
      <left style="thin">
        <color rgb="FF0000FF"/>
      </left>
      <right style="thin">
        <color rgb="FF0000FF"/>
      </right>
      <top style="medium">
        <color rgb="FF000000"/>
      </top>
      <bottom style="thick">
        <color rgb="FF000000"/>
      </bottom>
      <diagonal/>
    </border>
    <border>
      <left style="thin">
        <color rgb="FF7030A0"/>
      </left>
      <right style="thin">
        <color rgb="FF0000FF"/>
      </right>
      <top style="medium">
        <color rgb="FF000000"/>
      </top>
      <bottom style="thick">
        <color rgb="FF000000"/>
      </bottom>
      <diagonal/>
    </border>
    <border>
      <left style="thin">
        <color rgb="FF0000FF"/>
      </left>
      <right style="thin">
        <color rgb="FF7030A0"/>
      </right>
      <top style="medium">
        <color rgb="FF000000"/>
      </top>
      <bottom style="thick">
        <color rgb="FF00000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ck">
        <color rgb="FF00206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80"/>
      </left>
      <right style="thin">
        <color rgb="FF000000"/>
      </right>
      <top style="thin">
        <color rgb="FF000080"/>
      </top>
      <bottom style="thick">
        <color rgb="FF000080"/>
      </bottom>
      <diagonal/>
    </border>
    <border>
      <left style="thick">
        <color rgb="FF000000"/>
      </left>
      <right style="thin">
        <color rgb="FF0070C0"/>
      </right>
      <top style="thick">
        <color rgb="FF00000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000000"/>
      </top>
      <bottom style="thin">
        <color rgb="FF0070C0"/>
      </bottom>
      <diagonal/>
    </border>
    <border>
      <left style="thin">
        <color rgb="FF0070C0"/>
      </left>
      <right/>
      <top style="thick">
        <color rgb="FF000000"/>
      </top>
      <bottom style="thin">
        <color rgb="FF0070C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000000"/>
      </left>
      <right style="thin">
        <color rgb="FF0070C0"/>
      </right>
      <top style="thin">
        <color rgb="FF0070C0"/>
      </top>
      <bottom style="thick">
        <color rgb="FF000000"/>
      </bottom>
      <diagonal/>
    </border>
    <border>
      <left style="thin">
        <color rgb="FF0070C0"/>
      </left>
      <right/>
      <top style="thin">
        <color rgb="FF0070C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80"/>
      </left>
      <right style="thick">
        <color rgb="FF000000"/>
      </right>
      <top style="thin">
        <color rgb="FF000080"/>
      </top>
      <bottom style="thin">
        <color rgb="FF000080"/>
      </bottom>
      <diagonal/>
    </border>
    <border>
      <left style="thin">
        <color rgb="FF000080"/>
      </left>
      <right style="thick">
        <color rgb="FF000000"/>
      </right>
      <top style="thin">
        <color rgb="FF000080"/>
      </top>
      <bottom style="thick">
        <color rgb="FF000080"/>
      </bottom>
      <diagonal/>
    </border>
    <border>
      <left style="thin">
        <color rgb="FF0000FF"/>
      </left>
      <right style="thick">
        <color rgb="FF000000"/>
      </right>
      <top style="thin">
        <color rgb="FF0000FF"/>
      </top>
      <bottom style="thick">
        <color rgb="FF000080"/>
      </bottom>
      <diagonal/>
    </border>
    <border>
      <left/>
      <right style="thin">
        <color rgb="FF000080"/>
      </right>
      <top/>
      <bottom/>
      <diagonal/>
    </border>
    <border>
      <left/>
      <right style="thick">
        <color rgb="FF000000"/>
      </right>
      <top style="thin">
        <color rgb="FF000080"/>
      </top>
      <bottom style="thin">
        <color rgb="FF000080"/>
      </bottom>
      <diagonal/>
    </border>
    <border>
      <left/>
      <right style="thick">
        <color rgb="FF000000"/>
      </right>
      <top style="thin">
        <color rgb="FF000080"/>
      </top>
      <bottom style="thick">
        <color rgb="FF000080"/>
      </bottom>
      <diagonal/>
    </border>
    <border>
      <left/>
      <right style="medium">
        <color rgb="FF000080"/>
      </right>
      <top/>
      <bottom/>
      <diagonal/>
    </border>
    <border>
      <left/>
      <right style="medium">
        <color rgb="FF000080"/>
      </right>
      <top style="thin">
        <color rgb="FF000080"/>
      </top>
      <bottom style="thin">
        <color rgb="FF000080"/>
      </bottom>
      <diagonal/>
    </border>
    <border>
      <left/>
      <right style="medium">
        <color rgb="FF000080"/>
      </right>
      <top style="thin">
        <color rgb="FF000080"/>
      </top>
      <bottom style="thick">
        <color rgb="FF000080"/>
      </bottom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thin">
        <color rgb="FFBFBFBF"/>
      </top>
      <bottom/>
      <diagonal/>
    </border>
    <border>
      <left style="thick">
        <color rgb="FF002060"/>
      </left>
      <right style="thick">
        <color rgb="FF002060"/>
      </right>
      <top style="thin">
        <color rgb="FF0000FF"/>
      </top>
      <bottom/>
      <diagonal/>
    </border>
    <border>
      <left/>
      <right style="thin">
        <color rgb="FF000080"/>
      </right>
      <top style="thin">
        <color rgb="FF000080"/>
      </top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/>
      <diagonal/>
    </border>
    <border>
      <left style="thin">
        <color rgb="FF000080"/>
      </left>
      <right style="thick">
        <color rgb="FF000000"/>
      </right>
      <top style="thin">
        <color rgb="FF000080"/>
      </top>
      <bottom/>
      <diagonal/>
    </border>
    <border>
      <left/>
      <right style="medium">
        <color rgb="FF000080"/>
      </right>
      <top style="thin">
        <color rgb="FF000080"/>
      </top>
      <bottom/>
      <diagonal/>
    </border>
    <border>
      <left style="thin">
        <color rgb="FF000080"/>
      </left>
      <right/>
      <top style="thin">
        <color rgb="FF000080"/>
      </top>
      <bottom/>
      <diagonal/>
    </border>
    <border>
      <left/>
      <right style="thick">
        <color rgb="FF000000"/>
      </right>
      <top style="thin">
        <color rgb="FF000080"/>
      </top>
      <bottom/>
      <diagonal/>
    </border>
    <border>
      <left style="thin">
        <color rgb="FF0000FF"/>
      </left>
      <right style="thick">
        <color rgb="FF000000"/>
      </right>
      <top style="thin">
        <color rgb="FF0000FF"/>
      </top>
      <bottom/>
      <diagonal/>
    </border>
    <border>
      <left style="thin">
        <color rgb="FF0000FF"/>
      </left>
      <right style="thick">
        <color rgb="FF000080"/>
      </right>
      <top style="thin">
        <color rgb="FF0000FF"/>
      </top>
      <bottom/>
      <diagonal/>
    </border>
    <border>
      <left style="thick">
        <color rgb="FF002060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ck">
        <color rgb="FF002060"/>
      </right>
      <top style="thin">
        <color rgb="FF0000FF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80"/>
      </top>
      <bottom style="thin">
        <color rgb="FF000080"/>
      </bottom>
      <diagonal/>
    </border>
    <border>
      <left style="thick">
        <color rgb="FF000000"/>
      </left>
      <right style="thin">
        <color rgb="FF0000FF"/>
      </right>
      <top style="thick">
        <color rgb="FF000080"/>
      </top>
      <bottom style="thin">
        <color rgb="FF0000FF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80"/>
      </right>
      <top style="thin">
        <color rgb="FF000000"/>
      </top>
      <bottom style="thin">
        <color rgb="FF000080"/>
      </bottom>
      <diagonal/>
    </border>
    <border>
      <left style="thin">
        <color rgb="FF000080"/>
      </left>
      <right style="thin">
        <color rgb="FF000000"/>
      </right>
      <top style="thin">
        <color rgb="FF000080"/>
      </top>
      <bottom/>
      <diagonal/>
    </border>
    <border>
      <left/>
      <right style="thin">
        <color rgb="FF000000"/>
      </right>
      <top style="thick">
        <color rgb="FF00206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80"/>
      </left>
      <right/>
      <top/>
      <bottom style="thin">
        <color rgb="FF00008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80"/>
      </right>
      <top style="thick">
        <color rgb="FF000080"/>
      </top>
      <bottom style="thin">
        <color rgb="FF000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2060"/>
      </right>
      <top/>
      <bottom style="thin">
        <color rgb="FF000000"/>
      </bottom>
      <diagonal/>
    </border>
    <border>
      <left/>
      <right style="thick">
        <color rgb="FF002060"/>
      </right>
      <top style="thin">
        <color rgb="FF000000"/>
      </top>
      <bottom style="thin">
        <color rgb="FF000000"/>
      </bottom>
      <diagonal/>
    </border>
    <border>
      <left/>
      <right style="thick">
        <color rgb="FF002060"/>
      </right>
      <top style="thick">
        <color rgb="FF002060"/>
      </top>
      <bottom style="thin">
        <color rgb="FF000000"/>
      </bottom>
      <diagonal/>
    </border>
    <border>
      <left/>
      <right style="thick">
        <color rgb="FF00206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2060"/>
      </bottom>
      <diagonal/>
    </border>
    <border>
      <left style="thin">
        <color rgb="FF000000"/>
      </left>
      <right style="thick">
        <color rgb="FF002060"/>
      </right>
      <top style="thin">
        <color rgb="FF000000"/>
      </top>
      <bottom style="thick">
        <color rgb="FF000000"/>
      </bottom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n">
        <color rgb="FF000000"/>
      </left>
      <right style="thin">
        <color rgb="FF000000"/>
      </right>
      <top style="thick">
        <color rgb="FF002060"/>
      </top>
      <bottom/>
      <diagonal/>
    </border>
    <border>
      <left/>
      <right style="thick">
        <color rgb="FF002060"/>
      </right>
      <top/>
      <bottom/>
      <diagonal/>
    </border>
    <border>
      <left/>
      <right style="thick">
        <color rgb="FF002060"/>
      </right>
      <top style="thin">
        <color rgb="FF000000"/>
      </top>
      <bottom style="thick">
        <color rgb="FF002060"/>
      </bottom>
      <diagonal/>
    </border>
    <border>
      <left style="thin">
        <color rgb="FF000000"/>
      </left>
      <right style="thin">
        <color rgb="FF000080"/>
      </right>
      <top style="thick">
        <color rgb="FF000080"/>
      </top>
      <bottom style="thin">
        <color rgb="FF000080"/>
      </bottom>
      <diagonal/>
    </border>
    <border>
      <left style="thin">
        <color rgb="FF000080"/>
      </left>
      <right style="thick">
        <color rgb="FF002060"/>
      </right>
      <top style="thick">
        <color rgb="FF000080"/>
      </top>
      <bottom style="thin">
        <color rgb="FF000080"/>
      </bottom>
      <diagonal/>
    </border>
    <border>
      <left style="thin">
        <color rgb="FF0000FF"/>
      </left>
      <right style="thick">
        <color rgb="FF000000"/>
      </right>
      <top style="thick">
        <color rgb="FF002060"/>
      </top>
      <bottom style="thin">
        <color rgb="FF0000FF"/>
      </bottom>
      <diagonal/>
    </border>
    <border>
      <left style="medium">
        <color rgb="FF000000"/>
      </left>
      <right style="thin">
        <color rgb="FF002060"/>
      </right>
      <top style="medium">
        <color rgb="FF000000"/>
      </top>
      <bottom style="thin">
        <color rgb="FF002060"/>
      </bottom>
      <diagonal/>
    </border>
    <border>
      <left style="medium">
        <color rgb="FF00000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0000"/>
      </left>
      <right style="thin">
        <color rgb="FF002060"/>
      </right>
      <top style="thin">
        <color rgb="FF002060"/>
      </top>
      <bottom style="medium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000080"/>
      </right>
      <top style="medium">
        <color rgb="FF000000"/>
      </top>
      <bottom/>
      <diagonal/>
    </border>
    <border>
      <left style="thin">
        <color rgb="FF000080"/>
      </left>
      <right style="thin">
        <color rgb="FF002060"/>
      </right>
      <top style="medium">
        <color rgb="FF000000"/>
      </top>
      <bottom/>
      <diagonal/>
    </border>
    <border>
      <left style="thin">
        <color rgb="FF002060"/>
      </left>
      <right style="thin">
        <color rgb="FF000080"/>
      </right>
      <top style="medium">
        <color rgb="FF000000"/>
      </top>
      <bottom/>
      <diagonal/>
    </border>
    <border>
      <left style="thin">
        <color rgb="FF000080"/>
      </left>
      <right style="thin">
        <color rgb="FF000080"/>
      </right>
      <top style="medium">
        <color rgb="FF000000"/>
      </top>
      <bottom/>
      <diagonal/>
    </border>
    <border>
      <left style="thin">
        <color rgb="FF000080"/>
      </left>
      <right/>
      <top style="medium">
        <color rgb="FF000000"/>
      </top>
      <bottom/>
      <diagonal/>
    </border>
    <border>
      <left style="thin">
        <color rgb="FF00008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FF"/>
      </right>
      <top style="medium">
        <color rgb="FF000000"/>
      </top>
      <bottom/>
      <diagonal/>
    </border>
    <border>
      <left style="thin">
        <color rgb="FF0000FF"/>
      </left>
      <right style="thin">
        <color rgb="FF0000FF"/>
      </right>
      <top style="medium">
        <color rgb="FF000000"/>
      </top>
      <bottom/>
      <diagonal/>
    </border>
    <border>
      <left style="medium">
        <color rgb="FF000000"/>
      </left>
      <right style="thin">
        <color rgb="FF0000FF"/>
      </right>
      <top/>
      <bottom/>
      <diagonal/>
    </border>
    <border>
      <left style="thin">
        <color rgb="FF0000FF"/>
      </left>
      <right style="medium">
        <color rgb="FF000000"/>
      </right>
      <top/>
      <bottom/>
      <diagonal/>
    </border>
    <border>
      <left style="thin">
        <color rgb="FF0000FF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2060"/>
      </left>
      <right style="thick">
        <color rgb="FF002060"/>
      </right>
      <top/>
      <bottom style="thick">
        <color rgb="FF00206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80"/>
      </right>
      <top/>
      <bottom style="thin">
        <color rgb="FF000080"/>
      </bottom>
      <diagonal/>
    </border>
    <border>
      <left style="thick">
        <color rgb="FF002060"/>
      </left>
      <right/>
      <top/>
      <bottom/>
      <diagonal/>
    </border>
    <border>
      <left style="thick">
        <color rgb="FF00206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80"/>
      </right>
      <top style="medium">
        <color rgb="FF000000"/>
      </top>
      <bottom style="double">
        <color rgb="FF000000"/>
      </bottom>
      <diagonal/>
    </border>
    <border>
      <left style="thin">
        <color rgb="FF000080"/>
      </left>
      <right style="thin">
        <color rgb="FF002060"/>
      </right>
      <top style="medium">
        <color rgb="FF000000"/>
      </top>
      <bottom style="double">
        <color rgb="FF000000"/>
      </bottom>
      <diagonal/>
    </border>
    <border>
      <left style="thin">
        <color rgb="FF002060"/>
      </left>
      <right style="thin">
        <color rgb="FF000080"/>
      </right>
      <top style="medium">
        <color rgb="FF000000"/>
      </top>
      <bottom style="double">
        <color rgb="FF000000"/>
      </bottom>
      <diagonal/>
    </border>
    <border>
      <left style="thin">
        <color rgb="FF000080"/>
      </left>
      <right style="thin">
        <color rgb="FF00008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6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15" fillId="0" borderId="0" applyFont="1" applyNumberFormat="1" applyFill="0" applyBorder="0" applyAlignment="1">
      <alignment horizontal="center" vertical="center" textRotation="0" wrapText="false" shrinkToFit="false"/>
    </xf>
    <xf xfId="0" fontId="0" numFmtId="15" fillId="0" borderId="0" applyFont="0" applyNumberFormat="1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10" fillId="0" borderId="0" applyFont="0" applyNumberFormat="1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15" fillId="0" borderId="2" applyFont="1" applyNumberFormat="1" applyFill="0" applyBorder="1" applyAlignment="1">
      <alignment horizontal="center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4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7" numFmtId="0" fillId="2" borderId="4" applyFont="1" applyNumberFormat="0" applyFill="1" applyBorder="1" applyAlignment="1">
      <alignment horizontal="center" vertical="center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9" numFmtId="0" fillId="0" borderId="6" applyFont="1" applyNumberFormat="0" applyFill="0" applyBorder="1" applyAlignment="1">
      <alignment horizontal="center" vertical="center" textRotation="0" wrapText="true" shrinkToFit="false"/>
    </xf>
    <xf xfId="0" fontId="10" numFmtId="0" fillId="0" borderId="4" applyFont="1" applyNumberFormat="0" applyFill="0" applyBorder="1" applyAlignment="1">
      <alignment horizontal="center" vertical="center" textRotation="0" wrapText="true" shrinkToFit="false"/>
    </xf>
    <xf xfId="0" fontId="11" numFmtId="49" fillId="0" borderId="5" applyFont="1" applyNumberFormat="1" applyFill="0" applyBorder="1" applyAlignment="1">
      <alignment horizontal="center" vertical="center" textRotation="0" wrapText="true" shrinkToFit="false"/>
    </xf>
    <xf xfId="0" fontId="12" numFmtId="49" fillId="0" borderId="4" applyFont="1" applyNumberFormat="1" applyFill="0" applyBorder="1" applyAlignment="1">
      <alignment horizontal="center" vertical="center" textRotation="0" wrapText="true" shrinkToFit="false"/>
    </xf>
    <xf xfId="0" fontId="13" numFmtId="0" fillId="2" borderId="7" applyFont="1" applyNumberFormat="0" applyFill="1" applyBorder="1" applyAlignment="1">
      <alignment horizontal="center" vertical="center" textRotation="0" wrapText="true" shrinkToFit="false"/>
    </xf>
    <xf xfId="0" fontId="14" numFmtId="0" fillId="0" borderId="7" applyFont="1" applyNumberFormat="0" applyFill="0" applyBorder="1" applyAlignment="1">
      <alignment horizontal="center" vertical="center" textRotation="0" wrapText="true" shrinkToFit="false"/>
    </xf>
    <xf xfId="0" fontId="15" numFmtId="0" fillId="0" borderId="7" applyFont="1" applyNumberFormat="0" applyFill="0" applyBorder="1" applyAlignment="1">
      <alignment horizontal="center" vertical="center" textRotation="0" wrapText="true" shrinkToFit="false"/>
    </xf>
    <xf xfId="0" fontId="15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16" numFmtId="10" fillId="0" borderId="9" applyFont="1" applyNumberFormat="1" applyFill="0" applyBorder="1" applyAlignment="1">
      <alignment horizontal="center" vertical="center" textRotation="0" wrapText="false" shrinkToFit="false"/>
    </xf>
    <xf xfId="0" fontId="15" numFmtId="10" fillId="0" borderId="10" applyFont="1" applyNumberFormat="1" applyFill="0" applyBorder="1" applyAlignment="1">
      <alignment horizontal="center" vertical="center" textRotation="0" wrapText="true" shrinkToFit="false"/>
    </xf>
    <xf xfId="0" fontId="15" numFmtId="10" fillId="0" borderId="10" applyFont="1" applyNumberFormat="1" applyFill="0" applyBorder="1" applyAlignment="1">
      <alignment horizontal="center" vertical="center" textRotation="0" wrapText="false" shrinkToFit="false"/>
    </xf>
    <xf xfId="0" fontId="17" numFmtId="0" fillId="3" borderId="11" applyFont="1" applyNumberFormat="0" applyFill="1" applyBorder="1" applyAlignment="1">
      <alignment horizontal="center" vertical="center" textRotation="0" wrapText="false" shrinkToFit="false"/>
    </xf>
    <xf xfId="0" fontId="15" numFmtId="10" fillId="0" borderId="11" applyFont="1" applyNumberFormat="1" applyFill="0" applyBorder="1" applyAlignment="1">
      <alignment horizontal="center" vertical="center" textRotation="0" wrapText="false" shrinkToFit="false"/>
    </xf>
    <xf xfId="0" fontId="15" numFmtId="15" fillId="0" borderId="11" applyFont="1" applyNumberFormat="1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true" shrinkToFit="false"/>
    </xf>
    <xf xfId="0" fontId="3" numFmtId="2" fillId="3" borderId="12" applyFont="1" applyNumberFormat="1" applyFill="1" applyBorder="1" applyAlignment="1">
      <alignment horizontal="center" vertical="center" textRotation="0" wrapText="true" shrinkToFit="false"/>
    </xf>
    <xf xfId="0" fontId="3" numFmtId="2" fillId="3" borderId="11" applyFont="1" applyNumberFormat="1" applyFill="1" applyBorder="1" applyAlignment="1">
      <alignment horizontal="center" vertical="center" textRotation="0" wrapText="true" shrinkToFit="false"/>
    </xf>
    <xf xfId="0" fontId="3" numFmtId="2" fillId="0" borderId="11" applyFont="1" applyNumberFormat="1" applyFill="0" applyBorder="1" applyAlignment="1">
      <alignment horizontal="center" vertical="center" textRotation="0" wrapText="true" shrinkToFit="false"/>
    </xf>
    <xf xfId="0" fontId="3" numFmtId="2" fillId="3" borderId="13" applyFont="1" applyNumberFormat="1" applyFill="1" applyBorder="1" applyAlignment="1">
      <alignment horizontal="center" vertical="center" textRotation="0" wrapText="true" shrinkToFit="false"/>
    </xf>
    <xf xfId="0" fontId="3" numFmtId="2" fillId="0" borderId="12" applyFont="1" applyNumberFormat="1" applyFill="0" applyBorder="1" applyAlignment="1">
      <alignment horizontal="center" vertical="center" textRotation="0" wrapText="tru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15" fillId="0" borderId="14" applyFont="0" applyNumberFormat="1" applyFill="0" applyBorder="1" applyAlignment="1">
      <alignment vertical="center" textRotation="0" wrapText="false" shrinkToFit="false"/>
    </xf>
    <xf xfId="0" fontId="0" numFmtId="0" fillId="2" borderId="15" applyFont="0" applyNumberFormat="0" applyFill="1" applyBorder="1" applyAlignment="1">
      <alignment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2" borderId="15" applyFont="0" applyNumberFormat="0" applyFill="1" applyBorder="1" applyAlignment="1">
      <alignment vertical="center" textRotation="0" wrapText="false" shrinkToFit="false"/>
    </xf>
    <xf xfId="0" fontId="0" numFmtId="0" fillId="0" borderId="16" applyFont="0" applyNumberFormat="0" applyFill="0" applyBorder="1" applyAlignment="1">
      <alignment vertical="center" textRotation="0" wrapText="false" shrinkToFit="false"/>
    </xf>
    <xf xfId="0" fontId="18" numFmtId="0" fillId="0" borderId="16" applyFont="1" applyNumberFormat="0" applyFill="0" applyBorder="1" applyAlignment="1">
      <alignment vertical="center" textRotation="0" wrapText="false" shrinkToFit="false"/>
    </xf>
    <xf xfId="0" fontId="0" numFmtId="0" fillId="2" borderId="18" applyFont="0" applyNumberFormat="0" applyFill="1" applyBorder="1" applyAlignment="1">
      <alignment vertical="center" textRotation="0" wrapText="false" shrinkToFit="false"/>
    </xf>
    <xf xfId="0" fontId="0" quotePrefix="1" numFmtId="0" fillId="0" borderId="17" applyFont="0" applyNumberFormat="0" applyFill="0" applyBorder="1" applyAlignment="1">
      <alignment vertical="center" textRotation="0" wrapText="false" shrinkToFit="false"/>
    </xf>
    <xf xfId="0" fontId="18" numFmtId="0" fillId="2" borderId="19" applyFont="1" applyNumberFormat="0" applyFill="1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0" numFmtId="3" fillId="0" borderId="0" applyFont="0" applyNumberFormat="1" applyFill="0" applyBorder="0" applyAlignment="1">
      <alignment vertical="center" textRotation="0" wrapText="false" shrinkToFit="false"/>
    </xf>
    <xf xfId="0" fontId="0" numFmtId="164" fillId="0" borderId="9" applyFont="0" applyNumberFormat="1" applyFill="0" applyBorder="1" applyAlignment="1">
      <alignment vertical="center" textRotation="0" wrapText="false" shrinkToFit="false"/>
    </xf>
    <xf xfId="0" fontId="0" numFmtId="164" fillId="0" borderId="10" applyFont="0" applyNumberFormat="1" applyFill="0" applyBorder="1" applyAlignment="1">
      <alignment vertical="center" textRotation="0" wrapText="false" shrinkToFit="false"/>
    </xf>
    <xf xfId="0" fontId="0" numFmtId="164" fillId="0" borderId="11" applyFont="0" applyNumberFormat="1" applyFill="0" applyBorder="1" applyAlignment="1">
      <alignment vertical="center" textRotation="0" wrapText="false" shrinkToFit="false"/>
    </xf>
    <xf xfId="0" fontId="0" numFmtId="15" fillId="0" borderId="1" applyFont="0" applyNumberFormat="1" applyFill="0" applyBorder="1" applyAlignment="1">
      <alignment vertical="center" textRotation="0" wrapText="false" shrinkToFit="false"/>
    </xf>
    <xf xfId="0" fontId="0" numFmtId="165" fillId="0" borderId="21" applyFont="0" applyNumberFormat="1" applyFill="0" applyBorder="1" applyAlignment="1">
      <alignment vertical="center" textRotation="0" wrapText="false" shrinkToFit="false"/>
    </xf>
    <xf xfId="0" fontId="0" numFmtId="2" fillId="0" borderId="22" applyFont="0" applyNumberFormat="1" applyFill="0" applyBorder="1" applyAlignment="1">
      <alignment horizontal="center" vertical="center" textRotation="0" wrapText="false" shrinkToFit="false"/>
    </xf>
    <xf xfId="0" fontId="0" numFmtId="165" fillId="0" borderId="23" applyFont="0" applyNumberFormat="1" applyFill="0" applyBorder="1" applyAlignment="1">
      <alignment vertical="center" textRotation="0" wrapText="false" shrinkToFit="false"/>
    </xf>
    <xf xfId="0" fontId="0" numFmtId="165" fillId="0" borderId="10" applyFont="0" applyNumberFormat="1" applyFill="0" applyBorder="1" applyAlignment="1">
      <alignment vertical="center" textRotation="0" wrapText="false" shrinkToFit="false"/>
    </xf>
    <xf xfId="0" fontId="0" numFmtId="165" fillId="0" borderId="11" applyFont="0" applyNumberFormat="1" applyFill="0" applyBorder="1" applyAlignment="1">
      <alignment vertical="center" textRotation="0" wrapText="false" shrinkToFit="false"/>
    </xf>
    <xf xfId="0" fontId="0" numFmtId="9" fillId="0" borderId="11" applyFont="0" applyNumberFormat="1" applyFill="0" applyBorder="1" applyAlignment="1">
      <alignment vertical="center" textRotation="0" wrapText="false" shrinkToFit="false"/>
    </xf>
    <xf xfId="0" fontId="0" numFmtId="165" fillId="0" borderId="1" applyFont="0" applyNumberFormat="1" applyFill="0" applyBorder="1" applyAlignment="1">
      <alignment vertical="center" textRotation="0" wrapText="false" shrinkToFit="false"/>
    </xf>
    <xf xfId="0" fontId="0" numFmtId="166" fillId="0" borderId="24" applyFont="0" applyNumberFormat="1" applyFill="0" applyBorder="1" applyAlignment="1">
      <alignment vertical="center" textRotation="0" wrapText="false" shrinkToFit="false"/>
    </xf>
    <xf xfId="0" fontId="0" numFmtId="15" fillId="0" borderId="25" applyFont="0" applyNumberFormat="1" applyFill="0" applyBorder="1" applyAlignment="1">
      <alignment vertical="center" textRotation="0" wrapText="false" shrinkToFit="false"/>
    </xf>
    <xf xfId="0" fontId="0" numFmtId="0" fillId="2" borderId="26" applyFont="0" applyNumberFormat="0" applyFill="1" applyBorder="1" applyAlignment="1">
      <alignment vertical="center" textRotation="0" wrapText="false" shrinkToFit="false"/>
    </xf>
    <xf xfId="0" fontId="0" numFmtId="0" fillId="2" borderId="9" applyFont="0" applyNumberFormat="0" applyFill="1" applyBorder="1" applyAlignment="1">
      <alignment vertical="center" textRotation="0" wrapText="false" shrinkToFit="false"/>
    </xf>
    <xf xfId="0" fontId="0" numFmtId="0" fillId="0" borderId="27" applyFont="0" applyNumberFormat="0" applyFill="0" applyBorder="1" applyAlignment="1">
      <alignment vertical="center" textRotation="0" wrapText="false" shrinkToFit="false"/>
    </xf>
    <xf xfId="0" fontId="0" numFmtId="0" fillId="0" borderId="28" applyFont="0" applyNumberFormat="0" applyFill="0" applyBorder="1" applyAlignment="1">
      <alignment vertical="center" textRotation="0" wrapText="false" shrinkToFit="false"/>
    </xf>
    <xf xfId="0" fontId="0" numFmtId="0" fillId="2" borderId="26" applyFont="0" applyNumberFormat="0" applyFill="1" applyBorder="1" applyAlignment="1">
      <alignment vertical="center" textRotation="0" wrapText="false" shrinkToFit="false"/>
    </xf>
    <xf xfId="0" fontId="0" numFmtId="0" fillId="2" borderId="9" applyFont="0" applyNumberFormat="0" applyFill="1" applyBorder="1" applyAlignment="1">
      <alignment vertical="center" textRotation="0" wrapText="false" shrinkToFit="false"/>
    </xf>
    <xf xfId="0" fontId="0" numFmtId="0" fillId="0" borderId="9" applyFont="0" applyNumberFormat="0" applyFill="0" applyBorder="1" applyAlignment="1">
      <alignment vertical="center" textRotation="0" wrapText="false" shrinkToFit="false"/>
    </xf>
    <xf xfId="0" fontId="18" numFmtId="0" fillId="0" borderId="9" applyFont="1" applyNumberFormat="0" applyFill="0" applyBorder="1" applyAlignment="1">
      <alignment vertical="center" textRotation="0" wrapText="false" shrinkToFit="false"/>
    </xf>
    <xf xfId="0" fontId="0" numFmtId="0" fillId="2" borderId="28" applyFont="0" applyNumberFormat="0" applyFill="1" applyBorder="1" applyAlignment="1">
      <alignment vertical="center" textRotation="0" wrapText="false" shrinkToFit="false"/>
    </xf>
    <xf xfId="0" fontId="18" numFmtId="0" fillId="2" borderId="11" applyFont="1" applyNumberFormat="0" applyFill="1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0" numFmtId="0" fillId="0" borderId="29" applyFont="0" applyNumberFormat="0" applyFill="0" applyBorder="1" applyAlignment="1">
      <alignment vertical="center" textRotation="0" wrapText="false" shrinkToFit="false"/>
    </xf>
    <xf xfId="0" fontId="0" numFmtId="165" fillId="0" borderId="30" applyFont="0" applyNumberFormat="1" applyFill="0" applyBorder="1" applyAlignment="1">
      <alignment vertical="center" textRotation="0" wrapText="false" shrinkToFit="false"/>
    </xf>
    <xf xfId="0" fontId="0" numFmtId="165" fillId="0" borderId="11" applyFont="0" applyNumberFormat="1" applyFill="0" applyBorder="1" applyAlignment="1">
      <alignment horizontal="center" vertical="center" textRotation="0" wrapText="false" shrinkToFit="false"/>
    </xf>
    <xf xfId="0" fontId="0" numFmtId="165" fillId="0" borderId="31" applyFont="0" applyNumberFormat="1" applyFill="0" applyBorder="1" applyAlignment="1">
      <alignment vertical="center" textRotation="0" wrapText="false" shrinkToFit="false"/>
    </xf>
    <xf xfId="0" fontId="0" numFmtId="166" fillId="0" borderId="32" applyFont="0" applyNumberFormat="1" applyFill="0" applyBorder="1" applyAlignment="1">
      <alignment vertical="center" textRotation="0" wrapText="false" shrinkToFit="false"/>
    </xf>
    <xf xfId="0" fontId="0" numFmtId="0" fillId="0" borderId="29" applyFont="0" applyNumberFormat="0" applyFill="0" applyBorder="1" applyAlignment="1">
      <alignment vertical="center" textRotation="0" wrapText="false" shrinkToFit="false"/>
    </xf>
    <xf xfId="0" fontId="0" numFmtId="165" fillId="0" borderId="31" applyFont="0" applyNumberFormat="1" applyFill="0" applyBorder="1" applyAlignment="1">
      <alignment horizontal="right" vertical="center" textRotation="0" wrapText="false" shrinkToFit="false"/>
    </xf>
    <xf xfId="0" fontId="0" numFmtId="165" fillId="0" borderId="11" applyFont="0" applyNumberFormat="1" applyFill="0" applyBorder="1" applyAlignment="1">
      <alignment horizontal="center" vertical="bottom" textRotation="0" wrapText="false" shrinkToFit="false"/>
    </xf>
    <xf xfId="0" fontId="0" numFmtId="15" fillId="0" borderId="33" applyFont="0" applyNumberFormat="1" applyFill="0" applyBorder="1" applyAlignment="1">
      <alignment vertical="center" textRotation="0" wrapText="false" shrinkToFit="false"/>
    </xf>
    <xf xfId="0" fontId="0" numFmtId="165" fillId="0" borderId="30" applyFont="0" applyNumberFormat="1" applyFill="0" applyBorder="1" applyAlignment="1">
      <alignment horizontal="right" vertical="center" textRotation="0" wrapText="false" shrinkToFit="false"/>
    </xf>
    <xf xfId="0" fontId="0" numFmtId="165" fillId="0" borderId="11" applyFont="0" applyNumberFormat="1" applyFill="0" applyBorder="1" applyAlignment="1">
      <alignment horizontal="right" vertical="center" textRotation="0" wrapText="false" shrinkToFit="false"/>
    </xf>
    <xf xfId="0" fontId="0" numFmtId="3" fillId="0" borderId="34" applyFont="0" applyNumberFormat="1" applyFill="0" applyBorder="1" applyAlignment="1">
      <alignment vertical="center" textRotation="0" wrapText="false" shrinkToFit="false"/>
    </xf>
    <xf xfId="0" fontId="0" numFmtId="3" fillId="0" borderId="35" applyFont="0" applyNumberFormat="1" applyFill="0" applyBorder="1" applyAlignment="1">
      <alignment vertical="center" textRotation="0" wrapText="false" shrinkToFit="false"/>
    </xf>
    <xf xfId="0" fontId="0" numFmtId="166" fillId="0" borderId="35" applyFont="0" applyNumberFormat="1" applyFill="0" applyBorder="1" applyAlignment="1">
      <alignment vertical="center" textRotation="0" wrapText="false" shrinkToFit="false"/>
    </xf>
    <xf xfId="0" fontId="0" numFmtId="165" fillId="0" borderId="11" applyFont="0" applyNumberFormat="1" applyFill="0" applyBorder="1" applyAlignment="1">
      <alignment vertical="center" textRotation="0" wrapText="false" shrinkToFit="false"/>
    </xf>
    <xf xfId="0" fontId="0" numFmtId="15" fillId="0" borderId="36" applyFont="0" applyNumberFormat="1" applyFill="0" applyBorder="1" applyAlignment="1">
      <alignment vertical="center" textRotation="0" wrapText="false" shrinkToFit="false"/>
    </xf>
    <xf xfId="0" fontId="0" numFmtId="0" fillId="2" borderId="37" applyFont="0" applyNumberFormat="0" applyFill="1" applyBorder="1" applyAlignment="1">
      <alignment vertical="center" textRotation="0" wrapText="false" shrinkToFit="false"/>
    </xf>
    <xf xfId="0" fontId="0" numFmtId="0" fillId="2" borderId="38" applyFont="0" applyNumberFormat="0" applyFill="1" applyBorder="1" applyAlignment="1">
      <alignment vertical="center" textRotation="0" wrapText="false" shrinkToFit="false"/>
    </xf>
    <xf xfId="0" fontId="0" numFmtId="0" fillId="0" borderId="39" applyFont="0" applyNumberFormat="0" applyFill="0" applyBorder="1" applyAlignment="1">
      <alignment vertical="center" textRotation="0" wrapText="false" shrinkToFit="false"/>
    </xf>
    <xf xfId="0" fontId="0" numFmtId="0" fillId="0" borderId="40" applyFont="0" applyNumberFormat="0" applyFill="0" applyBorder="1" applyAlignment="1">
      <alignment vertical="center" textRotation="0" wrapText="false" shrinkToFit="false"/>
    </xf>
    <xf xfId="0" fontId="0" numFmtId="0" fillId="2" borderId="37" applyFont="0" applyNumberFormat="0" applyFill="1" applyBorder="1" applyAlignment="1">
      <alignment vertical="center" textRotation="0" wrapText="false" shrinkToFit="false"/>
    </xf>
    <xf xfId="0" fontId="0" numFmtId="0" fillId="0" borderId="38" applyFont="0" applyNumberFormat="0" applyFill="0" applyBorder="1" applyAlignment="1">
      <alignment vertical="center" textRotation="0" wrapText="false" shrinkToFit="false"/>
    </xf>
    <xf xfId="0" fontId="18" numFmtId="0" fillId="0" borderId="38" applyFont="1" applyNumberFormat="0" applyFill="0" applyBorder="1" applyAlignment="1">
      <alignment vertical="center" textRotation="0" wrapText="false" shrinkToFit="false"/>
    </xf>
    <xf xfId="0" fontId="0" numFmtId="0" fillId="2" borderId="40" applyFont="0" applyNumberFormat="0" applyFill="1" applyBorder="1" applyAlignment="1">
      <alignment vertical="center" textRotation="0" wrapText="false" shrinkToFit="false"/>
    </xf>
    <xf xfId="0" fontId="18" numFmtId="0" fillId="2" borderId="41" applyFont="1" applyNumberFormat="0" applyFill="1" applyBorder="1" applyAlignment="1">
      <alignment vertical="center" textRotation="0" wrapText="false" shrinkToFit="false"/>
    </xf>
    <xf xfId="0" fontId="0" numFmtId="0" fillId="0" borderId="41" applyFont="0" applyNumberFormat="0" applyFill="0" applyBorder="1" applyAlignment="1">
      <alignment vertical="center" textRotation="0" wrapText="false" shrinkToFit="false"/>
    </xf>
    <xf xfId="0" fontId="0" numFmtId="0" fillId="0" borderId="42" applyFont="0" applyNumberFormat="0" applyFill="0" applyBorder="1" applyAlignment="1">
      <alignment vertical="center" textRotation="0" wrapText="false" shrinkToFit="false"/>
    </xf>
    <xf xfId="0" fontId="0" numFmtId="165" fillId="0" borderId="43" applyFont="0" applyNumberFormat="1" applyFill="0" applyBorder="1" applyAlignment="1">
      <alignment vertical="center" textRotation="0" wrapText="false" shrinkToFit="false"/>
    </xf>
    <xf xfId="0" fontId="0" numFmtId="165" fillId="0" borderId="44" applyFont="0" applyNumberFormat="1" applyFill="0" applyBorder="1" applyAlignment="1">
      <alignment vertical="center" textRotation="0" wrapText="false" shrinkToFit="false"/>
    </xf>
    <xf xfId="0" fontId="0" numFmtId="165" fillId="0" borderId="45" applyFont="0" applyNumberFormat="1" applyFill="0" applyBorder="1" applyAlignment="1">
      <alignment vertical="center" textRotation="0" wrapText="false" shrinkToFit="false"/>
    </xf>
    <xf xfId="0" fontId="0" numFmtId="3" fillId="0" borderId="46" applyFont="0" applyNumberFormat="1" applyFill="0" applyBorder="1" applyAlignment="1">
      <alignment vertical="center" textRotation="0" wrapText="false" shrinkToFit="false"/>
    </xf>
    <xf xfId="0" fontId="0" numFmtId="3" fillId="0" borderId="47" applyFont="0" applyNumberFormat="1" applyFill="0" applyBorder="1" applyAlignment="1">
      <alignment vertical="center" textRotation="0" wrapText="false" shrinkToFit="false"/>
    </xf>
    <xf xfId="0" fontId="0" numFmtId="166" fillId="0" borderId="47" applyFont="0" applyNumberFormat="1" applyFill="0" applyBorder="1" applyAlignment="1">
      <alignment vertical="center" textRotation="0" wrapText="false" shrinkToFit="false"/>
    </xf>
    <xf xfId="0" fontId="0" numFmtId="166" fillId="0" borderId="48" applyFont="0" applyNumberFormat="1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1" fillId="0" borderId="0" applyFont="1" applyNumberFormat="1" applyFill="0" applyBorder="0" applyAlignment="1">
      <alignment vertical="center" textRotation="0" wrapText="false" shrinkToFit="false"/>
    </xf>
    <xf xfId="0" fontId="19" numFmtId="1" fillId="0" borderId="0" applyFont="1" applyNumberFormat="1" applyFill="0" applyBorder="0" applyAlignment="1">
      <alignment vertical="center" textRotation="0" wrapText="false" shrinkToFit="false"/>
    </xf>
    <xf xfId="0" fontId="0" numFmtId="3" fillId="0" borderId="0" applyFont="0" applyNumberFormat="1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vertical="center" textRotation="0" wrapText="false" shrinkToFit="false"/>
    </xf>
    <xf xfId="0" fontId="0" numFmtId="164" fillId="0" borderId="0" applyFont="0" applyNumberFormat="1" applyFill="0" applyBorder="0" applyAlignment="1">
      <alignment vertical="center" textRotation="0" wrapText="false" shrinkToFit="false"/>
    </xf>
    <xf xfId="0" fontId="3" numFmtId="165" fillId="0" borderId="0" applyFont="1" applyNumberFormat="1" applyFill="0" applyBorder="0" applyAlignment="1">
      <alignment vertical="center" textRotation="0" wrapText="false" shrinkToFit="false"/>
    </xf>
    <xf xfId="0" fontId="3" numFmtId="2" fillId="0" borderId="0" applyFont="1" applyNumberFormat="1" applyFill="0" applyBorder="0" applyAlignment="1">
      <alignment vertical="center" textRotation="0" wrapText="false" shrinkToFit="false"/>
    </xf>
    <xf xfId="0" fontId="3" numFmtId="9" fillId="0" borderId="0" applyFont="1" applyNumberFormat="1" applyFill="0" applyBorder="0" applyAlignment="1">
      <alignment vertical="center" textRotation="0" wrapText="false" shrinkToFit="false"/>
    </xf>
    <xf xfId="0" fontId="3" numFmtId="3" fillId="0" borderId="0" applyFont="1" applyNumberFormat="1" applyFill="0" applyBorder="0" applyAlignment="1">
      <alignment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166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10" fillId="0" borderId="0" applyFont="1" applyNumberFormat="1" applyFill="0" applyBorder="0" applyAlignment="1">
      <alignment vertical="center" textRotation="0" wrapText="false" shrinkToFit="false"/>
    </xf>
    <xf xfId="0" fontId="0" numFmtId="164" fillId="0" borderId="49" applyFont="0" applyNumberFormat="1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6" applyFont="0" applyNumberFormat="0" applyFill="0" applyBorder="1" applyAlignment="1">
      <alignment vertical="center" textRotation="0" wrapText="false" shrinkToFit="false"/>
    </xf>
    <xf xfId="0" fontId="0" numFmtId="0" fillId="4" borderId="11" applyFont="0" applyNumberFormat="0" applyFill="1" applyBorder="1" applyAlignment="1">
      <alignment vertical="center" textRotation="0" wrapText="false" shrinkToFit="false"/>
    </xf>
    <xf xfId="0" fontId="3" numFmtId="15" fillId="0" borderId="0" applyFont="1" applyNumberFormat="1" applyFill="0" applyBorder="0" applyAlignment="1">
      <alignment vertical="center" textRotation="0" wrapText="false" shrinkToFit="false"/>
    </xf>
    <xf xfId="0" fontId="0" numFmtId="0" fillId="0" borderId="50" applyFont="0" applyNumberFormat="0" applyFill="0" applyBorder="1" applyAlignment="1">
      <alignment vertical="center" textRotation="0" wrapText="false" shrinkToFit="false"/>
    </xf>
    <xf xfId="0" fontId="0" numFmtId="0" fillId="0" borderId="51" applyFont="0" applyNumberFormat="0" applyFill="0" applyBorder="1" applyAlignment="1">
      <alignment vertical="center" textRotation="0" wrapText="false" shrinkToFit="false"/>
    </xf>
    <xf xfId="0" fontId="0" numFmtId="0" fillId="0" borderId="52" applyFont="0" applyNumberFormat="0" applyFill="0" applyBorder="1" applyAlignment="1">
      <alignment vertical="center" textRotation="0" wrapText="false" shrinkToFit="false"/>
    </xf>
    <xf xfId="0" fontId="0" numFmtId="1" fillId="0" borderId="0" applyFont="0" applyNumberFormat="1" applyFill="0" applyBorder="0" applyAlignment="1">
      <alignment vertical="center" textRotation="0" wrapText="false" shrinkToFit="false"/>
    </xf>
    <xf xfId="0" fontId="0" numFmtId="167" fillId="0" borderId="52" applyFont="0" applyNumberFormat="1" applyFill="0" applyBorder="1" applyAlignment="1">
      <alignment horizontal="left" vertical="center" textRotation="0" wrapText="false" shrinkToFit="false"/>
    </xf>
    <xf xfId="0" fontId="0" numFmtId="3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53" applyFont="0" applyNumberFormat="0" applyFill="0" applyBorder="1" applyAlignment="1">
      <alignment vertical="center" textRotation="0" wrapText="false" shrinkToFit="false"/>
    </xf>
    <xf xfId="0" fontId="3" numFmtId="9" fillId="0" borderId="52" applyFont="1" applyNumberFormat="1" applyFill="0" applyBorder="1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vertical="center" textRotation="0" wrapText="false" shrinkToFit="false"/>
    </xf>
    <xf xfId="0" fontId="0" numFmtId="3" fillId="0" borderId="52" applyFont="0" applyNumberFormat="1" applyFill="0" applyBorder="1" applyAlignment="1">
      <alignment vertical="center" textRotation="0" wrapText="false" shrinkToFit="false"/>
    </xf>
    <xf xfId="0" fontId="0" numFmtId="165" fillId="0" borderId="0" applyFont="0" applyNumberFormat="1" applyFill="0" applyBorder="0" applyAlignment="1">
      <alignment vertical="center" textRotation="0" wrapText="false" shrinkToFit="false"/>
    </xf>
    <xf xfId="0" fontId="20" numFmtId="3" fillId="0" borderId="0" applyFont="1" applyNumberFormat="1" applyFill="0" applyBorder="0" applyAlignment="1">
      <alignment horizontal="center" vertical="center" textRotation="0" wrapText="false" shrinkToFit="false"/>
    </xf>
    <xf xfId="0" fontId="0" numFmtId="9" fillId="0" borderId="0" applyFont="0" applyNumberFormat="1" applyFill="0" applyBorder="0" applyAlignment="1">
      <alignment vertical="center" textRotation="0" wrapText="false" shrinkToFit="false"/>
    </xf>
    <xf xfId="0" fontId="0" numFmtId="2" fillId="0" borderId="0" applyFont="0" applyNumberFormat="1" applyFill="0" applyBorder="0" applyAlignment="1">
      <alignment vertical="center" textRotation="0" wrapText="false" shrinkToFit="false"/>
    </xf>
    <xf xfId="0" fontId="0" numFmtId="0" fillId="0" borderId="53" applyFont="0" applyNumberFormat="0" applyFill="0" applyBorder="1" applyAlignment="1">
      <alignment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5" fillId="0" borderId="54" applyFont="1" applyNumberFormat="1" applyFill="0" applyBorder="1" applyAlignment="1">
      <alignment vertical="center" textRotation="0" wrapText="false" shrinkToFit="false"/>
    </xf>
    <xf xfId="0" fontId="0" numFmtId="0" fillId="0" borderId="55" applyFont="0" applyNumberFormat="0" applyFill="0" applyBorder="1" applyAlignment="1">
      <alignment vertical="center" textRotation="0" wrapText="false" shrinkToFit="false"/>
    </xf>
    <xf xfId="0" fontId="0" numFmtId="9" fillId="0" borderId="0" applyFont="0" applyNumberFormat="1" applyFill="0" applyBorder="0" applyAlignment="1">
      <alignment vertical="center" textRotation="0" wrapText="false" shrinkToFit="false"/>
    </xf>
    <xf xfId="0" fontId="20" numFmtId="167" fillId="0" borderId="0" applyFont="1" applyNumberFormat="1" applyFill="0" applyBorder="0" applyAlignment="1">
      <alignment horizontal="center" vertical="center" textRotation="0" wrapText="false" shrinkToFit="false"/>
    </xf>
    <xf xfId="0" fontId="21" numFmtId="166" fillId="0" borderId="52" applyFont="1" applyNumberFormat="1" applyFill="0" applyBorder="1" applyAlignment="1">
      <alignment vertical="center" textRotation="0" wrapText="false" shrinkToFit="false"/>
    </xf>
    <xf xfId="0" fontId="20" numFmtId="4" fillId="0" borderId="0" applyFont="1" applyNumberFormat="1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2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56" applyFont="0" applyNumberFormat="0" applyFill="0" applyBorder="1" applyAlignment="1">
      <alignment vertical="center" textRotation="0" wrapText="false" shrinkToFit="false"/>
    </xf>
    <xf xfId="0" fontId="0" numFmtId="0" fillId="0" borderId="54" applyFont="0" applyNumberFormat="0" applyFill="0" applyBorder="1" applyAlignment="1">
      <alignment vertical="center" textRotation="0" wrapText="false" shrinkToFit="false"/>
    </xf>
    <xf xfId="0" fontId="20" numFmtId="3" fillId="0" borderId="55" applyFont="1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2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57" applyFont="0" applyNumberFormat="0" applyFill="0" applyBorder="1" applyAlignment="1">
      <alignment vertical="center" textRotation="0" wrapText="false" shrinkToFit="false"/>
    </xf>
    <xf xfId="0" fontId="0" numFmtId="0" fillId="0" borderId="57" applyFont="0" applyNumberFormat="0" applyFill="0" applyBorder="1" applyAlignment="1">
      <alignment vertical="center" textRotation="0" wrapText="false" shrinkToFit="false"/>
    </xf>
    <xf xfId="0" fontId="24" numFmtId="0" fillId="0" borderId="58" applyFont="1" applyNumberFormat="0" applyFill="0" applyBorder="1" applyAlignment="1">
      <alignment vertical="center" textRotation="0" wrapText="false" shrinkToFit="false"/>
    </xf>
    <xf xfId="0" fontId="25" numFmtId="0" fillId="0" borderId="59" applyFont="1" applyNumberFormat="0" applyFill="0" applyBorder="1" applyAlignment="1">
      <alignment horizontal="center" vertical="center" textRotation="0" wrapText="false" shrinkToFit="false"/>
    </xf>
    <xf xfId="0" fontId="25" numFmtId="0" fillId="0" borderId="60" applyFont="1" applyNumberFormat="0" applyFill="0" applyBorder="1" applyAlignment="1">
      <alignment horizontal="center" vertical="center" textRotation="0" wrapText="false" shrinkToFit="false"/>
    </xf>
    <xf xfId="0" fontId="25" numFmtId="0" fillId="0" borderId="61" applyFont="1" applyNumberFormat="0" applyFill="0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26" numFmtId="15" fillId="0" borderId="0" applyFont="1" applyNumberFormat="1" applyFill="0" applyBorder="0" applyAlignment="1">
      <alignment horizontal="center" vertical="center" textRotation="0" wrapText="false" shrinkToFit="false"/>
    </xf>
    <xf xfId="0" fontId="25" numFmtId="0" fillId="0" borderId="62" applyFont="1" applyNumberFormat="0" applyFill="0" applyBorder="1" applyAlignment="1">
      <alignment horizontal="center" vertical="center" textRotation="0" wrapText="false" shrinkToFit="false"/>
    </xf>
    <xf xfId="0" fontId="25" numFmtId="0" fillId="0" borderId="63" applyFont="1" applyNumberFormat="0" applyFill="0" applyBorder="1" applyAlignment="1">
      <alignment horizontal="center" vertical="center" textRotation="0" wrapText="false" shrinkToFit="false"/>
    </xf>
    <xf xfId="0" fontId="25" numFmtId="0" fillId="0" borderId="64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65" applyFont="1" applyNumberFormat="0" applyFill="0" applyBorder="1" applyAlignment="1">
      <alignment horizontal="center" vertical="center" textRotation="0" wrapText="false" shrinkToFit="false"/>
    </xf>
    <xf xfId="0" fontId="27" numFmtId="0" fillId="0" borderId="0" applyFont="1" applyNumberFormat="0" applyFill="0" applyBorder="0" applyAlignment="1">
      <alignment horizontal="center" vertical="center" textRotation="0" wrapText="false" shrinkToFit="false"/>
    </xf>
    <xf xfId="0" fontId="28" numFmtId="0" fillId="0" borderId="66" applyFont="1" applyNumberFormat="0" applyFill="0" applyBorder="1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vertical="center" textRotation="0" wrapText="false" shrinkToFit="false"/>
    </xf>
    <xf xfId="0" fontId="29" numFmtId="0" fillId="0" borderId="58" applyFont="1" applyNumberFormat="0" applyFill="0" applyBorder="1" applyAlignment="1">
      <alignment horizontal="center" vertical="center" textRotation="0" wrapText="false" shrinkToFit="false"/>
    </xf>
    <xf xfId="0" fontId="30" numFmtId="0" fillId="0" borderId="67" applyFont="1" applyNumberFormat="0" applyFill="0" applyBorder="1" applyAlignment="1">
      <alignment horizontal="center" vertical="center" textRotation="0" wrapText="false" shrinkToFit="false"/>
    </xf>
    <xf xfId="0" fontId="31" numFmtId="9" fillId="2" borderId="68" applyFont="1" applyNumberFormat="1" applyFill="1" applyBorder="1" applyAlignment="1">
      <alignment horizontal="center" vertical="center" textRotation="0" wrapText="false" shrinkToFit="false"/>
    </xf>
    <xf xfId="0" fontId="30" numFmtId="0" fillId="0" borderId="68" applyFont="1" applyNumberFormat="0" applyFill="0" applyBorder="1" applyAlignment="1">
      <alignment horizontal="center" vertical="center" textRotation="0" wrapText="false" shrinkToFit="false"/>
    </xf>
    <xf xfId="0" fontId="31" numFmtId="9" fillId="2" borderId="69" applyFont="1" applyNumberFormat="1" applyFill="1" applyBorder="1" applyAlignment="1">
      <alignment horizontal="center" vertical="center" textRotation="0" wrapText="false" shrinkToFit="false"/>
    </xf>
    <xf xfId="0" fontId="30" numFmtId="0" fillId="0" borderId="70" applyFont="1" applyNumberFormat="0" applyFill="0" applyBorder="1" applyAlignment="1">
      <alignment horizontal="center" vertical="center" textRotation="0" wrapText="false" shrinkToFit="false"/>
    </xf>
    <xf xfId="0" fontId="31" numFmtId="9" fillId="2" borderId="65" applyFont="1" applyNumberFormat="1" applyFill="1" applyBorder="1" applyAlignment="1">
      <alignment horizontal="center" vertical="center" textRotation="0" wrapText="false" shrinkToFit="false"/>
    </xf>
    <xf xfId="0" fontId="30" numFmtId="0" fillId="0" borderId="65" applyFont="1" applyNumberFormat="0" applyFill="0" applyBorder="1" applyAlignment="1">
      <alignment horizontal="center" vertical="center" textRotation="0" wrapText="false" shrinkToFit="false"/>
    </xf>
    <xf xfId="0" fontId="31" numFmtId="9" fillId="2" borderId="71" applyFont="1" applyNumberFormat="1" applyFill="1" applyBorder="1" applyAlignment="1">
      <alignment horizontal="center" vertical="center" textRotation="0" wrapText="false" shrinkToFit="false"/>
    </xf>
    <xf xfId="0" fontId="29" numFmtId="1" fillId="0" borderId="58" applyFont="1" applyNumberFormat="1" applyFill="0" applyBorder="1" applyAlignment="1">
      <alignment horizontal="center" vertical="center" textRotation="0" wrapText="false" shrinkToFit="false"/>
    </xf>
    <xf xfId="0" fontId="29" numFmtId="0" fillId="0" borderId="72" applyFont="1" applyNumberFormat="0" applyFill="0" applyBorder="1" applyAlignment="1">
      <alignment horizontal="center" vertical="center" textRotation="0" wrapText="false" shrinkToFit="false"/>
    </xf>
    <xf xfId="0" fontId="30" numFmtId="0" fillId="0" borderId="73" applyFont="1" applyNumberFormat="0" applyFill="0" applyBorder="1" applyAlignment="1">
      <alignment horizontal="center" vertical="center" textRotation="0" wrapText="false" shrinkToFit="false"/>
    </xf>
    <xf xfId="0" fontId="31" numFmtId="9" fillId="2" borderId="74" applyFont="1" applyNumberFormat="1" applyFill="1" applyBorder="1" applyAlignment="1">
      <alignment horizontal="center" vertical="center" textRotation="0" wrapText="false" shrinkToFit="false"/>
    </xf>
    <xf xfId="0" fontId="30" numFmtId="0" fillId="0" borderId="74" applyFont="1" applyNumberFormat="0" applyFill="0" applyBorder="1" applyAlignment="1">
      <alignment horizontal="center" vertical="center" textRotation="0" wrapText="false" shrinkToFit="false"/>
    </xf>
    <xf xfId="0" fontId="30" numFmtId="0" fillId="0" borderId="75" applyFont="1" applyNumberFormat="0" applyFill="0" applyBorder="1" applyAlignment="1">
      <alignment horizontal="center" vertical="center" textRotation="0" wrapText="false" shrinkToFit="false"/>
    </xf>
    <xf xfId="0" fontId="31" numFmtId="9" fillId="2" borderId="76" applyFont="1" applyNumberFormat="1" applyFill="1" applyBorder="1" applyAlignment="1">
      <alignment horizontal="center" vertical="center" textRotation="0" wrapText="false" shrinkToFit="false"/>
    </xf>
    <xf xfId="0" fontId="25" numFmtId="0" fillId="0" borderId="77" applyFont="1" applyNumberFormat="0" applyFill="0" applyBorder="1" applyAlignment="1">
      <alignment horizontal="center" vertical="center" textRotation="0" wrapText="false" shrinkToFit="false"/>
    </xf>
    <xf xfId="0" fontId="25" numFmtId="0" fillId="0" borderId="78" applyFont="1" applyNumberFormat="0" applyFill="0" applyBorder="1" applyAlignment="1">
      <alignment horizontal="center" vertical="center" textRotation="0" wrapText="false" shrinkToFit="false"/>
    </xf>
    <xf xfId="0" fontId="25" numFmtId="0" fillId="0" borderId="79" applyFont="1" applyNumberFormat="0" applyFill="0" applyBorder="1" applyAlignment="1">
      <alignment horizontal="center" vertical="center" textRotation="0" wrapText="false" shrinkToFit="false"/>
    </xf>
    <xf xfId="0" fontId="30" numFmtId="0" fillId="0" borderId="0" applyFont="1" applyNumberFormat="0" applyFill="0" applyBorder="0" applyAlignment="1">
      <alignment horizontal="center" vertical="center" textRotation="0" wrapText="false" shrinkToFit="false"/>
    </xf>
    <xf xfId="0" fontId="32" numFmtId="0" fillId="0" borderId="0" applyFont="1" applyNumberFormat="0" applyFill="0" applyBorder="0" applyAlignment="1">
      <alignment horizontal="center" vertical="center" textRotation="0" wrapText="false" shrinkToFit="false"/>
    </xf>
    <xf xfId="0" fontId="31" numFmtId="9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3" fillId="0" borderId="80" applyFont="1" applyNumberFormat="1" applyFill="0" applyBorder="1" applyAlignment="1">
      <alignment vertical="center" textRotation="0" wrapText="false" shrinkToFit="false"/>
    </xf>
    <xf xfId="0" fontId="29" numFmtId="0" fillId="0" borderId="81" applyFont="1" applyNumberFormat="0" applyFill="0" applyBorder="1" applyAlignment="1">
      <alignment horizontal="center" vertical="center" textRotation="0" wrapText="false" shrinkToFit="false"/>
    </xf>
    <xf xfId="0" fontId="33" numFmtId="3" fillId="0" borderId="80" applyFont="1" applyNumberFormat="1" applyFill="0" applyBorder="1" applyAlignment="1">
      <alignment vertical="center" textRotation="0" wrapText="false" shrinkToFit="false"/>
    </xf>
    <xf xfId="0" fontId="3" numFmtId="10" fillId="0" borderId="0" applyFont="1" applyNumberFormat="1" applyFill="0" applyBorder="0" applyAlignment="1">
      <alignment vertical="center" textRotation="0" wrapText="false" shrinkToFit="false"/>
    </xf>
    <xf xfId="0" fontId="30" numFmtId="0" fillId="0" borderId="82" applyFont="1" applyNumberFormat="0" applyFill="0" applyBorder="1" applyAlignment="1">
      <alignment horizontal="center" vertical="center" textRotation="0" wrapText="false" shrinkToFit="false"/>
    </xf>
    <xf xfId="0" fontId="31" numFmtId="9" fillId="2" borderId="83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4" numFmtId="0" fillId="0" borderId="70" applyFont="1" applyNumberFormat="0" applyFill="0" applyBorder="1" applyAlignment="1">
      <alignment horizontal="center" vertical="center" textRotation="0" wrapText="false" shrinkToFit="false"/>
    </xf>
    <xf xfId="0" fontId="34" numFmtId="0" fillId="0" borderId="65" applyFont="1" applyNumberFormat="0" applyFill="0" applyBorder="1" applyAlignment="1">
      <alignment horizontal="center" vertical="center" textRotation="0" wrapText="false" shrinkToFit="false"/>
    </xf>
    <xf xfId="0" fontId="25" numFmtId="0" fillId="0" borderId="84" applyFont="1" applyNumberFormat="0" applyFill="0" applyBorder="1" applyAlignment="1">
      <alignment horizontal="center" vertical="center" textRotation="0" wrapText="false" shrinkToFit="false"/>
    </xf>
    <xf xfId="0" fontId="35" numFmtId="0" fillId="0" borderId="0" applyFont="1" applyNumberFormat="0" applyFill="0" applyBorder="0" applyAlignment="1">
      <alignment vertical="center" textRotation="0" wrapText="false" shrinkToFit="false"/>
    </xf>
    <xf xfId="0" fontId="21" numFmtId="0" fillId="0" borderId="0" applyFont="1" applyNumberFormat="0" applyFill="0" applyBorder="0" applyAlignment="1">
      <alignment vertical="center" textRotation="0" wrapText="false" shrinkToFit="false"/>
    </xf>
    <xf xfId="0" fontId="31" numFmtId="9" fillId="2" borderId="85" applyFont="1" applyNumberFormat="1" applyFill="1" applyBorder="1" applyAlignment="1">
      <alignment horizontal="center" vertical="center" textRotation="0" wrapText="false" shrinkToFit="false"/>
    </xf>
    <xf xfId="0" fontId="36" numFmtId="0" fillId="0" borderId="0" applyFont="1" applyNumberFormat="0" applyFill="0" applyBorder="0" applyAlignment="1">
      <alignment vertical="center" textRotation="0" wrapText="false" shrinkToFit="false"/>
    </xf>
    <xf xfId="0" fontId="29" numFmtId="0" fillId="0" borderId="71" applyFont="1" applyNumberFormat="0" applyFill="0" applyBorder="1" applyAlignment="1">
      <alignment horizontal="center" vertical="center" textRotation="0" wrapText="false" shrinkToFit="false"/>
    </xf>
    <xf xfId="0" fontId="30" numFmtId="0" fillId="0" borderId="86" applyFont="1" applyNumberFormat="0" applyFill="0" applyBorder="1" applyAlignment="1">
      <alignment horizontal="center" vertical="center" textRotation="0" wrapText="false" shrinkToFit="false"/>
    </xf>
    <xf xfId="0" fontId="31" numFmtId="9" fillId="2" borderId="87" applyFont="1" applyNumberFormat="1" applyFill="1" applyBorder="1" applyAlignment="1">
      <alignment horizontal="center" vertical="center" textRotation="0" wrapText="false" shrinkToFit="false"/>
    </xf>
    <xf xfId="0" fontId="30" numFmtId="0" fillId="0" borderId="87" applyFont="1" applyNumberFormat="0" applyFill="0" applyBorder="1" applyAlignment="1">
      <alignment horizontal="center" vertical="center" textRotation="0" wrapText="false" shrinkToFit="false"/>
    </xf>
    <xf xfId="0" fontId="31" numFmtId="9" fillId="2" borderId="88" applyFont="1" applyNumberFormat="1" applyFill="1" applyBorder="1" applyAlignment="1">
      <alignment horizontal="center" vertical="center" textRotation="0" wrapText="false" shrinkToFit="false"/>
    </xf>
    <xf xfId="0" fontId="2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3" fillId="0" borderId="89" applyFont="0" applyNumberFormat="1" applyFill="0" applyBorder="1" applyAlignment="1">
      <alignment vertical="center" textRotation="0" wrapText="false" shrinkToFit="false"/>
    </xf>
    <xf xfId="0" fontId="0" numFmtId="3" fillId="0" borderId="90" applyFont="0" applyNumberFormat="1" applyFill="0" applyBorder="1" applyAlignment="1">
      <alignment vertical="center" textRotation="0" wrapText="false" shrinkToFit="false"/>
    </xf>
    <xf xfId="0" fontId="0" numFmtId="166" fillId="0" borderId="90" applyFont="0" applyNumberFormat="1" applyFill="0" applyBorder="1" applyAlignment="1">
      <alignment vertical="center" textRotation="0" wrapText="false" shrinkToFit="false"/>
    </xf>
    <xf xfId="0" fontId="0" numFmtId="15" fillId="0" borderId="25" applyFont="0" applyNumberFormat="1" applyFill="0" applyBorder="1" applyAlignment="1">
      <alignment vertical="center" textRotation="0" wrapText="false" shrinkToFit="false"/>
    </xf>
    <xf xfId="0" fontId="3" numFmtId="1" fillId="0" borderId="91" applyFont="1" applyNumberFormat="1" applyFill="0" applyBorder="1" applyAlignment="1">
      <alignment vertical="center" textRotation="0" wrapText="false" shrinkToFit="false"/>
    </xf>
    <xf xfId="0" fontId="3" numFmtId="9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92" applyFont="0" applyNumberFormat="1" applyFill="0" applyBorder="1" applyAlignment="1">
      <alignment vertical="center" textRotation="0" wrapText="false" shrinkToFit="false"/>
    </xf>
    <xf xfId="0" fontId="31" numFmtId="9" fillId="2" borderId="66" applyFont="1" applyNumberFormat="1" applyFill="1" applyBorder="1" applyAlignment="1">
      <alignment horizontal="center" vertical="center" textRotation="0" wrapText="false" shrinkToFit="false"/>
    </xf>
    <xf xfId="0" fontId="0" numFmtId="3" fillId="0" borderId="93" applyFont="0" applyNumberFormat="1" applyFill="0" applyBorder="1" applyAlignment="1">
      <alignment vertical="center" textRotation="0" wrapText="false" shrinkToFit="false"/>
    </xf>
    <xf xfId="0" fontId="0" numFmtId="166" fillId="0" borderId="93" applyFont="0" applyNumberFormat="1" applyFill="0" applyBorder="1" applyAlignment="1">
      <alignment vertical="center" textRotation="0" wrapText="false" shrinkToFit="false"/>
    </xf>
    <xf xfId="0" fontId="0" numFmtId="165" fillId="0" borderId="30" applyFont="0" applyNumberFormat="1" applyFill="0" applyBorder="1" applyAlignment="1">
      <alignment horizontal="center" vertical="center" textRotation="0" wrapText="false" shrinkToFit="false"/>
    </xf>
    <xf xfId="0" fontId="0" numFmtId="165" fillId="0" borderId="31" applyFont="0" applyNumberFormat="1" applyFill="0" applyBorder="1" applyAlignment="1">
      <alignment horizontal="center" vertical="center" textRotation="0" wrapText="false" shrinkToFit="false"/>
    </xf>
    <xf xfId="0" fontId="0" numFmtId="165" fillId="0" borderId="21" applyFont="0" applyNumberFormat="1" applyFill="0" applyBorder="1" applyAlignment="1">
      <alignment horizontal="center" vertical="center" textRotation="0" wrapText="false" shrinkToFit="false"/>
    </xf>
    <xf xfId="0" fontId="0" numFmtId="165" fillId="0" borderId="23" applyFont="0" applyNumberFormat="1" applyFill="0" applyBorder="1" applyAlignment="1">
      <alignment horizontal="center" vertical="center" textRotation="0" wrapText="false" shrinkToFit="false"/>
    </xf>
    <xf xfId="0" fontId="3" numFmtId="1" fillId="0" borderId="91" applyFont="1" applyNumberFormat="1" applyFill="0" applyBorder="1" applyAlignment="1">
      <alignment horizontal="center" vertical="center" textRotation="0" wrapText="false" shrinkToFit="false"/>
    </xf>
    <xf xfId="0" fontId="37" numFmtId="3" fillId="0" borderId="56" applyFont="1" applyNumberFormat="1" applyFill="0" applyBorder="1" applyAlignment="1">
      <alignment horizontal="center" vertical="center" textRotation="0" wrapText="false" shrinkToFit="false"/>
    </xf>
    <xf xfId="0" fontId="0" numFmtId="0" fillId="0" borderId="52" applyFont="0" applyNumberFormat="0" applyFill="0" applyBorder="1" applyAlignment="1">
      <alignment vertical="center" textRotation="0" wrapText="false" shrinkToFit="false"/>
    </xf>
    <xf xfId="0" fontId="2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94" applyFont="0" applyNumberFormat="0" applyFill="0" applyBorder="1" applyAlignment="1">
      <alignment vertical="center" textRotation="0" wrapText="false" shrinkToFit="false"/>
    </xf>
    <xf xfId="0" fontId="0" numFmtId="0" fillId="0" borderId="95" applyFont="0" applyNumberFormat="0" applyFill="0" applyBorder="1" applyAlignment="1">
      <alignment vertical="center" textRotation="0" wrapText="false" shrinkToFit="false"/>
    </xf>
    <xf xfId="0" fontId="0" numFmtId="0" fillId="0" borderId="96" applyFont="0" applyNumberFormat="0" applyFill="0" applyBorder="1" applyAlignment="1">
      <alignment vertical="center" textRotation="0" wrapText="false" shrinkToFit="false"/>
    </xf>
    <xf xfId="0" fontId="18" numFmtId="0" fillId="0" borderId="16" applyFont="1" applyNumberFormat="0" applyFill="0" applyBorder="1" applyAlignment="1">
      <alignment horizontal="center" vertical="center" textRotation="0" wrapText="false" shrinkToFit="false"/>
    </xf>
    <xf xfId="0" fontId="33" numFmtId="3" fillId="0" borderId="0" applyFont="1" applyNumberFormat="1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0" numFmtId="9" fillId="0" borderId="0" applyFont="0" applyNumberFormat="1" applyFill="0" applyBorder="0" applyAlignment="1">
      <alignment horizontal="center" vertical="center" textRotation="0" wrapText="false" shrinkToFit="false"/>
    </xf>
    <xf xfId="0" fontId="18" numFmtId="0" fillId="0" borderId="97" applyFont="1" applyNumberFormat="0" applyFill="0" applyBorder="1" applyAlignment="1">
      <alignment vertical="center" textRotation="0" wrapText="false" shrinkToFit="false"/>
    </xf>
    <xf xfId="0" fontId="0" numFmtId="0" fillId="0" borderId="26" applyFont="0" applyNumberFormat="0" applyFill="0" applyBorder="1" applyAlignment="1">
      <alignment vertical="center" textRotation="0" wrapText="false" shrinkToFit="false"/>
    </xf>
    <xf xfId="0" fontId="0" numFmtId="0" fillId="0" borderId="37" applyFont="0" applyNumberFormat="0" applyFill="0" applyBorder="1" applyAlignment="1">
      <alignment vertical="center" textRotation="0" wrapText="false" shrinkToFit="false"/>
    </xf>
    <xf xfId="0" fontId="31" numFmtId="9" fillId="2" borderId="75" applyFont="1" applyNumberFormat="1" applyFill="1" applyBorder="1" applyAlignment="1">
      <alignment horizontal="center" vertical="center" textRotation="0" wrapText="false" shrinkToFit="false"/>
    </xf>
    <xf xfId="0" fontId="18" numFmtId="164" fillId="0" borderId="10" applyFont="1" applyNumberFormat="1" applyFill="0" applyBorder="1" applyAlignment="1">
      <alignment vertical="center" textRotation="0" wrapText="false" shrinkToFit="false"/>
    </xf>
    <xf xfId="0" fontId="0" numFmtId="10" fillId="0" borderId="65" applyFont="0" applyNumberFormat="1" applyFill="0" applyBorder="1" applyAlignment="1">
      <alignment vertical="center" textRotation="0" wrapText="false" shrinkToFit="false"/>
    </xf>
    <xf xfId="0" fontId="0" numFmtId="168" fillId="0" borderId="65" applyFont="0" applyNumberFormat="1" applyFill="0" applyBorder="1" applyAlignment="1">
      <alignment vertical="center" textRotation="0" wrapText="false" shrinkToFit="false"/>
    </xf>
    <xf xfId="0" fontId="38" numFmtId="0" fillId="0" borderId="98" applyFont="1" applyNumberFormat="0" applyFill="0" applyBorder="1" applyAlignment="1">
      <alignment horizontal="left" vertical="center" textRotation="0" wrapText="false" shrinkToFit="false"/>
    </xf>
    <xf xfId="0" fontId="38" numFmtId="0" fillId="0" borderId="99" applyFont="1" applyNumberFormat="0" applyFill="0" applyBorder="1" applyAlignment="1">
      <alignment horizontal="left" vertical="center" textRotation="0" wrapText="false" shrinkToFit="false"/>
    </xf>
    <xf xfId="0" fontId="38" numFmtId="0" fillId="0" borderId="100" applyFont="1" applyNumberFormat="0" applyFill="0" applyBorder="1" applyAlignment="1">
      <alignment horizontal="left" vertical="center" textRotation="0" wrapText="false" shrinkToFit="false"/>
    </xf>
    <xf xfId="0" fontId="38" numFmtId="0" fillId="0" borderId="101" applyFont="1" applyNumberFormat="0" applyFill="0" applyBorder="1" applyAlignment="1">
      <alignment horizontal="left" vertical="center" textRotation="0" wrapText="false" shrinkToFit="false"/>
    </xf>
    <xf xfId="0" fontId="38" numFmtId="0" fillId="0" borderId="102" applyFont="1" applyNumberFormat="0" applyFill="0" applyBorder="1" applyAlignment="1">
      <alignment horizontal="left" vertical="center" textRotation="0" wrapText="false" shrinkToFit="false"/>
    </xf>
    <xf xfId="0" fontId="38" numFmtId="0" fillId="0" borderId="103" applyFont="1" applyNumberFormat="0" applyFill="0" applyBorder="1" applyAlignment="1">
      <alignment vertical="center" textRotation="0" wrapText="false" shrinkToFit="false"/>
    </xf>
    <xf xfId="0" fontId="38" numFmtId="0" fillId="0" borderId="100" applyFont="1" applyNumberFormat="0" applyFill="0" applyBorder="1" applyAlignment="1">
      <alignment vertical="center" textRotation="0" wrapText="false" shrinkToFit="false"/>
    </xf>
    <xf xfId="0" fontId="38" numFmtId="168" fillId="0" borderId="104" applyFont="1" applyNumberFormat="1" applyFill="0" applyBorder="1" applyAlignment="1">
      <alignment vertical="center" textRotation="0" wrapText="false" shrinkToFit="false"/>
    </xf>
    <xf xfId="0" fontId="38" numFmtId="168" fillId="0" borderId="105" applyFont="1" applyNumberFormat="1" applyFill="0" applyBorder="1" applyAlignment="1">
      <alignment vertical="center" textRotation="0" wrapText="false" shrinkToFit="false"/>
    </xf>
    <xf xfId="0" fontId="38" numFmtId="1" fillId="0" borderId="106" applyFont="1" applyNumberFormat="1" applyFill="0" applyBorder="1" applyAlignment="1">
      <alignment horizontal="center" vertical="center" textRotation="0" wrapText="false" shrinkToFit="false"/>
    </xf>
    <xf xfId="0" fontId="38" numFmtId="3" fillId="0" borderId="106" applyFont="1" applyNumberFormat="1" applyFill="0" applyBorder="1" applyAlignment="1">
      <alignment horizontal="center" vertical="center" textRotation="0" wrapText="false" shrinkToFit="false"/>
    </xf>
    <xf xfId="0" fontId="38" numFmtId="9" fillId="0" borderId="107" applyFont="1" applyNumberFormat="1" applyFill="0" applyBorder="1" applyAlignment="1">
      <alignment horizontal="center" vertical="center" textRotation="0" wrapText="false" shrinkToFit="false"/>
    </xf>
    <xf xfId="0" fontId="21" numFmtId="3" fillId="0" borderId="52" applyFont="1" applyNumberFormat="1" applyFill="0" applyBorder="1" applyAlignment="1">
      <alignment vertical="center" textRotation="0" wrapText="false" shrinkToFit="false"/>
    </xf>
    <xf xfId="0" fontId="0" numFmtId="169" fillId="0" borderId="52" applyFont="0" applyNumberFormat="1" applyFill="0" applyBorder="1" applyAlignment="1">
      <alignment horizontal="left" vertical="center" textRotation="0" wrapText="false" shrinkToFit="false"/>
    </xf>
    <xf xfId="0" fontId="21" numFmtId="167" fillId="0" borderId="52" applyFont="1" applyNumberFormat="1" applyFill="0" applyBorder="1" applyAlignment="1">
      <alignment vertical="center" textRotation="0" wrapText="false" shrinkToFit="false"/>
    </xf>
    <xf xfId="0" fontId="21" numFmtId="3" fillId="0" borderId="55" applyFont="1" applyNumberFormat="1" applyFill="0" applyBorder="1" applyAlignment="1">
      <alignment vertical="center" textRotation="0" wrapText="false" shrinkToFit="false"/>
    </xf>
    <xf xfId="0" fontId="21" numFmtId="2" fillId="0" borderId="0" applyFont="1" applyNumberFormat="1" applyFill="0" applyBorder="0" applyAlignment="1">
      <alignment vertical="center" textRotation="0" wrapText="false" shrinkToFit="false"/>
    </xf>
    <xf xfId="0" fontId="0" numFmtId="0" fillId="0" borderId="108" applyFont="0" applyNumberFormat="0" applyFill="0" applyBorder="1" applyAlignment="1">
      <alignment vertical="center" textRotation="0" wrapText="false" shrinkToFit="false"/>
    </xf>
    <xf xfId="0" fontId="23" numFmtId="0" fillId="5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09" applyFont="0" applyNumberFormat="0" applyFill="0" applyBorder="1" applyAlignment="1">
      <alignment vertical="center" textRotation="0" wrapText="false" shrinkToFit="false"/>
    </xf>
    <xf xfId="0" fontId="0" numFmtId="0" fillId="0" borderId="110" applyFont="0" applyNumberFormat="0" applyFill="0" applyBorder="1" applyAlignment="1">
      <alignment vertical="center" textRotation="0" wrapText="false" shrinkToFit="false"/>
    </xf>
    <xf xfId="0" fontId="0" numFmtId="0" fillId="0" borderId="111" applyFont="0" applyNumberFormat="0" applyFill="0" applyBorder="1" applyAlignment="1">
      <alignment vertical="center" textRotation="0" wrapText="false" shrinkToFit="false"/>
    </xf>
    <xf xfId="0" fontId="0" numFmtId="0" fillId="0" borderId="112" applyFont="0" applyNumberFormat="0" applyFill="0" applyBorder="1" applyAlignment="1">
      <alignment vertical="center" textRotation="0" wrapText="false" shrinkToFit="false"/>
    </xf>
    <xf xfId="0" fontId="18" numFmtId="0" fillId="2" borderId="10" applyFont="1" applyNumberFormat="0" applyFill="1" applyBorder="1" applyAlignment="1">
      <alignment vertical="center" textRotation="0" wrapText="false" shrinkToFit="false"/>
    </xf>
    <xf xfId="0" fontId="18" numFmtId="0" fillId="2" borderId="113" applyFont="1" applyNumberFormat="0" applyFill="1" applyBorder="1" applyAlignment="1">
      <alignment vertical="center" textRotation="0" wrapText="false" shrinkToFit="false"/>
    </xf>
    <xf xfId="0" fontId="0" numFmtId="0" fillId="0" borderId="114" applyFont="0" applyNumberFormat="0" applyFill="0" applyBorder="1" applyAlignment="1">
      <alignment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5" applyFont="0" applyNumberFormat="0" applyFill="0" applyBorder="1" applyAlignment="1">
      <alignment vertical="center" textRotation="0" wrapText="false" shrinkToFit="false"/>
    </xf>
    <xf xfId="0" fontId="0" numFmtId="3" fillId="0" borderId="116" applyFont="0" applyNumberFormat="1" applyFill="0" applyBorder="1" applyAlignment="1">
      <alignment vertical="center" textRotation="0" wrapText="false" shrinkToFit="false"/>
    </xf>
    <xf xfId="0" fontId="9" numFmtId="0" fillId="0" borderId="117" applyFont="1" applyNumberFormat="0" applyFill="0" applyBorder="1" applyAlignment="1">
      <alignment horizontal="center" vertical="center" textRotation="0" wrapText="true" shrinkToFit="false"/>
    </xf>
    <xf xfId="0" fontId="39" numFmtId="0" fillId="0" borderId="9" applyFont="1" applyNumberFormat="0" applyFill="0" applyBorder="1" applyAlignment="1">
      <alignment horizontal="center" vertical="center" textRotation="0" wrapText="true" shrinkToFit="false"/>
    </xf>
    <xf xfId="0" fontId="5" numFmtId="0" fillId="0" borderId="9" applyFont="1" applyNumberFormat="0" applyFill="0" applyBorder="1" applyAlignment="1">
      <alignment horizontal="center" vertical="center" textRotation="0" wrapText="true" shrinkToFit="false"/>
    </xf>
    <xf xfId="0" fontId="40" numFmtId="0" fillId="0" borderId="9" applyFont="1" applyNumberFormat="0" applyFill="0" applyBorder="1" applyAlignment="1">
      <alignment horizontal="center" vertical="center" textRotation="0" wrapText="true" shrinkToFit="false"/>
    </xf>
    <xf xfId="0" fontId="41" numFmtId="0" fillId="0" borderId="9" applyFont="1" applyNumberFormat="0" applyFill="0" applyBorder="1" applyAlignment="1">
      <alignment horizontal="center" vertical="center" textRotation="0" wrapText="true" shrinkToFit="false"/>
    </xf>
    <xf xfId="0" fontId="42" numFmtId="0" fillId="0" borderId="9" applyFont="1" applyNumberFormat="0" applyFill="0" applyBorder="1" applyAlignment="1">
      <alignment horizontal="center" vertical="center" textRotation="0" wrapText="true" shrinkToFit="false"/>
    </xf>
    <xf xfId="0" fontId="43" numFmtId="0" fillId="0" borderId="9" applyFont="1" applyNumberFormat="0" applyFill="0" applyBorder="1" applyAlignment="1">
      <alignment horizontal="center" vertical="center" textRotation="0" wrapText="true" shrinkToFit="false"/>
    </xf>
    <xf xfId="0" fontId="44" numFmtId="49" fillId="0" borderId="9" applyFont="1" applyNumberFormat="1" applyFill="0" applyBorder="1" applyAlignment="1">
      <alignment horizontal="center" vertical="center" textRotation="0" wrapText="true" shrinkToFit="false"/>
    </xf>
    <xf xfId="0" fontId="11" numFmtId="49" fillId="0" borderId="9" applyFont="1" applyNumberFormat="1" applyFill="0" applyBorder="1" applyAlignment="1">
      <alignment horizontal="center" vertical="center" textRotation="0" wrapText="true" shrinkToFit="false"/>
    </xf>
    <xf xfId="0" fontId="45" numFmtId="0" fillId="0" borderId="11" applyFont="1" applyNumberFormat="0" applyFill="0" applyBorder="1" applyAlignment="1">
      <alignment horizontal="center" vertical="center" textRotation="0" wrapText="true" shrinkToFit="false"/>
    </xf>
    <xf xfId="0" fontId="15" numFmtId="0" fillId="0" borderId="11" applyFont="1" applyNumberFormat="0" applyFill="0" applyBorder="1" applyAlignment="1">
      <alignment horizontal="center" vertical="center" textRotation="0" wrapText="true" shrinkToFit="false"/>
    </xf>
    <xf xfId="0" fontId="15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58" applyFont="1" applyNumberFormat="0" applyFill="0" applyBorder="1" applyAlignment="1">
      <alignment horizontal="center" vertical="center" textRotation="0" wrapText="true" shrinkToFit="false"/>
    </xf>
    <xf xfId="0" fontId="3" numFmtId="0" fillId="0" borderId="118" applyFont="1" applyNumberFormat="0" applyFill="0" applyBorder="1" applyAlignment="1">
      <alignment horizontal="center" vertical="center" textRotation="0" wrapText="true" shrinkToFit="false"/>
    </xf>
    <xf xfId="0" fontId="0" numFmtId="170" fillId="0" borderId="0" applyFont="0" applyNumberFormat="1" applyFill="0" applyBorder="0" applyAlignment="0"/>
    <xf xfId="0" fontId="3" numFmtId="170" fillId="6" borderId="57" applyFont="1" applyNumberFormat="1" applyFill="1" applyBorder="1" applyAlignment="0"/>
    <xf xfId="0" fontId="3" numFmtId="170" fillId="6" borderId="119" applyFont="1" applyNumberFormat="1" applyFill="1" applyBorder="1" applyAlignment="0"/>
    <xf xfId="0" fontId="0" numFmtId="0" fillId="7" borderId="0" applyFont="0" applyNumberFormat="0" applyFill="1" applyBorder="0" applyAlignment="0"/>
    <xf xfId="0" fontId="0" numFmtId="169" fillId="7" borderId="0" applyFont="0" applyNumberFormat="1" applyFill="1" applyBorder="0" applyAlignment="0"/>
    <xf xfId="0" fontId="38" numFmtId="0" fillId="7" borderId="120" applyFont="1" applyNumberFormat="0" applyFill="1" applyBorder="1" applyAlignment="0"/>
    <xf xfId="0" fontId="38" numFmtId="3" fillId="8" borderId="121" applyFont="1" applyNumberFormat="1" applyFill="1" applyBorder="1" applyAlignment="0"/>
    <xf xfId="0" fontId="38" numFmtId="9" fillId="8" borderId="121" applyFont="1" applyNumberFormat="1" applyFill="1" applyBorder="1" applyAlignment="0"/>
    <xf xfId="0" fontId="38" numFmtId="0" fillId="7" borderId="122" applyFont="1" applyNumberFormat="0" applyFill="1" applyBorder="1" applyAlignment="0"/>
    <xf xfId="0" fontId="38" numFmtId="3" fillId="8" borderId="123" applyFont="1" applyNumberFormat="1" applyFill="1" applyBorder="1" applyAlignment="0"/>
    <xf xfId="0" fontId="38" numFmtId="9" fillId="8" borderId="123" applyFont="1" applyNumberFormat="1" applyFill="1" applyBorder="1" applyAlignment="0"/>
    <xf xfId="0" fontId="38" numFmtId="0" fillId="7" borderId="124" applyFont="1" applyNumberFormat="0" applyFill="1" applyBorder="1" applyAlignment="0"/>
    <xf xfId="0" fontId="38" numFmtId="3" fillId="8" borderId="125" applyFont="1" applyNumberFormat="1" applyFill="1" applyBorder="1" applyAlignment="0"/>
    <xf xfId="0" fontId="38" numFmtId="9" fillId="8" borderId="125" applyFont="1" applyNumberFormat="1" applyFill="1" applyBorder="1" applyAlignment="0"/>
    <xf xfId="0" fontId="46" numFmtId="0" fillId="7" borderId="82" applyFont="1" applyNumberFormat="0" applyFill="1" applyBorder="1" applyAlignment="0"/>
    <xf xfId="0" fontId="46" numFmtId="9" fillId="8" borderId="119" applyFont="1" applyNumberFormat="1" applyFill="1" applyBorder="1" applyAlignment="0"/>
    <xf xfId="0" fontId="3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84" applyFont="0" applyNumberFormat="0" applyFill="0" applyBorder="1" applyAlignment="0"/>
    <xf xfId="0" fontId="3" numFmtId="0" fillId="6" borderId="81" applyFont="1" applyNumberFormat="0" applyFill="1" applyBorder="1" applyAlignment="0"/>
    <xf xfId="0" fontId="0" numFmtId="0" fillId="0" borderId="0" applyFont="0" applyNumberFormat="0" applyFill="0" applyBorder="0" applyAlignment="0"/>
    <xf xfId="0" fontId="36" numFmtId="3" fillId="0" borderId="52" applyFont="1" applyNumberFormat="1" applyFill="0" applyBorder="1" applyAlignment="1">
      <alignment vertical="center" textRotation="0" wrapText="false" shrinkToFit="false"/>
    </xf>
    <xf xfId="0" fontId="36" numFmtId="165" fillId="0" borderId="52" applyFont="1" applyNumberFormat="1" applyFill="0" applyBorder="1" applyAlignment="1">
      <alignment vertical="center" textRotation="0" wrapText="false" shrinkToFit="false"/>
    </xf>
    <xf xfId="0" fontId="36" numFmtId="9" fillId="0" borderId="52" applyFont="1" applyNumberFormat="1" applyFill="0" applyBorder="1" applyAlignment="1">
      <alignment vertical="center" textRotation="0" wrapText="false" shrinkToFit="false"/>
    </xf>
    <xf xfId="0" fontId="36" numFmtId="9" fillId="0" borderId="52" applyFont="1" applyNumberFormat="1" applyFill="0" applyBorder="1" applyAlignment="1">
      <alignment vertical="center" textRotation="0" wrapText="false" shrinkToFit="false"/>
    </xf>
    <xf xfId="0" fontId="36" numFmtId="1" fillId="0" borderId="52" applyFont="1" applyNumberFormat="1" applyFill="0" applyBorder="1" applyAlignment="1">
      <alignment vertical="center" textRotation="0" wrapText="false" shrinkToFit="false"/>
    </xf>
    <xf xfId="0" fontId="36" numFmtId="0" fillId="0" borderId="52" applyFont="1" applyNumberFormat="0" applyFill="0" applyBorder="1" applyAlignment="1">
      <alignment vertical="center" textRotation="0" wrapText="false" shrinkToFit="false"/>
    </xf>
    <xf xfId="0" fontId="16" numFmtId="3" fillId="0" borderId="52" applyFont="1" applyNumberFormat="1" applyFill="0" applyBorder="1" applyAlignment="1">
      <alignment vertical="center" textRotation="0" wrapText="false" shrinkToFit="false"/>
    </xf>
    <xf xfId="0" fontId="36" numFmtId="167" fillId="0" borderId="52" applyFont="1" applyNumberFormat="1" applyFill="0" applyBorder="1" applyAlignment="1">
      <alignment horizontal="left" vertical="center" textRotation="0" wrapText="false" shrinkToFit="false"/>
    </xf>
    <xf xfId="0" fontId="36" numFmtId="0" fillId="0" borderId="53" applyFont="1" applyNumberFormat="0" applyFill="0" applyBorder="1" applyAlignment="1">
      <alignment vertical="center" textRotation="0" wrapText="false" shrinkToFit="false"/>
    </xf>
    <xf xfId="0" fontId="47" numFmtId="166" fillId="0" borderId="52" applyFont="1" applyNumberFormat="1" applyFill="0" applyBorder="1" applyAlignment="1">
      <alignment vertical="center" textRotation="0" wrapText="false" shrinkToFit="false"/>
    </xf>
    <xf xfId="0" fontId="36" numFmtId="0" fillId="0" borderId="51" applyFont="1" applyNumberFormat="0" applyFill="0" applyBorder="1" applyAlignment="1">
      <alignment vertical="center" textRotation="0" wrapText="false" shrinkToFit="false"/>
    </xf>
    <xf xfId="0" fontId="36" numFmtId="0" fillId="0" borderId="91" applyFont="1" applyNumberFormat="0" applyFill="0" applyBorder="1" applyAlignment="1">
      <alignment vertical="center" textRotation="0" wrapText="false" shrinkToFit="false"/>
    </xf>
    <xf xfId="0" fontId="36" numFmtId="0" fillId="0" borderId="50" applyFont="1" applyNumberFormat="0" applyFill="0" applyBorder="1" applyAlignment="1">
      <alignment vertical="center" textRotation="0" wrapText="false" shrinkToFit="false"/>
    </xf>
    <xf xfId="0" fontId="36" numFmtId="0" fillId="0" borderId="54" applyFont="1" applyNumberFormat="0" applyFill="0" applyBorder="1" applyAlignment="1">
      <alignment vertical="center" textRotation="0" wrapText="false" shrinkToFit="false"/>
    </xf>
    <xf xfId="0" fontId="36" numFmtId="3" fillId="0" borderId="0" applyFont="1" applyNumberFormat="1" applyFill="0" applyBorder="0" applyAlignment="1">
      <alignment horizontal="center" vertical="center" textRotation="0" wrapText="false" shrinkToFit="false"/>
    </xf>
    <xf xfId="0" fontId="3" numFmtId="15" fillId="0" borderId="126" applyFont="1" applyNumberFormat="1" applyFill="0" applyBorder="1" applyAlignment="1">
      <alignment horizontal="center" vertical="center" textRotation="0" wrapText="false" shrinkToFit="false"/>
    </xf>
    <xf xfId="0" fontId="15" numFmtId="0" fillId="0" borderId="127" applyFont="1" applyNumberFormat="0" applyFill="0" applyBorder="1" applyAlignment="1">
      <alignment horizontal="center" vertical="center" textRotation="0" wrapText="true" shrinkToFit="false"/>
    </xf>
    <xf xfId="0" fontId="16" numFmtId="10" fillId="0" borderId="128" applyFont="1" applyNumberFormat="1" applyFill="0" applyBorder="1" applyAlignment="1">
      <alignment horizontal="center" vertical="center" textRotation="0" wrapText="false" shrinkToFit="false"/>
    </xf>
    <xf xfId="0" fontId="15" numFmtId="10" fillId="0" borderId="129" applyFont="1" applyNumberFormat="1" applyFill="0" applyBorder="1" applyAlignment="1">
      <alignment horizontal="center" vertical="center" textRotation="0" wrapText="true" shrinkToFit="false"/>
    </xf>
    <xf xfId="0" fontId="15" numFmtId="10" fillId="0" borderId="129" applyFont="1" applyNumberFormat="1" applyFill="0" applyBorder="1" applyAlignment="1">
      <alignment horizontal="center" vertical="center" textRotation="0" wrapText="false" shrinkToFit="false"/>
    </xf>
    <xf xfId="0" fontId="17" numFmtId="0" fillId="3" borderId="130" applyFont="1" applyNumberFormat="0" applyFill="1" applyBorder="1" applyAlignment="1">
      <alignment horizontal="center" vertical="center" textRotation="0" wrapText="false" shrinkToFit="false"/>
    </xf>
    <xf xfId="0" fontId="15" numFmtId="10" fillId="0" borderId="130" applyFont="1" applyNumberFormat="1" applyFill="0" applyBorder="1" applyAlignment="1">
      <alignment horizontal="center" vertical="center" textRotation="0" wrapText="false" shrinkToFit="false"/>
    </xf>
    <xf xfId="0" fontId="15" numFmtId="15" fillId="0" borderId="130" applyFont="1" applyNumberFormat="1" applyFill="0" applyBorder="1" applyAlignment="1">
      <alignment horizontal="center" vertical="center" textRotation="0" wrapText="false" shrinkToFit="false"/>
    </xf>
    <xf xfId="0" fontId="3" numFmtId="0" fillId="0" borderId="127" applyFont="1" applyNumberFormat="0" applyFill="0" applyBorder="1" applyAlignment="1">
      <alignment horizontal="center" vertical="center" textRotation="0" wrapText="true" shrinkToFit="false"/>
    </xf>
    <xf xfId="0" fontId="3" numFmtId="2" fillId="3" borderId="127" applyFont="1" applyNumberFormat="1" applyFill="1" applyBorder="1" applyAlignment="1">
      <alignment horizontal="center" vertical="center" textRotation="0" wrapText="true" shrinkToFit="false"/>
    </xf>
    <xf xfId="0" fontId="3" numFmtId="2" fillId="3" borderId="130" applyFont="1" applyNumberFormat="1" applyFill="1" applyBorder="1" applyAlignment="1">
      <alignment horizontal="center" vertical="center" textRotation="0" wrapText="true" shrinkToFit="false"/>
    </xf>
    <xf xfId="0" fontId="3" numFmtId="2" fillId="0" borderId="130" applyFont="1" applyNumberFormat="1" applyFill="0" applyBorder="1" applyAlignment="1">
      <alignment horizontal="center" vertical="center" textRotation="0" wrapText="true" shrinkToFit="false"/>
    </xf>
    <xf xfId="0" fontId="3" numFmtId="2" fillId="3" borderId="131" applyFont="1" applyNumberFormat="1" applyFill="1" applyBorder="1" applyAlignment="1">
      <alignment horizontal="center" vertical="center" textRotation="0" wrapText="true" shrinkToFit="false"/>
    </xf>
    <xf xfId="0" fontId="3" numFmtId="2" fillId="0" borderId="132" applyFont="1" applyNumberFormat="1" applyFill="0" applyBorder="1" applyAlignment="1">
      <alignment horizontal="center" vertical="center" textRotation="0" wrapText="true" shrinkToFit="false"/>
    </xf>
    <xf xfId="0" fontId="3" numFmtId="2" fillId="3" borderId="133" applyFont="1" applyNumberFormat="1" applyFill="1" applyBorder="1" applyAlignment="1">
      <alignment horizontal="center" vertical="center" textRotation="0" wrapText="true" shrinkToFit="false"/>
    </xf>
    <xf xfId="0" fontId="3" numFmtId="2" fillId="3" borderId="132" applyFont="1" applyNumberFormat="1" applyFill="1" applyBorder="1" applyAlignment="1">
      <alignment horizontal="center" vertical="center" textRotation="0" wrapText="true" shrinkToFit="false"/>
    </xf>
    <xf xfId="0" fontId="3" numFmtId="2" fillId="0" borderId="134" applyFont="1" applyNumberFormat="1" applyFill="0" applyBorder="1" applyAlignment="1">
      <alignment horizontal="center" vertical="center" textRotation="0" wrapText="true" shrinkToFit="false"/>
    </xf>
    <xf xfId="0" fontId="0" numFmtId="166" fillId="0" borderId="135" applyFont="0" applyNumberFormat="1" applyFill="0" applyBorder="1" applyAlignment="1">
      <alignment vertical="center" textRotation="0" wrapText="false" shrinkToFit="false"/>
    </xf>
    <xf xfId="0" fontId="0" numFmtId="0" fillId="0" borderId="65" applyFont="0" applyNumberFormat="0" applyFill="0" applyBorder="1" applyAlignment="1">
      <alignment vertical="center" textRotation="0" wrapText="false" shrinkToFit="false"/>
    </xf>
    <xf xfId="0" fontId="21" numFmtId="167" fillId="0" borderId="0" applyFont="1" applyNumberFormat="1" applyFill="0" applyBorder="0" applyAlignment="1">
      <alignment vertical="center" textRotation="0" wrapText="false" shrinkToFit="false"/>
    </xf>
    <xf xfId="0" fontId="20" numFmtId="3" fillId="0" borderId="108" applyFont="1" applyNumberFormat="1" applyFill="0" applyBorder="1" applyAlignment="1">
      <alignment horizontal="center" vertical="center" textRotation="0" wrapText="false" shrinkToFit="false"/>
    </xf>
    <xf xfId="0" fontId="0" numFmtId="0" fillId="0" borderId="136" applyFont="0" applyNumberFormat="0" applyFill="0" applyBorder="1" applyAlignment="1">
      <alignment vertical="center" textRotation="0" wrapText="false" shrinkToFit="false"/>
    </xf>
    <xf xfId="0" fontId="3" numFmtId="15" fillId="7" borderId="137" applyFont="1" applyNumberFormat="1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true" shrinkToFit="false"/>
    </xf>
    <xf xfId="0" fontId="46" numFmtId="0" fillId="0" borderId="0" applyFont="1" applyNumberFormat="0" applyFill="0" applyBorder="0" applyAlignment="1">
      <alignment vertical="center" textRotation="0" wrapText="false" shrinkToFit="false"/>
    </xf>
    <xf xfId="0" fontId="48" numFmtId="0" fillId="0" borderId="0" applyFont="1" applyNumberFormat="0" applyFill="0" applyBorder="0" applyAlignment="1">
      <alignment vertical="center" textRotation="0" wrapText="false" shrinkToFit="false"/>
    </xf>
    <xf xfId="0" fontId="49" numFmtId="0" fillId="0" borderId="0" applyFont="1" applyNumberFormat="0" applyFill="0" applyBorder="0" applyAlignment="1">
      <alignment vertical="center" textRotation="0" wrapText="false" shrinkToFit="false"/>
    </xf>
    <xf xfId="0" fontId="46" numFmtId="0" fillId="6" borderId="138" applyFont="1" applyNumberFormat="0" applyFill="1" applyBorder="1" applyAlignment="1">
      <alignment horizontal="center" vertical="center" textRotation="0" wrapText="true" shrinkToFit="false"/>
    </xf>
    <xf xfId="0" fontId="38" numFmtId="0" fillId="0" borderId="0" applyFont="1" applyNumberFormat="0" applyFill="0" applyBorder="0" applyAlignment="1">
      <alignment vertical="center" textRotation="0" wrapText="false" shrinkToFit="false"/>
    </xf>
    <xf xfId="0" fontId="48" numFmtId="0" fillId="0" borderId="138" applyFont="1" applyNumberFormat="0" applyFill="0" applyBorder="1" applyAlignment="1">
      <alignment vertical="center" textRotation="0" wrapText="false" shrinkToFit="false"/>
    </xf>
    <xf xfId="0" fontId="48" numFmtId="170" fillId="0" borderId="138" applyFont="1" applyNumberFormat="1" applyFill="0" applyBorder="1" applyAlignment="1">
      <alignment vertical="center" textRotation="0" wrapText="false" shrinkToFit="false"/>
    </xf>
    <xf xfId="0" fontId="49" numFmtId="0" fillId="6" borderId="138" applyFont="1" applyNumberFormat="0" applyFill="1" applyBorder="1" applyAlignment="1">
      <alignment vertical="center" textRotation="0" wrapText="false" shrinkToFit="false"/>
    </xf>
    <xf xfId="0" fontId="49" numFmtId="170" fillId="6" borderId="138" applyFont="1" applyNumberFormat="1" applyFill="1" applyBorder="1" applyAlignment="1">
      <alignment vertical="center" textRotation="0" wrapText="false" shrinkToFit="false"/>
    </xf>
    <xf xfId="0" fontId="31" numFmtId="9" fillId="2" borderId="80" applyFont="1" applyNumberFormat="1" applyFill="1" applyBorder="1" applyAlignment="1">
      <alignment horizontal="center" vertical="center" textRotation="0" wrapText="false" shrinkToFit="false"/>
    </xf>
    <xf xfId="0" fontId="21" numFmtId="3" fillId="0" borderId="91" applyFont="1" applyNumberFormat="1" applyFill="0" applyBorder="1" applyAlignment="1">
      <alignment vertical="center" textRotation="0" wrapText="false" shrinkToFit="false"/>
    </xf>
    <xf xfId="0" fontId="0" numFmtId="0" fillId="0" borderId="139" applyFont="0" applyNumberFormat="0" applyFill="0" applyBorder="1" applyAlignment="1">
      <alignment vertical="center" textRotation="0" wrapText="false" shrinkToFit="false"/>
    </xf>
    <xf xfId="0" fontId="36" numFmtId="0" fillId="0" borderId="51" applyFont="1" applyNumberFormat="0" applyFill="0" applyBorder="1" applyAlignment="1">
      <alignment vertical="center" textRotation="0" wrapText="false" shrinkToFit="false"/>
    </xf>
    <xf xfId="0" fontId="16" numFmtId="0" fillId="0" borderId="53" applyFont="1" applyNumberFormat="0" applyFill="0" applyBorder="1" applyAlignment="1">
      <alignment vertical="center" textRotation="0" wrapText="false" shrinkToFit="false"/>
    </xf>
    <xf xfId="0" fontId="50" numFmtId="0" fillId="5" borderId="58" applyFont="1" applyNumberFormat="0" applyFill="1" applyBorder="1" applyAlignment="1">
      <alignment vertical="center" textRotation="0" wrapText="false" shrinkToFit="false"/>
    </xf>
    <xf xfId="0" fontId="50" numFmtId="0" fillId="5" borderId="140" applyFont="1" applyNumberFormat="0" applyFill="1" applyBorder="1" applyAlignment="1">
      <alignment vertical="center" textRotation="0" wrapText="false" shrinkToFit="false"/>
    </xf>
    <xf xfId="0" fontId="50" numFmtId="0" fillId="5" borderId="141" applyFont="1" applyNumberFormat="0" applyFill="1" applyBorder="1" applyAlignment="1">
      <alignment vertical="center" textRotation="0" wrapText="false" shrinkToFit="false"/>
    </xf>
    <xf xfId="0" fontId="3" numFmtId="10" fillId="5" borderId="65" applyFont="1" applyNumberFormat="1" applyFill="1" applyBorder="1" applyAlignment="1">
      <alignment vertical="center" textRotation="0" wrapText="false" shrinkToFit="false"/>
    </xf>
    <xf xfId="0" fontId="47" numFmtId="168" fillId="0" borderId="0" applyFont="1" applyNumberFormat="1" applyFill="0" applyBorder="0" applyAlignment="1">
      <alignment vertical="center" textRotation="0" wrapText="false" shrinkToFit="false"/>
    </xf>
    <xf xfId="0" fontId="0" numFmtId="0" fillId="0" borderId="53" applyFont="0" applyNumberFormat="0" applyFill="0" applyBorder="1" applyAlignment="1">
      <alignment vertical="center" textRotation="0" wrapText="false" shrinkToFit="false"/>
    </xf>
    <xf xfId="0" fontId="0" numFmtId="9" fillId="0" borderId="0" applyFont="0" applyNumberFormat="1" applyFill="0" applyBorder="0" applyAlignment="1">
      <alignment horizontal="center" vertical="center" textRotation="0" wrapText="false" shrinkToFit="false"/>
    </xf>
    <xf xfId="0" fontId="31" numFmtId="9" fillId="2" borderId="142" applyFont="1" applyNumberFormat="1" applyFill="1" applyBorder="1" applyAlignment="1">
      <alignment horizontal="center" vertical="center" textRotation="0" wrapText="false" shrinkToFit="false"/>
    </xf>
    <xf xfId="0" fontId="29" numFmtId="0" fillId="0" borderId="143" applyFont="1" applyNumberFormat="0" applyFill="0" applyBorder="1" applyAlignment="1">
      <alignment horizontal="center" vertical="center" textRotation="0" wrapText="false" shrinkToFit="false"/>
    </xf>
    <xf xfId="0" fontId="0" numFmtId="0" fillId="0" borderId="143" applyFont="0" applyNumberFormat="0" applyFill="0" applyBorder="1" applyAlignment="1">
      <alignment horizontal="center" vertical="center" textRotation="0" wrapText="false" shrinkToFit="false"/>
    </xf>
    <xf xfId="0" fontId="31" numFmtId="9" fillId="2" borderId="144" applyFont="1" applyNumberFormat="1" applyFill="1" applyBorder="1" applyAlignment="1">
      <alignment horizontal="center" vertical="center" textRotation="0" wrapText="false" shrinkToFit="false"/>
    </xf>
    <xf xfId="0" fontId="31" numFmtId="9" fillId="2" borderId="82" applyFont="1" applyNumberFormat="1" applyFill="1" applyBorder="1" applyAlignment="1">
      <alignment horizontal="center" vertical="center" textRotation="0" wrapText="false" shrinkToFit="false"/>
    </xf>
    <xf xfId="0" fontId="0" numFmtId="165" fillId="0" borderId="45" applyFont="0" applyNumberFormat="1" applyFill="0" applyBorder="1" applyAlignment="1">
      <alignment horizontal="center" vertical="center" textRotation="0" wrapText="false" shrinkToFit="false"/>
    </xf>
    <xf xfId="0" fontId="2" numFmtId="169" fillId="0" borderId="0" applyFont="1" applyNumberFormat="1" applyFill="0" applyBorder="0" applyAlignment="1">
      <alignment vertical="center" textRotation="0" wrapText="false" shrinkToFit="false"/>
    </xf>
    <xf xfId="0" fontId="0" numFmtId="171" fillId="0" borderId="0" applyFont="0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0" numFmtId="0" fillId="2" borderId="145" applyFont="0" applyNumberFormat="0" applyFill="1" applyBorder="1" applyAlignment="1">
      <alignment vertical="center" textRotation="0" wrapText="false" shrinkToFit="false"/>
    </xf>
    <xf xfId="0" fontId="46" numFmtId="3" fillId="8" borderId="119" applyFont="1" applyNumberFormat="1" applyFill="1" applyBorder="1" applyAlignment="0"/>
    <xf xfId="0" fontId="0" numFmtId="3" fillId="0" borderId="146" applyFont="0" applyNumberFormat="1" applyFill="0" applyBorder="1" applyAlignment="1">
      <alignment vertical="center" textRotation="0" wrapText="false" shrinkToFit="false"/>
    </xf>
    <xf xfId="0" fontId="0" numFmtId="3" fillId="0" borderId="147" applyFont="0" applyNumberFormat="1" applyFill="0" applyBorder="1" applyAlignment="1">
      <alignment vertical="center" textRotation="0" wrapText="false" shrinkToFit="false"/>
    </xf>
    <xf xfId="0" fontId="0" numFmtId="166" fillId="0" borderId="147" applyFont="0" applyNumberFormat="1" applyFill="0" applyBorder="1" applyAlignment="1">
      <alignment vertical="center" textRotation="0" wrapText="false" shrinkToFit="false"/>
    </xf>
    <xf xfId="0" fontId="0" numFmtId="166" fillId="0" borderId="148" applyFont="0" applyNumberFormat="1" applyFill="0" applyBorder="1" applyAlignment="1">
      <alignment vertical="center" textRotation="0" wrapText="false" shrinkToFit="false"/>
    </xf>
    <xf xfId="0" fontId="0" numFmtId="0" fillId="0" borderId="149" applyFont="0" applyNumberFormat="0" applyFill="0" applyBorder="1" applyAlignment="1">
      <alignment vertical="center" textRotation="0" wrapText="false" shrinkToFit="false"/>
    </xf>
    <xf xfId="0" fontId="0" numFmtId="3" fillId="0" borderId="150" applyFont="0" applyNumberFormat="1" applyFill="0" applyBorder="1" applyAlignment="1">
      <alignment vertical="center" textRotation="0" wrapText="false" shrinkToFit="false"/>
    </xf>
    <xf xfId="0" fontId="0" numFmtId="0" fillId="0" borderId="143" applyFont="0" applyNumberFormat="0" applyFill="0" applyBorder="1" applyAlignment="1">
      <alignment vertical="center" textRotation="0" wrapText="false" shrinkToFit="false"/>
    </xf>
    <xf xfId="0" fontId="0" numFmtId="3" fillId="0" borderId="151" applyFont="0" applyNumberFormat="1" applyFill="0" applyBorder="1" applyAlignment="1">
      <alignment vertical="center" textRotation="0" wrapText="false" shrinkToFit="false"/>
    </xf>
    <xf xfId="0" fontId="0" numFmtId="166" fillId="0" borderId="152" applyFont="0" applyNumberFormat="1" applyFill="0" applyBorder="1" applyAlignment="1">
      <alignment vertical="center" textRotation="0" wrapText="false" shrinkToFit="false"/>
    </xf>
    <xf xfId="0" fontId="0" numFmtId="0" fillId="0" borderId="153" applyFont="0" applyNumberFormat="0" applyFill="0" applyBorder="1" applyAlignment="1">
      <alignment vertical="center" textRotation="0" wrapText="false" shrinkToFit="false"/>
    </xf>
    <xf xfId="0" fontId="0" numFmtId="0" fillId="0" borderId="154" applyFont="0" applyNumberFormat="0" applyFill="0" applyBorder="1" applyAlignment="1">
      <alignment vertical="center" textRotation="0" wrapText="false" shrinkToFit="false"/>
    </xf>
    <xf xfId="0" fontId="18" numFmtId="0" fillId="2" borderId="115" applyFont="1" applyNumberFormat="0" applyFill="1" applyBorder="1" applyAlignment="1">
      <alignment vertical="center" textRotation="0" wrapText="false" shrinkToFit="false"/>
    </xf>
    <xf xfId="0" fontId="0" numFmtId="0" fillId="0" borderId="155" applyFont="0" applyNumberFormat="0" applyFill="0" applyBorder="1" applyAlignment="1">
      <alignment vertical="center" textRotation="0" wrapText="false" shrinkToFit="false"/>
    </xf>
    <xf xfId="0" fontId="0" numFmtId="0" fillId="0" borderId="156" applyFont="0" applyNumberFormat="0" applyFill="0" applyBorder="1" applyAlignment="1">
      <alignment vertical="center" textRotation="0" wrapText="false" shrinkToFit="false"/>
    </xf>
    <xf xfId="0" fontId="0" numFmtId="0" fillId="0" borderId="92" applyFont="0" applyNumberFormat="0" applyFill="0" applyBorder="1" applyAlignment="1">
      <alignment vertical="center" textRotation="0" wrapText="false" shrinkToFit="false"/>
    </xf>
    <xf xfId="0" fontId="0" numFmtId="0" fillId="0" borderId="157" applyFont="0" applyNumberFormat="0" applyFill="0" applyBorder="1" applyAlignment="1">
      <alignment vertical="center" textRotation="0" wrapText="false" shrinkToFit="false"/>
    </xf>
    <xf xfId="0" fontId="11" numFmtId="49" fillId="0" borderId="158" applyFont="1" applyNumberFormat="1" applyFill="0" applyBorder="1" applyAlignment="1">
      <alignment horizontal="center" vertical="center" textRotation="0" wrapText="true" shrinkToFit="false"/>
    </xf>
    <xf xfId="0" fontId="0" quotePrefix="1" numFmtId="0" fillId="0" borderId="15" applyFont="0" applyNumberFormat="0" applyFill="0" applyBorder="1" applyAlignment="1">
      <alignment vertical="center" textRotation="0" wrapText="false" shrinkToFit="false"/>
    </xf>
    <xf xfId="0" fontId="0" numFmtId="0" fillId="0" borderId="159" applyFont="0" applyNumberFormat="0" applyFill="0" applyBorder="1" applyAlignment="1">
      <alignment vertical="center" textRotation="0" wrapText="false" shrinkToFit="false"/>
    </xf>
    <xf xfId="0" fontId="0" numFmtId="0" fillId="0" borderId="160" applyFont="0" applyNumberFormat="0" applyFill="0" applyBorder="1" applyAlignment="1">
      <alignment vertical="center" textRotation="0" wrapText="false" shrinkToFit="false"/>
    </xf>
    <xf xfId="0" fontId="9" numFmtId="0" fillId="0" borderId="161" applyFont="1" applyNumberFormat="0" applyFill="0" applyBorder="1" applyAlignment="1">
      <alignment horizontal="center" vertical="center" textRotation="0" wrapText="true" shrinkToFit="false"/>
    </xf>
    <xf xfId="0" fontId="0" numFmtId="0" fillId="0" borderId="162" applyFont="0" applyNumberFormat="0" applyFill="0" applyBorder="1" applyAlignment="1">
      <alignment vertical="center" textRotation="0" wrapText="false" shrinkToFit="false"/>
    </xf>
    <xf xfId="0" fontId="0" numFmtId="0" fillId="0" borderId="163" applyFont="0" applyNumberFormat="0" applyFill="0" applyBorder="1" applyAlignment="1">
      <alignment vertical="center" textRotation="0" wrapText="false" shrinkToFit="false"/>
    </xf>
    <xf xfId="0" fontId="0" numFmtId="0" fillId="2" borderId="155" applyFont="0" applyNumberFormat="0" applyFill="1" applyBorder="1" applyAlignment="1">
      <alignment vertical="center" textRotation="0" wrapText="false" shrinkToFit="false"/>
    </xf>
    <xf xfId="0" fontId="0" numFmtId="0" fillId="2" borderId="156" applyFont="0" applyNumberFormat="0" applyFill="1" applyBorder="1" applyAlignment="1">
      <alignment vertical="center" textRotation="0" wrapText="false" shrinkToFit="false"/>
    </xf>
    <xf xfId="0" fontId="3" numFmtId="0" fillId="0" borderId="9" applyFont="1" applyNumberFormat="0" applyFill="0" applyBorder="1" applyAlignment="1">
      <alignment vertical="center" textRotation="0" wrapText="false" shrinkToFit="false"/>
    </xf>
    <xf xfId="0" fontId="0" numFmtId="0" fillId="2" borderId="164" applyFont="0" applyNumberFormat="0" applyFill="1" applyBorder="1" applyAlignment="1">
      <alignment vertical="center" textRotation="0" wrapText="false" shrinkToFit="false"/>
    </xf>
    <xf xfId="0" fontId="0" numFmtId="0" fillId="5" borderId="165" applyFont="0" applyNumberFormat="0" applyFill="1" applyBorder="1" applyAlignment="1">
      <alignment horizontal="center" vertical="center" textRotation="0" wrapText="false" shrinkToFit="false"/>
    </xf>
    <xf xfId="0" fontId="0" numFmtId="0" fillId="0" borderId="108" applyFont="0" applyNumberFormat="0" applyFill="0" applyBorder="1" applyAlignment="1">
      <alignment vertical="center" textRotation="0" wrapText="false" shrinkToFit="false"/>
    </xf>
    <xf xfId="0" fontId="36" numFmtId="0" fillId="0" borderId="166" applyFont="1" applyNumberFormat="0" applyFill="0" applyBorder="1" applyAlignment="1">
      <alignment vertical="center" textRotation="0" wrapText="false" shrinkToFit="false"/>
    </xf>
    <xf xfId="0" fontId="36" numFmtId="164" fillId="0" borderId="167" applyFont="1" applyNumberFormat="1" applyFill="0" applyBorder="1" applyAlignment="1">
      <alignment vertical="center" textRotation="0" wrapText="false" shrinkToFit="false"/>
    </xf>
    <xf xfId="0" fontId="36" numFmtId="0" fillId="0" borderId="168" applyFont="1" applyNumberFormat="0" applyFill="0" applyBorder="1" applyAlignment="1">
      <alignment vertical="center" textRotation="0" wrapText="false" shrinkToFit="false"/>
    </xf>
    <xf xfId="0" fontId="3" numFmtId="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3" borderId="162" applyFont="0" applyNumberFormat="0" applyFill="1" applyBorder="1" applyAlignment="1">
      <alignment vertical="center" textRotation="0" wrapText="false" shrinkToFit="false"/>
    </xf>
    <xf xfId="0" fontId="51" numFmtId="0" fillId="5" borderId="65" applyFont="1" applyNumberFormat="0" applyFill="1" applyBorder="1" applyAlignment="1">
      <alignment horizontal="center" vertical="center" textRotation="0" wrapText="false" shrinkToFit="false"/>
    </xf>
    <xf xfId="0" fontId="0" numFmtId="3" fillId="0" borderId="169" applyFont="0" applyNumberFormat="1" applyFill="0" applyBorder="1" applyAlignment="1">
      <alignment horizontal="center" vertical="center" textRotation="0" wrapText="false" shrinkToFit="false"/>
    </xf>
    <xf xfId="0" fontId="0" numFmtId="15" fillId="0" borderId="170" applyFont="0" applyNumberFormat="1" applyFill="0" applyBorder="1" applyAlignment="1">
      <alignment vertical="center" textRotation="0" wrapText="false" shrinkToFit="false"/>
    </xf>
    <xf xfId="0" fontId="0" numFmtId="0" fillId="2" borderId="171" applyFont="0" applyNumberFormat="0" applyFill="1" applyBorder="1" applyAlignment="1">
      <alignment vertical="center" textRotation="0" wrapText="false" shrinkToFit="false"/>
    </xf>
    <xf xfId="0" fontId="0" numFmtId="0" fillId="2" borderId="172" applyFont="0" applyNumberFormat="0" applyFill="1" applyBorder="1" applyAlignment="1">
      <alignment vertical="center" textRotation="0" wrapText="false" shrinkToFit="false"/>
    </xf>
    <xf xfId="0" fontId="18" numFmtId="0" fillId="0" borderId="171" applyFont="1" applyNumberFormat="0" applyFill="0" applyBorder="1" applyAlignment="1">
      <alignment vertical="center" textRotation="0" wrapText="false" shrinkToFit="false"/>
    </xf>
    <xf xfId="0" fontId="0" numFmtId="0" fillId="0" borderId="172" applyFont="0" applyNumberFormat="0" applyFill="0" applyBorder="1" applyAlignment="1">
      <alignment vertical="center" textRotation="0" wrapText="false" shrinkToFit="false"/>
    </xf>
    <xf xfId="0" fontId="18" numFmtId="0" fillId="0" borderId="172" applyFont="1" applyNumberFormat="0" applyFill="0" applyBorder="1" applyAlignment="1">
      <alignment vertical="center" textRotation="0" wrapText="false" shrinkToFit="false"/>
    </xf>
    <xf xfId="0" fontId="0" numFmtId="0" fillId="2" borderId="173" applyFont="0" applyNumberFormat="0" applyFill="1" applyBorder="1" applyAlignment="1">
      <alignment vertical="center" textRotation="0" wrapText="false" shrinkToFit="false"/>
    </xf>
    <xf xfId="0" fontId="0" numFmtId="0" fillId="0" borderId="174" applyFont="0" applyNumberFormat="0" applyFill="0" applyBorder="1" applyAlignment="1">
      <alignment vertical="center" textRotation="0" wrapText="false" shrinkToFit="false"/>
    </xf>
    <xf xfId="0" fontId="0" numFmtId="0" fillId="0" borderId="175" applyFont="0" applyNumberFormat="0" applyFill="0" applyBorder="1" applyAlignment="1">
      <alignment vertical="center" textRotation="0" wrapText="false" shrinkToFit="false"/>
    </xf>
    <xf xfId="0" fontId="0" numFmtId="0" fillId="0" borderId="173" applyFont="0" applyNumberFormat="0" applyFill="0" applyBorder="1" applyAlignment="1">
      <alignment vertical="center" textRotation="0" wrapText="false" shrinkToFit="false"/>
    </xf>
    <xf xfId="0" fontId="0" numFmtId="0" fillId="0" borderId="176" applyFont="0" applyNumberFormat="0" applyFill="0" applyBorder="1" applyAlignment="1">
      <alignment vertical="center" textRotation="0" wrapText="false" shrinkToFit="false"/>
    </xf>
    <xf xfId="0" fontId="0" numFmtId="0" fillId="0" borderId="171" applyFont="0" applyNumberFormat="0" applyFill="0" applyBorder="1" applyAlignment="1">
      <alignment vertical="center" textRotation="0" wrapText="false" shrinkToFit="false"/>
    </xf>
    <xf xfId="0" fontId="18" numFmtId="0" fillId="2" borderId="12" applyFont="1" applyNumberFormat="0" applyFill="1" applyBorder="1" applyAlignment="1">
      <alignment vertical="center" textRotation="0" wrapText="false" shrinkToFit="false"/>
    </xf>
    <xf xfId="0" fontId="0" numFmtId="0" fillId="0" borderId="177" applyFont="0" applyNumberFormat="0" applyFill="0" applyBorder="1" applyAlignment="1">
      <alignment vertical="center" textRotation="0" wrapText="false" shrinkToFit="false"/>
    </xf>
    <xf xfId="0" fontId="0" numFmtId="0" fillId="0" borderId="113" applyFont="0" applyNumberFormat="0" applyFill="0" applyBorder="1" applyAlignment="1">
      <alignment vertical="center" textRotation="0" wrapText="false" shrinkToFit="false"/>
    </xf>
    <xf xfId="0" fontId="0" numFmtId="0" fillId="0" borderId="12" applyFont="0" applyNumberFormat="0" applyFill="0" applyBorder="1" applyAlignment="1">
      <alignment vertical="center" textRotation="0" wrapText="false" shrinkToFit="false"/>
    </xf>
    <xf xfId="0" fontId="0" numFmtId="0" fillId="0" borderId="178" applyFont="0" applyNumberFormat="0" applyFill="0" applyBorder="1" applyAlignment="1">
      <alignment vertical="center" textRotation="0" wrapText="false" shrinkToFit="false"/>
    </xf>
    <xf xfId="0" fontId="0" numFmtId="15" fillId="0" borderId="170" applyFont="0" applyNumberFormat="1" applyFill="0" applyBorder="1" applyAlignment="1">
      <alignment vertical="center" textRotation="0" wrapText="false" shrinkToFit="false"/>
    </xf>
    <xf xfId="0" fontId="0" numFmtId="165" fillId="0" borderId="179" applyFont="0" applyNumberFormat="1" applyFill="0" applyBorder="1" applyAlignment="1">
      <alignment horizontal="center" vertical="center" textRotation="0" wrapText="false" shrinkToFit="false"/>
    </xf>
    <xf xfId="0" fontId="0" numFmtId="165" fillId="0" borderId="12" applyFont="0" applyNumberFormat="1" applyFill="0" applyBorder="1" applyAlignment="1">
      <alignment horizontal="center" vertical="center" textRotation="0" wrapText="false" shrinkToFit="false"/>
    </xf>
    <xf xfId="0" fontId="0" numFmtId="165" fillId="0" borderId="180" applyFont="0" applyNumberFormat="1" applyFill="0" applyBorder="1" applyAlignment="1">
      <alignment horizontal="center" vertical="center" textRotation="0" wrapText="false" shrinkToFit="false"/>
    </xf>
    <xf xfId="0" fontId="0" numFmtId="165" fillId="0" borderId="43" applyFont="0" applyNumberFormat="1" applyFill="0" applyBorder="1" applyAlignment="1">
      <alignment horizontal="center" vertical="center" textRotation="0" wrapText="false" shrinkToFit="false"/>
    </xf>
    <xf xfId="0" fontId="0" numFmtId="165" fillId="0" borderId="44" applyFont="0" applyNumberFormat="1" applyFill="0" applyBorder="1" applyAlignment="1">
      <alignment horizontal="center" vertical="center" textRotation="0" wrapText="false" shrinkToFit="false"/>
    </xf>
    <xf xfId="0" fontId="29" numFmtId="0" fillId="0" borderId="181" applyFont="1" applyNumberFormat="0" applyFill="0" applyBorder="1" applyAlignment="1">
      <alignment horizontal="center" vertical="center" textRotation="0" wrapText="false" shrinkToFit="false"/>
    </xf>
    <xf xfId="0" fontId="29" numFmtId="0" fillId="0" borderId="143" applyFont="1" applyNumberFormat="0" applyFill="0" applyBorder="1" applyAlignment="1">
      <alignment horizontal="center" vertical="center" textRotation="0" wrapText="true" shrinkToFit="false"/>
    </xf>
    <xf xfId="0" fontId="0" numFmtId="0" fillId="0" borderId="182" applyFont="0" applyNumberFormat="0" applyFill="0" applyBorder="1" applyAlignment="1">
      <alignment vertical="center" textRotation="0" wrapText="false" shrinkToFit="false"/>
    </xf>
    <xf xfId="0" fontId="18" numFmtId="0" fillId="2" borderId="183" applyFont="1" applyNumberFormat="0" applyFill="1" applyBorder="1" applyAlignment="1">
      <alignment vertical="center" textRotation="0" wrapText="false" shrinkToFit="false"/>
    </xf>
    <xf xfId="0" fontId="0" numFmtId="170" fillId="0" borderId="0" applyFont="0" applyNumberFormat="1" applyFill="0" applyBorder="0" applyAlignment="1">
      <alignment vertical="center" textRotation="0" wrapText="false" shrinkToFit="false"/>
    </xf>
    <xf xfId="0" fontId="0" numFmtId="170" fillId="0" borderId="184" applyFont="0" applyNumberFormat="1" applyFill="0" applyBorder="1" applyAlignment="1">
      <alignment vertical="center" textRotation="0" wrapText="false" shrinkToFit="false"/>
    </xf>
    <xf xfId="0" fontId="0" numFmtId="165" fillId="0" borderId="184" applyFont="0" applyNumberFormat="1" applyFill="0" applyBorder="1" applyAlignment="1">
      <alignment vertical="center" textRotation="0" wrapText="false" shrinkToFit="false"/>
    </xf>
    <xf xfId="0" fontId="0" numFmtId="166" fillId="0" borderId="0" applyFont="0" applyNumberFormat="1" applyFill="0" applyBorder="0" applyAlignment="1">
      <alignment vertical="center" textRotation="0" wrapText="false" shrinkToFit="false"/>
    </xf>
    <xf xfId="0" fontId="0" numFmtId="166" fillId="0" borderId="184" applyFont="0" applyNumberFormat="1" applyFill="0" applyBorder="1" applyAlignment="1">
      <alignment vertical="center" textRotation="0" wrapText="false" shrinkToFit="false"/>
    </xf>
    <xf xfId="0" fontId="0" numFmtId="3" fillId="0" borderId="167" applyFont="0" applyNumberFormat="1" applyFill="0" applyBorder="1" applyAlignment="1">
      <alignment vertical="center" textRotation="0" wrapText="false" shrinkToFit="false"/>
    </xf>
    <xf xfId="0" fontId="0" numFmtId="3" fillId="0" borderId="185" applyFont="0" applyNumberFormat="1" applyFill="0" applyBorder="1" applyAlignment="1">
      <alignment vertical="center" textRotation="0" wrapText="false" shrinkToFit="false"/>
    </xf>
    <xf xfId="0" fontId="18" numFmtId="0" fillId="0" borderId="186" applyFont="1" applyNumberFormat="0" applyFill="0" applyBorder="1" applyAlignment="1">
      <alignment vertical="center" textRotation="0" wrapText="false" shrinkToFit="false"/>
    </xf>
    <xf xfId="0" fontId="0" numFmtId="0" fillId="2" borderId="187" applyFont="0" applyNumberFormat="0" applyFill="1" applyBorder="1" applyAlignment="1">
      <alignment vertical="center" textRotation="0" wrapText="false" shrinkToFit="false"/>
    </xf>
    <xf xfId="0" fontId="0" numFmtId="0" fillId="0" borderId="145" applyFont="0" applyNumberFormat="0" applyFill="0" applyBorder="1" applyAlignment="1">
      <alignment vertical="center" textRotation="0" wrapText="false" shrinkToFit="false"/>
    </xf>
    <xf xfId="0" fontId="31" numFmtId="9" fillId="2" borderId="118" applyFont="1" applyNumberFormat="1" applyFill="1" applyBorder="1" applyAlignment="1">
      <alignment horizontal="center" vertical="center" textRotation="0" wrapText="false" shrinkToFit="false"/>
    </xf>
    <xf xfId="0" fontId="31" numFmtId="9" fillId="2" borderId="188" applyFont="1" applyNumberFormat="1" applyFill="1" applyBorder="1" applyAlignment="1">
      <alignment horizontal="center" vertical="center" textRotation="0" wrapText="false" shrinkToFit="false"/>
    </xf>
    <xf xfId="0" fontId="31" numFmtId="9" fillId="3" borderId="189" applyFont="1" applyNumberFormat="1" applyFill="1" applyBorder="1" applyAlignment="1">
      <alignment horizontal="center" vertical="center" textRotation="0" wrapText="false" shrinkToFit="false"/>
    </xf>
    <xf xfId="0" fontId="18" numFmtId="0" fillId="0" borderId="94" applyFont="1" applyNumberFormat="0" applyFill="0" applyBorder="1" applyAlignment="1">
      <alignment horizontal="center" vertical="center" textRotation="0" wrapText="false" shrinkToFit="false"/>
    </xf>
    <xf xfId="0" fontId="18" numFmtId="0" fillId="0" borderId="190" applyFont="1" applyNumberFormat="0" applyFill="0" applyBorder="1" applyAlignment="1">
      <alignment vertical="center" textRotation="0" wrapText="false" shrinkToFit="false"/>
    </xf>
    <xf xfId="0" fontId="18" numFmtId="0" fillId="0" borderId="95" applyFont="1" applyNumberFormat="0" applyFill="0" applyBorder="1" applyAlignment="1">
      <alignment vertical="center" textRotation="0" wrapText="false" shrinkToFit="false"/>
    </xf>
    <xf xfId="0" fontId="18" numFmtId="0" fillId="0" borderId="175" applyFont="1" applyNumberFormat="0" applyFill="0" applyBorder="1" applyAlignment="1">
      <alignment vertical="center" textRotation="0" wrapText="false" shrinkToFit="false"/>
    </xf>
    <xf xfId="0" fontId="18" numFmtId="0" fillId="0" borderId="96" applyFont="1" applyNumberFormat="0" applyFill="0" applyBorder="1" applyAlignment="1">
      <alignment vertical="center" textRotation="0" wrapText="false" shrinkToFit="false"/>
    </xf>
    <xf xfId="0" fontId="31" numFmtId="9" fillId="2" borderId="191" applyFont="1" applyNumberFormat="1" applyFill="1" applyBorder="1" applyAlignment="1">
      <alignment horizontal="center" vertical="center" textRotation="0" wrapText="false" shrinkToFit="false"/>
    </xf>
    <xf xfId="0" fontId="3" numFmtId="0" fillId="5" borderId="137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35" numFmtId="0" fillId="0" borderId="0" applyFont="1" applyNumberFormat="0" applyFill="0" applyBorder="0" applyAlignment="1">
      <alignment vertical="center" textRotation="0" wrapText="false" shrinkToFit="false"/>
    </xf>
    <xf xfId="0" fontId="0" numFmtId="169" fillId="0" borderId="52" applyFont="0" applyNumberFormat="1" applyFill="0" applyBorder="1" applyAlignment="1">
      <alignment vertical="center" textRotation="0" wrapText="false" shrinkToFit="false"/>
    </xf>
    <xf xfId="0" fontId="21" numFmtId="3" fillId="0" borderId="0" applyFont="1" applyNumberFormat="1" applyFill="0" applyBorder="0" applyAlignment="1">
      <alignment horizontal="center" vertical="center" textRotation="0" wrapText="false" shrinkToFit="false"/>
    </xf>
    <xf xfId="0" fontId="0" numFmtId="1" fillId="0" borderId="65" applyFont="0" applyNumberFormat="1" applyFill="0" applyBorder="1" applyAlignment="1">
      <alignment vertical="center" textRotation="0" wrapText="false" shrinkToFit="false"/>
    </xf>
    <xf xfId="0" fontId="38" numFmtId="165" fillId="0" borderId="52" applyFont="1" applyNumberFormat="1" applyFill="0" applyBorder="1" applyAlignment="1">
      <alignment horizontal="center" vertical="center" textRotation="0" wrapText="false" shrinkToFit="false"/>
    </xf>
    <xf xfId="0" fontId="21" numFmtId="3" fillId="0" borderId="56" applyFont="1" applyNumberFormat="1" applyFill="0" applyBorder="1" applyAlignment="1">
      <alignment vertical="center" textRotation="0" wrapText="false" shrinkToFit="false"/>
    </xf>
    <xf xfId="0" fontId="37" numFmtId="3" fillId="0" borderId="192" applyFont="1" applyNumberFormat="1" applyFill="0" applyBorder="1" applyAlignment="1">
      <alignment vertical="center" textRotation="0" wrapText="false" shrinkToFit="false"/>
    </xf>
    <xf xfId="0" fontId="0" numFmtId="0" fillId="0" borderId="193" applyFont="0" applyNumberFormat="0" applyFill="0" applyBorder="1" applyAlignment="1">
      <alignment vertical="center" textRotation="0" wrapText="false" shrinkToFit="false"/>
    </xf>
    <xf xfId="0" fontId="37" numFmtId="3" fillId="0" borderId="194" applyFont="1" applyNumberFormat="1" applyFill="0" applyBorder="1" applyAlignment="1">
      <alignment horizontal="center" vertical="center" textRotation="0" wrapText="false" shrinkToFit="false"/>
    </xf>
    <xf xfId="0" fontId="36" numFmtId="3" fillId="0" borderId="0" applyFont="1" applyNumberFormat="1" applyFill="0" applyBorder="0" applyAlignment="1">
      <alignment vertical="center" textRotation="0" wrapText="false" shrinkToFit="false"/>
    </xf>
    <xf xfId="0" fontId="36" numFmtId="0" fillId="0" borderId="167" applyFont="1" applyNumberFormat="0" applyFill="0" applyBorder="1" applyAlignment="1">
      <alignment vertical="center" textRotation="0" wrapText="false" shrinkToFit="false"/>
    </xf>
    <xf xfId="0" fontId="3" numFmtId="9" fillId="0" borderId="50" applyFont="1" applyNumberFormat="1" applyFill="0" applyBorder="1" applyAlignment="1">
      <alignment horizontal="center" vertical="center" textRotation="0" wrapText="false" shrinkToFit="false"/>
    </xf>
    <xf xfId="0" fontId="36" numFmtId="0" fillId="0" borderId="1" applyFont="1" applyNumberFormat="0" applyFill="0" applyBorder="1" applyAlignment="1">
      <alignment vertical="center" textRotation="0" wrapText="false" shrinkToFit="false"/>
    </xf>
    <xf xfId="0" fontId="3" numFmtId="164" fillId="0" borderId="52" applyFont="1" applyNumberFormat="1" applyFill="0" applyBorder="1" applyAlignment="1">
      <alignment horizontal="center" vertical="center" textRotation="0" wrapText="false" shrinkToFit="false"/>
    </xf>
    <xf xfId="0" fontId="37" numFmtId="3" fillId="0" borderId="192" applyFont="1" applyNumberFormat="1" applyFill="0" applyBorder="1" applyAlignment="1">
      <alignment horizontal="center" vertical="center" textRotation="0" wrapText="false" shrinkToFit="false"/>
    </xf>
    <xf xfId="0" fontId="3" numFmtId="1" fillId="5" borderId="195" applyFont="1" applyNumberFormat="1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65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vertical="center" textRotation="0" wrapText="false" shrinkToFit="false"/>
    </xf>
    <xf xfId="0" fontId="0" numFmtId="165" fillId="0" borderId="92" applyFont="0" applyNumberFormat="1" applyFill="0" applyBorder="1" applyAlignment="1">
      <alignment horizontal="center" vertical="center" textRotation="0" wrapText="false" shrinkToFit="false"/>
    </xf>
    <xf xfId="0" fontId="0" numFmtId="0" fillId="3" borderId="16" applyFont="0" applyNumberFormat="0" applyFill="1" applyBorder="1" applyAlignment="1">
      <alignment vertical="center" textRotation="0" wrapText="false" shrinkToFit="false"/>
    </xf>
    <xf xfId="0" fontId="0" numFmtId="0" fillId="3" borderId="9" applyFont="0" applyNumberFormat="0" applyFill="1" applyBorder="1" applyAlignment="1">
      <alignment vertical="center" textRotation="0" wrapText="false" shrinkToFit="false"/>
    </xf>
    <xf xfId="0" fontId="0" numFmtId="0" fillId="3" borderId="172" applyFont="0" applyNumberFormat="0" applyFill="1" applyBorder="1" applyAlignment="1">
      <alignment vertical="center" textRotation="0" wrapText="false" shrinkToFit="false"/>
    </xf>
    <xf xfId="0" fontId="0" numFmtId="0" fillId="3" borderId="38" applyFont="0" applyNumberFormat="0" applyFill="1" applyBorder="1" applyAlignment="1">
      <alignment vertical="center" textRotation="0" wrapText="false" shrinkToFit="false"/>
    </xf>
    <xf xfId="0" fontId="0" numFmtId="0" fillId="0" borderId="196" applyFont="0" applyNumberFormat="0" applyFill="0" applyBorder="1" applyAlignment="1">
      <alignment vertical="center" textRotation="0" wrapText="false" shrinkToFit="false"/>
    </xf>
    <xf xfId="0" fontId="43" numFmtId="49" fillId="0" borderId="9" applyFont="1" applyNumberFormat="1" applyFill="0" applyBorder="1" applyAlignment="1">
      <alignment horizontal="center" vertical="center" textRotation="0" wrapText="true" shrinkToFit="false"/>
    </xf>
    <xf xfId="0" fontId="3" numFmtId="0" fillId="7" borderId="0" applyFont="1" applyNumberFormat="0" applyFill="1" applyBorder="0" applyAlignment="1">
      <alignment vertical="center" textRotation="0" wrapText="false" shrinkToFit="false"/>
    </xf>
    <xf xfId="0" fontId="3" numFmtId="1" fillId="5" borderId="197" applyFont="1" applyNumberFormat="1" applyFill="1" applyBorder="1" applyAlignment="1">
      <alignment horizontal="center" vertical="center" textRotation="0" wrapText="false" shrinkToFit="false"/>
    </xf>
    <xf xfId="0" fontId="3" numFmtId="1" fillId="5" borderId="198" applyFont="1" applyNumberFormat="1" applyFill="1" applyBorder="1" applyAlignment="1">
      <alignment horizontal="center" vertical="center" textRotation="0" wrapText="false" shrinkToFit="false"/>
    </xf>
    <xf xfId="0" fontId="38" numFmtId="172" fillId="0" borderId="52" applyFont="1" applyNumberFormat="1" applyFill="0" applyBorder="1" applyAlignment="1">
      <alignment horizontal="center" vertical="center" textRotation="0" wrapText="false" shrinkToFit="false"/>
    </xf>
    <xf xfId="0" fontId="38" numFmtId="172" fillId="0" borderId="55" applyFont="1" applyNumberFormat="1" applyFill="0" applyBorder="1" applyAlignment="1">
      <alignment horizontal="center" vertical="center" textRotation="0" wrapText="false" shrinkToFit="false"/>
    </xf>
    <xf xfId="0" fontId="31" numFmtId="9" fillId="2" borderId="199" applyFont="1" applyNumberFormat="1" applyFill="1" applyBorder="1" applyAlignment="1">
      <alignment horizontal="center" vertical="center" textRotation="0" wrapText="false" shrinkToFit="false"/>
    </xf>
    <xf xfId="0" fontId="31" numFmtId="9" fillId="2" borderId="200" applyFont="1" applyNumberFormat="1" applyFill="1" applyBorder="1" applyAlignment="1">
      <alignment horizontal="center" vertical="center" textRotation="0" wrapText="false" shrinkToFit="false"/>
    </xf>
    <xf xfId="0" fontId="31" numFmtId="9" fillId="2" borderId="201" applyFont="1" applyNumberFormat="1" applyFill="1" applyBorder="1" applyAlignment="1">
      <alignment horizontal="center" vertical="center" textRotation="0" wrapText="false" shrinkToFit="false"/>
    </xf>
    <xf xfId="0" fontId="31" numFmtId="9" fillId="2" borderId="202" applyFont="1" applyNumberFormat="1" applyFill="1" applyBorder="1" applyAlignment="1">
      <alignment horizontal="center" vertical="center" textRotation="0" wrapText="false" shrinkToFit="false"/>
    </xf>
    <xf xfId="0" fontId="31" numFmtId="9" fillId="2" borderId="58" applyFont="1" applyNumberFormat="1" applyFill="1" applyBorder="1" applyAlignment="1">
      <alignment horizontal="center" vertical="center" textRotation="0" wrapText="false" shrinkToFit="false"/>
    </xf>
    <xf xfId="0" fontId="31" numFmtId="9" fillId="2" borderId="203" applyFont="1" applyNumberFormat="1" applyFill="1" applyBorder="1" applyAlignment="1">
      <alignment horizontal="center" vertical="center" textRotation="0" wrapText="false" shrinkToFit="false"/>
    </xf>
    <xf xfId="0" fontId="31" numFmtId="9" fillId="2" borderId="204" applyFont="1" applyNumberFormat="1" applyFill="1" applyBorder="1" applyAlignment="1">
      <alignment horizontal="center" vertical="center" textRotation="0" wrapText="false" shrinkToFit="false"/>
    </xf>
    <xf xfId="0" fontId="31" numFmtId="9" fillId="2" borderId="205" applyFont="1" applyNumberFormat="1" applyFill="1" applyBorder="1" applyAlignment="1">
      <alignment horizontal="center" vertical="center" textRotation="0" wrapText="false" shrinkToFit="false"/>
    </xf>
    <xf xfId="0" fontId="31" numFmtId="9" fillId="2" borderId="206" applyFont="1" applyNumberFormat="1" applyFill="1" applyBorder="1" applyAlignment="1">
      <alignment horizontal="center" vertical="center" textRotation="0" wrapText="false" shrinkToFit="false"/>
    </xf>
    <xf xfId="0" fontId="31" numFmtId="9" fillId="2" borderId="207" applyFont="1" applyNumberFormat="1" applyFill="1" applyBorder="1" applyAlignment="1">
      <alignment horizontal="center" vertical="center" textRotation="0" wrapText="false" shrinkToFit="false"/>
    </xf>
    <xf xfId="0" fontId="31" numFmtId="9" fillId="2" borderId="208" applyFont="1" applyNumberFormat="1" applyFill="1" applyBorder="1" applyAlignment="1">
      <alignment horizontal="center" vertical="center" textRotation="0" wrapText="false" shrinkToFit="false"/>
    </xf>
    <xf xfId="0" fontId="3" numFmtId="1" fillId="5" borderId="56" applyFont="1" applyNumberFormat="1" applyFill="1" applyBorder="1" applyAlignment="1">
      <alignment horizontal="center" vertical="center" textRotation="0" wrapText="false" shrinkToFit="false"/>
    </xf>
    <xf xfId="0" fontId="3" numFmtId="1" fillId="0" borderId="56" applyFont="1" applyNumberFormat="1" applyFill="0" applyBorder="1" applyAlignment="1">
      <alignment vertical="center" textRotation="0" wrapText="false" shrinkToFit="false"/>
    </xf>
    <xf xfId="0" fontId="47" numFmtId="168" fillId="0" borderId="0" applyFont="1" applyNumberFormat="1" applyFill="0" applyBorder="0" applyAlignment="1">
      <alignment vertical="center" textRotation="0" wrapText="false" shrinkToFit="false"/>
    </xf>
    <xf xfId="0" fontId="3" numFmtId="0" fillId="0" borderId="53" applyFont="1" applyNumberFormat="0" applyFill="0" applyBorder="1" applyAlignment="1">
      <alignment vertical="center" textRotation="0" wrapText="false" shrinkToFit="false"/>
    </xf>
    <xf xfId="0" fontId="3" numFmtId="15" fillId="0" borderId="53" applyFont="1" applyNumberFormat="1" applyFill="0" applyBorder="1" applyAlignment="1">
      <alignment vertical="center" textRotation="0" wrapText="false" shrinkToFit="false"/>
    </xf>
    <xf xfId="0" fontId="0" numFmtId="170" fillId="0" borderId="50" applyFont="0" applyNumberFormat="1" applyFill="0" applyBorder="1" applyAlignment="1">
      <alignment vertical="center" textRotation="0" wrapText="false" shrinkToFit="false"/>
    </xf>
    <xf xfId="0" fontId="21" numFmtId="3" fillId="0" borderId="0" applyFont="1" applyNumberFormat="1" applyFill="0" applyBorder="0" applyAlignment="1">
      <alignment vertical="center" textRotation="0" wrapText="false" shrinkToFit="false"/>
    </xf>
    <xf xfId="0" fontId="21" numFmtId="2" fillId="0" borderId="0" applyFont="1" applyNumberFormat="1" applyFill="0" applyBorder="0" applyAlignment="1">
      <alignment vertical="center" textRotation="0" wrapText="false" shrinkToFit="false"/>
    </xf>
    <xf xfId="0" fontId="21" numFmtId="167" fillId="0" borderId="0" applyFont="1" applyNumberFormat="1" applyFill="0" applyBorder="0" applyAlignment="1">
      <alignment vertical="center" textRotation="0" wrapText="false" shrinkToFit="false"/>
    </xf>
    <xf xfId="0" fontId="21" numFmtId="3" fillId="0" borderId="53" applyFont="1" applyNumberFormat="1" applyFill="0" applyBorder="1" applyAlignment="1">
      <alignment vertical="center" textRotation="0" wrapText="false" shrinkToFit="false"/>
    </xf>
    <xf xfId="0" fontId="21" numFmtId="2" fillId="0" borderId="52" applyFont="1" applyNumberFormat="1" applyFill="0" applyBorder="1" applyAlignment="1">
      <alignment vertical="center" textRotation="0" wrapText="false" shrinkToFit="false"/>
    </xf>
    <xf xfId="0" fontId="0" numFmtId="0" fillId="2" borderId="94" applyFont="0" applyNumberFormat="0" applyFill="1" applyBorder="1" applyAlignment="1">
      <alignment vertical="center" textRotation="0" wrapText="false" shrinkToFit="false"/>
    </xf>
    <xf xfId="0" fontId="0" numFmtId="0" fillId="0" borderId="209" applyFont="0" applyNumberFormat="0" applyFill="0" applyBorder="1" applyAlignment="1">
      <alignment vertical="center" textRotation="0" wrapText="false" shrinkToFit="false"/>
    </xf>
    <xf xfId="0" fontId="0" numFmtId="0" fillId="2" borderId="209" applyFont="0" applyNumberFormat="0" applyFill="1" applyBorder="1" applyAlignment="1">
      <alignment vertical="center" textRotation="0" wrapText="false" shrinkToFit="false"/>
    </xf>
    <xf xfId="0" fontId="0" numFmtId="0" fillId="2" borderId="210" applyFont="0" applyNumberFormat="0" applyFill="1" applyBorder="1" applyAlignment="1">
      <alignment vertical="center" textRotation="0" wrapText="false" shrinkToFit="false"/>
    </xf>
    <xf xfId="0" fontId="0" numFmtId="0" fillId="0" borderId="211" applyFont="0" applyNumberFormat="0" applyFill="0" applyBorder="1" applyAlignment="1">
      <alignment vertical="center" textRotation="0" wrapText="false" shrinkToFit="false"/>
    </xf>
    <xf xfId="0" fontId="25" numFmtId="0" fillId="0" borderId="212" applyFont="1" applyNumberFormat="0" applyFill="0" applyBorder="1" applyAlignment="1">
      <alignment horizontal="center" vertical="center" textRotation="0" wrapText="false" shrinkToFit="false"/>
    </xf>
    <xf xfId="0" fontId="25" numFmtId="0" fillId="0" borderId="213" applyFont="1" applyNumberFormat="0" applyFill="0" applyBorder="1" applyAlignment="1">
      <alignment horizontal="center" vertical="center" textRotation="0" wrapText="false" shrinkToFit="false"/>
    </xf>
    <xf xfId="0" fontId="25" numFmtId="0" fillId="0" borderId="214" applyFont="1" applyNumberFormat="0" applyFill="0" applyBorder="1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3" numFmtId="1" fillId="3" borderId="0" applyFont="1" applyNumberFormat="1" applyFill="1" applyBorder="0" applyAlignment="1">
      <alignment vertical="center" textRotation="0" wrapText="false" shrinkToFit="false"/>
    </xf>
    <xf xfId="0" fontId="3" numFmtId="1" fillId="7" borderId="0" applyFont="1" applyNumberFormat="1" applyFill="1" applyBorder="0" applyAlignment="1">
      <alignment vertical="center" textRotation="0" wrapText="false" shrinkToFit="false"/>
    </xf>
    <xf xfId="0" fontId="46" numFmtId="0" fillId="6" borderId="215" applyFont="1" applyNumberFormat="0" applyFill="1" applyBorder="1" applyAlignment="1">
      <alignment horizontal="center" vertical="center" textRotation="0" wrapText="true" shrinkToFit="false"/>
    </xf>
    <xf xfId="0" fontId="48" numFmtId="170" fillId="0" borderId="215" applyFont="1" applyNumberFormat="1" applyFill="0" applyBorder="1" applyAlignment="1">
      <alignment vertical="center" textRotation="0" wrapText="false" shrinkToFit="false"/>
    </xf>
    <xf xfId="0" fontId="49" numFmtId="169" fillId="6" borderId="215" applyFont="1" applyNumberFormat="1" applyFill="1" applyBorder="1" applyAlignment="1">
      <alignment vertical="center" textRotation="0" wrapText="false" shrinkToFit="false"/>
    </xf>
    <xf xfId="0" fontId="38" numFmtId="0" fillId="0" borderId="51" applyFont="1" applyNumberFormat="0" applyFill="0" applyBorder="1" applyAlignment="1">
      <alignment vertical="center" textRotation="0" wrapText="false" shrinkToFit="false"/>
    </xf>
    <xf xfId="0" fontId="38" numFmtId="0" fillId="0" borderId="91" applyFont="1" applyNumberFormat="0" applyFill="0" applyBorder="1" applyAlignment="1">
      <alignment vertical="center" textRotation="0" wrapText="false" shrinkToFit="false"/>
    </xf>
    <xf xfId="0" fontId="38" numFmtId="0" fillId="0" borderId="50" applyFont="1" applyNumberFormat="0" applyFill="0" applyBorder="1" applyAlignment="1">
      <alignment vertical="center" textRotation="0" wrapText="false" shrinkToFit="false"/>
    </xf>
    <xf xfId="0" fontId="48" numFmtId="0" fillId="0" borderId="53" applyFont="1" applyNumberFormat="0" applyFill="0" applyBorder="1" applyAlignment="1">
      <alignment vertical="center" textRotation="0" wrapText="false" shrinkToFit="false"/>
    </xf>
    <xf xfId="0" fontId="48" numFmtId="0" fillId="0" borderId="52" applyFont="1" applyNumberFormat="0" applyFill="0" applyBorder="1" applyAlignment="1">
      <alignment vertical="center" textRotation="0" wrapText="false" shrinkToFit="false"/>
    </xf>
    <xf xfId="0" fontId="48" numFmtId="0" fillId="0" borderId="54" applyFont="1" applyNumberFormat="0" applyFill="0" applyBorder="1" applyAlignment="1">
      <alignment vertical="center" textRotation="0" wrapText="false" shrinkToFit="false"/>
    </xf>
    <xf xfId="0" fontId="48" numFmtId="0" fillId="0" borderId="56" applyFont="1" applyNumberFormat="0" applyFill="0" applyBorder="1" applyAlignment="1">
      <alignment vertical="center" textRotation="0" wrapText="false" shrinkToFit="false"/>
    </xf>
    <xf xfId="0" fontId="48" numFmtId="0" fillId="0" borderId="55" applyFont="1" applyNumberFormat="0" applyFill="0" applyBorder="1" applyAlignment="1">
      <alignment vertical="center" textRotation="0" wrapText="false" shrinkToFit="false"/>
    </xf>
    <xf xfId="0" fontId="52" numFmtId="0" fillId="0" borderId="140" applyFont="1" applyNumberFormat="0" applyFill="0" applyBorder="1" applyAlignment="1">
      <alignment horizontal="center" vertical="center" textRotation="0" wrapText="false" shrinkToFit="false"/>
    </xf>
    <xf xfId="0" fontId="3" numFmtId="0" fillId="2" borderId="216" applyFont="1" applyNumberFormat="0" applyFill="1" applyBorder="1" applyAlignment="1">
      <alignment horizontal="center" vertical="center" textRotation="0" wrapText="true" shrinkToFit="false"/>
    </xf>
    <xf xfId="0" fontId="5" numFmtId="0" fillId="0" borderId="217" applyFont="1" applyNumberFormat="0" applyFill="0" applyBorder="1" applyAlignment="1">
      <alignment horizontal="center" vertical="center" textRotation="0" wrapText="true" shrinkToFit="false"/>
    </xf>
    <xf xfId="0" fontId="6" numFmtId="0" fillId="2" borderId="218" applyFont="1" applyNumberFormat="0" applyFill="1" applyBorder="1" applyAlignment="1">
      <alignment horizontal="center" vertical="center" textRotation="0" wrapText="true" shrinkToFit="false"/>
    </xf>
    <xf xfId="0" fontId="6" numFmtId="0" fillId="2" borderId="219" applyFont="1" applyNumberFormat="0" applyFill="1" applyBorder="1" applyAlignment="1">
      <alignment horizontal="center" vertical="center" textRotation="0" wrapText="true" shrinkToFit="false"/>
    </xf>
    <xf xfId="0" fontId="4" numFmtId="0" fillId="0" borderId="219" applyFont="1" applyNumberFormat="0" applyFill="0" applyBorder="1" applyAlignment="1">
      <alignment horizontal="center" vertical="center" textRotation="0" wrapText="true" shrinkToFit="false"/>
    </xf>
    <xf xfId="0" fontId="7" numFmtId="0" fillId="2" borderId="219" applyFont="1" applyNumberFormat="0" applyFill="1" applyBorder="1" applyAlignment="1">
      <alignment horizontal="center" vertical="center" textRotation="0" wrapText="true" shrinkToFit="false"/>
    </xf>
    <xf xfId="0" fontId="3" numFmtId="0" fillId="2" borderId="219" applyFont="1" applyNumberFormat="0" applyFill="1" applyBorder="1" applyAlignment="1">
      <alignment horizontal="center" vertical="center" textRotation="0" wrapText="true" shrinkToFit="false"/>
    </xf>
    <xf xfId="0" fontId="4" numFmtId="0" fillId="0" borderId="220" applyFont="1" applyNumberFormat="0" applyFill="0" applyBorder="1" applyAlignment="1">
      <alignment horizontal="center" vertical="center" textRotation="0" wrapText="true" shrinkToFit="false"/>
    </xf>
    <xf xfId="0" fontId="8" numFmtId="0" fillId="2" borderId="221" applyFont="1" applyNumberFormat="0" applyFill="1" applyBorder="1" applyAlignment="1">
      <alignment horizontal="center" vertical="center" textRotation="0" wrapText="true" shrinkToFit="false"/>
    </xf>
    <xf xfId="0" fontId="10" numFmtId="0" fillId="0" borderId="108" applyFont="1" applyNumberFormat="0" applyFill="0" applyBorder="1" applyAlignment="1">
      <alignment horizontal="center" vertical="center" textRotation="0" wrapText="true" shrinkToFit="false"/>
    </xf>
    <xf xfId="0" fontId="10" numFmtId="0" fillId="0" borderId="220" applyFont="1" applyNumberFormat="0" applyFill="0" applyBorder="1" applyAlignment="1">
      <alignment horizontal="center" vertical="center" textRotation="0" wrapText="true" shrinkToFit="false"/>
    </xf>
    <xf xfId="0" fontId="13" numFmtId="0" fillId="2" borderId="222" applyFont="1" applyNumberFormat="0" applyFill="1" applyBorder="1" applyAlignment="1">
      <alignment horizontal="center" vertical="center" textRotation="0" wrapText="true" shrinkToFit="false"/>
    </xf>
    <xf xfId="0" fontId="13" numFmtId="0" fillId="2" borderId="223" applyFont="1" applyNumberFormat="0" applyFill="1" applyBorder="1" applyAlignment="1">
      <alignment horizontal="center" vertical="center" textRotation="0" wrapText="true" shrinkToFit="false"/>
    </xf>
    <xf xfId="0" fontId="12" numFmtId="49" fillId="0" borderId="220" applyFont="1" applyNumberFormat="1" applyFill="0" applyBorder="1" applyAlignment="1">
      <alignment horizontal="center" vertical="center" textRotation="0" wrapText="true" shrinkToFit="false"/>
    </xf>
    <xf xfId="0" fontId="15" numFmtId="0" fillId="0" borderId="224" applyFont="1" applyNumberFormat="0" applyFill="0" applyBorder="1" applyAlignment="1">
      <alignment horizontal="center" vertical="center" textRotation="0" wrapText="true" shrinkToFit="false"/>
    </xf>
    <xf xfId="0" fontId="15" numFmtId="0" fillId="0" borderId="225" applyFont="1" applyNumberFormat="0" applyFill="0" applyBorder="1" applyAlignment="1">
      <alignment horizontal="center" vertical="center" textRotation="0" wrapText="true" shrinkToFit="false"/>
    </xf>
    <xf xfId="0" fontId="14" numFmtId="0" fillId="0" borderId="226" applyFont="1" applyNumberFormat="0" applyFill="0" applyBorder="1" applyAlignment="1">
      <alignment horizontal="center" vertical="center" textRotation="0" wrapText="true" shrinkToFit="false"/>
    </xf>
    <xf xfId="0" fontId="3" numFmtId="0" fillId="2" borderId="66" applyFont="1" applyNumberFormat="0" applyFill="1" applyBorder="1" applyAlignment="1">
      <alignment horizontal="center" vertical="center" textRotation="0" wrapText="true" shrinkToFit="false"/>
    </xf>
    <xf xfId="0" fontId="4" numFmtId="0" fillId="2" borderId="216" applyFont="1" applyNumberFormat="0" applyFill="1" applyBorder="1" applyAlignment="1">
      <alignment horizontal="center" vertical="center" textRotation="0" wrapText="true" shrinkToFit="false"/>
    </xf>
    <xf xfId="0" fontId="29" numFmtId="1" fillId="0" borderId="72" applyFont="1" applyNumberFormat="1" applyFill="0" applyBorder="1" applyAlignment="1">
      <alignment horizontal="center" vertical="center" textRotation="0" wrapText="false" shrinkToFit="false"/>
    </xf>
    <xf xfId="0" fontId="31" numFmtId="9" fillId="2" borderId="227" applyFont="1" applyNumberFormat="1" applyFill="1" applyBorder="1" applyAlignment="1">
      <alignment horizontal="center" vertical="center" textRotation="0" wrapText="false" shrinkToFit="false"/>
    </xf>
    <xf xfId="0" fontId="31" numFmtId="9" fillId="2" borderId="228" applyFont="1" applyNumberFormat="1" applyFill="1" applyBorder="1" applyAlignment="1">
      <alignment horizontal="center" vertical="center" textRotation="0" wrapText="false" shrinkToFit="false"/>
    </xf>
    <xf xfId="0" fontId="31" numFmtId="9" fillId="2" borderId="229" applyFont="1" applyNumberFormat="1" applyFill="1" applyBorder="1" applyAlignment="1">
      <alignment horizontal="center" vertical="center" textRotation="0" wrapText="false" shrinkToFit="false"/>
    </xf>
    <xf xfId="0" fontId="31" numFmtId="9" fillId="2" borderId="230" applyFont="1" applyNumberFormat="1" applyFill="1" applyBorder="1" applyAlignment="1">
      <alignment horizontal="center" vertical="center" textRotation="0" wrapText="false" shrinkToFit="false"/>
    </xf>
    <xf xfId="0" fontId="31" numFmtId="9" fillId="2" borderId="231" applyFont="1" applyNumberFormat="1" applyFill="1" applyBorder="1" applyAlignment="1">
      <alignment horizontal="center" vertical="center" textRotation="0" wrapText="false" shrinkToFit="false"/>
    </xf>
    <xf xfId="0" fontId="31" numFmtId="9" fillId="2" borderId="232" applyFont="1" applyNumberFormat="1" applyFill="1" applyBorder="1" applyAlignment="1">
      <alignment horizontal="center" vertical="center" textRotation="0" wrapText="false" shrinkToFit="false"/>
    </xf>
    <xf xfId="0" fontId="31" numFmtId="9" fillId="2" borderId="233" applyFont="1" applyNumberFormat="1" applyFill="1" applyBorder="1" applyAlignment="1">
      <alignment horizontal="center" vertical="center" textRotation="0" wrapText="false" shrinkToFit="false"/>
    </xf>
    <xf xfId="0" fontId="31" numFmtId="9" fillId="2" borderId="141" applyFont="1" applyNumberFormat="1" applyFill="1" applyBorder="1" applyAlignment="1">
      <alignment horizontal="center" vertical="center" textRotation="0" wrapText="false" shrinkToFit="false"/>
    </xf>
    <xf xfId="0" fontId="31" numFmtId="9" fillId="2" borderId="234" applyFont="1" applyNumberFormat="1" applyFill="1" applyBorder="1" applyAlignment="1">
      <alignment horizontal="center" vertical="center" textRotation="0" wrapText="false" shrinkToFit="false"/>
    </xf>
    <xf xfId="0" fontId="31" numFmtId="9" fillId="2" borderId="235" applyFont="1" applyNumberFormat="1" applyFill="1" applyBorder="1" applyAlignment="1">
      <alignment horizontal="center" vertical="center" textRotation="0" wrapText="false" shrinkToFit="false"/>
    </xf>
    <xf xfId="0" fontId="31" numFmtId="9" fillId="2" borderId="236" applyFont="1" applyNumberFormat="1" applyFill="1" applyBorder="1" applyAlignment="1">
      <alignment horizontal="center" vertical="center" textRotation="0" wrapText="false" shrinkToFit="false"/>
    </xf>
    <xf xfId="0" fontId="36" numFmtId="10" fillId="0" borderId="52" applyFont="1" applyNumberFormat="1" applyFill="0" applyBorder="1" applyAlignment="1">
      <alignment vertical="center" textRotation="0" wrapText="false" shrinkToFit="false"/>
    </xf>
    <xf xfId="0" fontId="0" numFmtId="9" fillId="0" borderId="0" applyFont="0" applyNumberFormat="1" applyFill="0" applyBorder="0" applyAlignment="0"/>
    <xf xfId="0" fontId="0" numFmtId="15" fillId="0" borderId="237" applyFont="0" applyNumberFormat="1" applyFill="0" applyBorder="1" applyAlignment="1">
      <alignment vertical="center" textRotation="0" wrapText="false" shrinkToFit="false"/>
    </xf>
    <xf xfId="0" fontId="0" numFmtId="15" fillId="0" borderId="238" applyFont="0" applyNumberFormat="1" applyFill="0" applyBorder="1" applyAlignment="1">
      <alignment vertical="center" textRotation="0" wrapText="false" shrinkToFit="false"/>
    </xf>
    <xf xfId="0" fontId="0" numFmtId="15" fillId="0" borderId="239" applyFont="0" applyNumberFormat="1" applyFill="0" applyBorder="1" applyAlignment="1">
      <alignment vertical="center" textRotation="0" wrapText="false" shrinkToFit="false"/>
    </xf>
    <xf xfId="0" fontId="0" numFmtId="15" fillId="0" borderId="239" applyFont="0" applyNumberFormat="1" applyFill="0" applyBorder="1" applyAlignment="1">
      <alignment vertical="center" textRotation="0" wrapText="false" shrinkToFit="false"/>
    </xf>
    <xf xfId="0" fontId="0" numFmtId="15" fillId="0" borderId="240" applyFont="0" applyNumberFormat="1" applyFill="0" applyBorder="1" applyAlignment="1">
      <alignment vertical="center" textRotation="0" wrapText="false" shrinkToFit="false"/>
    </xf>
    <xf xfId="0" fontId="31" numFmtId="9" fillId="2" borderId="241" applyFont="1" applyNumberFormat="1" applyFill="1" applyBorder="1" applyAlignment="1">
      <alignment horizontal="center" vertical="center" textRotation="0" wrapText="false" shrinkToFit="false"/>
    </xf>
    <xf xfId="0" fontId="31" numFmtId="9" fillId="2" borderId="242" applyFont="1" applyNumberFormat="1" applyFill="1" applyBorder="1" applyAlignment="1">
      <alignment horizontal="center" vertical="center" textRotation="0" wrapText="false" shrinkToFit="false"/>
    </xf>
    <xf xfId="0" fontId="31" numFmtId="9" fillId="2" borderId="243" applyFont="1" applyNumberFormat="1" applyFill="1" applyBorder="1" applyAlignment="1">
      <alignment horizontal="center" vertical="center" textRotation="0" wrapText="false" shrinkToFit="false"/>
    </xf>
    <xf xfId="0" fontId="31" numFmtId="9" fillId="2" borderId="244" applyFont="1" applyNumberFormat="1" applyFill="1" applyBorder="1" applyAlignment="1">
      <alignment horizontal="center" vertical="center" textRotation="0" wrapText="false" shrinkToFit="false"/>
    </xf>
    <xf xfId="0" fontId="21" numFmtId="9" fillId="0" borderId="0" applyFont="1" applyNumberFormat="1" applyFill="0" applyBorder="0" applyAlignment="1">
      <alignment vertical="center" textRotation="0" wrapText="false" shrinkToFit="false"/>
    </xf>
    <xf xfId="0" fontId="0" numFmtId="3" fillId="9" borderId="0" applyFont="0" applyNumberFormat="1" applyFill="1" applyBorder="0" applyAlignment="1">
      <alignment vertical="center" textRotation="0" wrapText="false" shrinkToFit="false"/>
    </xf>
    <xf xfId="0" fontId="5" numFmtId="169" fillId="0" borderId="0" applyFont="1" applyNumberFormat="1" applyFill="0" applyBorder="0" applyAlignment="1">
      <alignment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center" textRotation="0" wrapText="false" shrinkToFit="false"/>
    </xf>
    <xf xfId="0" fontId="0" numFmtId="1" fillId="0" borderId="11" applyFont="0" applyNumberFormat="1" applyFill="0" applyBorder="1" applyAlignment="1">
      <alignment vertical="center" textRotation="0" wrapText="false" shrinkToFit="false"/>
    </xf>
    <xf xfId="0" fontId="0" numFmtId="165" fillId="0" borderId="30" applyFont="0" applyNumberFormat="1" applyFill="0" applyBorder="1" applyAlignment="1">
      <alignment horizontal="center" vertical="center" textRotation="0" wrapText="false" shrinkToFit="false"/>
    </xf>
    <xf xfId="0" fontId="3" numFmtId="171" fillId="0" borderId="0" applyFont="1" applyNumberFormat="1" applyFill="0" applyBorder="0" applyAlignment="1">
      <alignment vertical="center" textRotation="0" wrapText="false" shrinkToFit="false"/>
    </xf>
    <xf xfId="0" fontId="3" numFmtId="2" fillId="0" borderId="0" applyFont="1" applyNumberFormat="1" applyFill="0" applyBorder="0" applyAlignment="1">
      <alignment horizontal="center" vertical="center" textRotation="0" wrapText="false" shrinkToFit="false"/>
    </xf>
    <xf xfId="0" fontId="0" numFmtId="2" fillId="0" borderId="22" applyFont="0" applyNumberFormat="1" applyFill="0" applyBorder="1" applyAlignment="1">
      <alignment horizontal="center" vertical="center" textRotation="0" wrapText="false" shrinkToFit="false"/>
    </xf>
    <xf xfId="0" fontId="0" numFmtId="165" fillId="0" borderId="11" applyFont="0" applyNumberFormat="1" applyFill="0" applyBorder="1" applyAlignment="1">
      <alignment horizontal="center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vertical="center" textRotation="0" wrapText="false" shrinkToFit="false"/>
    </xf>
    <xf xfId="0" fontId="0" numFmtId="0" fillId="2" borderId="245" applyFont="0" applyNumberFormat="0" applyFill="1" applyBorder="1" applyAlignment="1">
      <alignment vertical="center" textRotation="0" wrapText="false" shrinkToFit="false"/>
    </xf>
    <xf xfId="0" fontId="0" numFmtId="0" fillId="2" borderId="128" applyFont="0" applyNumberFormat="0" applyFill="1" applyBorder="1" applyAlignment="1">
      <alignment vertical="center" textRotation="0" wrapText="false" shrinkToFit="false"/>
    </xf>
    <xf xfId="0" fontId="18" numFmtId="0" fillId="0" borderId="128" applyFont="1" applyNumberFormat="0" applyFill="0" applyBorder="1" applyAlignment="1">
      <alignment vertical="center" textRotation="0" wrapText="false" shrinkToFit="false"/>
    </xf>
    <xf xfId="0" fontId="0" numFmtId="0" fillId="0" borderId="128" applyFont="0" applyNumberFormat="0" applyFill="0" applyBorder="1" applyAlignment="1">
      <alignment vertical="center" textRotation="0" wrapText="false" shrinkToFit="false"/>
    </xf>
    <xf xfId="0" fontId="3" numFmtId="15" fillId="0" borderId="246" applyFont="1" applyNumberFormat="1" applyFill="0" applyBorder="1" applyAlignment="1">
      <alignment horizontal="center" vertical="center" textRotation="0" wrapText="false" shrinkToFit="false"/>
    </xf>
    <xf xfId="0" fontId="7" numFmtId="0" fillId="2" borderId="216" applyFont="1" applyNumberFormat="0" applyFill="1" applyBorder="1" applyAlignment="1">
      <alignment horizontal="center" vertical="center" textRotation="0" wrapText="true" shrinkToFit="false"/>
    </xf>
    <xf xfId="0" fontId="3" numFmtId="0" fillId="2" borderId="247" applyFont="1" applyNumberFormat="0" applyFill="1" applyBorder="1" applyAlignment="1">
      <alignment horizontal="center" vertical="center" textRotation="0" wrapText="true" shrinkToFit="false"/>
    </xf>
    <xf xfId="0" fontId="4" numFmtId="0" fillId="2" borderId="248" applyFont="1" applyNumberFormat="0" applyFill="1" applyBorder="1" applyAlignment="1">
      <alignment horizontal="center" vertical="center" textRotation="0" wrapText="true" shrinkToFit="false"/>
    </xf>
    <xf xfId="0" fontId="3" numFmtId="0" fillId="2" borderId="248" applyFont="1" applyNumberFormat="0" applyFill="1" applyBorder="1" applyAlignment="1">
      <alignment horizontal="center" vertical="center" textRotation="0" wrapText="true" shrinkToFit="false"/>
    </xf>
    <xf xfId="0" fontId="5" numFmtId="0" fillId="0" borderId="249" applyFont="1" applyNumberFormat="0" applyFill="0" applyBorder="1" applyAlignment="1">
      <alignment horizontal="center" vertical="center" textRotation="0" wrapText="true" shrinkToFit="false"/>
    </xf>
    <xf xfId="0" fontId="6" numFmtId="0" fillId="2" borderId="250" applyFont="1" applyNumberFormat="0" applyFill="1" applyBorder="1" applyAlignment="1">
      <alignment horizontal="center" vertical="center" textRotation="0" wrapText="true" shrinkToFit="false"/>
    </xf>
    <xf xfId="0" fontId="6" numFmtId="0" fillId="2" borderId="251" applyFont="1" applyNumberFormat="0" applyFill="1" applyBorder="1" applyAlignment="1">
      <alignment horizontal="center" vertical="center" textRotation="0" wrapText="true" shrinkToFit="false"/>
    </xf>
    <xf xfId="0" fontId="4" numFmtId="0" fillId="0" borderId="251" applyFont="1" applyNumberFormat="0" applyFill="0" applyBorder="1" applyAlignment="1">
      <alignment horizontal="center" vertical="center" textRotation="0" wrapText="true" shrinkToFit="false"/>
    </xf>
    <xf xfId="0" fontId="0" numFmtId="171" fillId="10" borderId="0" applyFont="0" applyNumberFormat="1" applyFill="1" applyBorder="0" applyAlignment="1">
      <alignment vertical="center" textRotation="0" wrapText="false" shrinkToFit="false"/>
    </xf>
    <xf xfId="0" fontId="3" numFmtId="0" fillId="11" borderId="65" applyFont="1" applyNumberFormat="0" applyFill="1" applyBorder="1" applyAlignment="1">
      <alignment vertical="center" textRotation="0" wrapText="true" shrinkToFit="false"/>
    </xf>
    <xf xfId="0" fontId="3" numFmtId="169" fillId="11" borderId="65" applyFont="1" applyNumberFormat="1" applyFill="1" applyBorder="1" applyAlignment="1">
      <alignment vertical="center" textRotation="0" wrapText="false" shrinkToFit="false"/>
    </xf>
    <xf xfId="0" fontId="5" numFmtId="169" fillId="0" borderId="65" applyFont="1" applyNumberFormat="1" applyFill="0" applyBorder="1" applyAlignment="1">
      <alignment vertical="center" textRotation="0" wrapText="false" shrinkToFit="false"/>
    </xf>
    <xf xfId="0" fontId="0" numFmtId="3" fillId="10" borderId="0" applyFont="0" applyNumberFormat="1" applyFill="1" applyBorder="0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vertical="center" textRotation="0" wrapText="false" shrinkToFit="false"/>
    </xf>
    <xf xfId="0" fontId="3" numFmtId="170" fillId="0" borderId="0" applyFont="1" applyNumberFormat="1" applyFill="0" applyBorder="0" applyAlignment="1">
      <alignment vertical="center" textRotation="0" wrapText="false" shrinkToFit="false"/>
    </xf>
    <xf xfId="0" fontId="0" numFmtId="165" fillId="0" borderId="31" applyFont="0" applyNumberFormat="1" applyFill="0" applyBorder="1" applyAlignment="1">
      <alignment horizontal="center" vertical="center" textRotation="0" wrapText="false" shrinkToFit="false"/>
    </xf>
    <xf xfId="0" fontId="0" numFmtId="14" fillId="0" borderId="197" applyFont="0" applyNumberFormat="1" applyFill="0" applyBorder="1" applyAlignment="1">
      <alignment horizontal="center" vertical="center" textRotation="0" wrapText="false" shrinkToFit="false"/>
    </xf>
    <xf xfId="0" fontId="0" numFmtId="0" fillId="0" borderId="198" applyFont="0" applyNumberFormat="0" applyFill="0" applyBorder="1" applyAlignment="1">
      <alignment horizontal="center" vertical="center" textRotation="0" wrapText="false" shrinkToFit="false"/>
    </xf>
    <xf xfId="0" fontId="21" numFmtId="14" fillId="0" borderId="197" applyFont="1" applyNumberFormat="1" applyFill="0" applyBorder="1" applyAlignment="1">
      <alignment horizontal="center" vertical="center" textRotation="0" wrapText="false" shrinkToFit="false"/>
    </xf>
    <xf xfId="0" fontId="21" numFmtId="0" fillId="0" borderId="198" applyFont="1" applyNumberFormat="0" applyFill="0" applyBorder="1" applyAlignment="1">
      <alignment horizontal="center" vertical="center" textRotation="0" wrapText="false" shrinkToFit="false"/>
    </xf>
    <xf xfId="0" fontId="0" numFmtId="14" fillId="0" borderId="51" applyFont="0" applyNumberFormat="1" applyFill="0" applyBorder="1" applyAlignment="1">
      <alignment horizontal="center" vertical="center" textRotation="0" wrapText="false" shrinkToFit="false"/>
    </xf>
    <xf xfId="0" fontId="0" numFmtId="0" fillId="0" borderId="50" applyFont="0" applyNumberFormat="0" applyFill="0" applyBorder="1" applyAlignment="1">
      <alignment horizontal="center" vertical="center" textRotation="0" wrapText="false" shrinkToFit="false"/>
    </xf>
    <xf xfId="0" fontId="0" numFmtId="0" fillId="0" borderId="54" applyFont="0" applyNumberFormat="0" applyFill="0" applyBorder="1" applyAlignment="1">
      <alignment horizontal="center" vertical="center" textRotation="0" wrapText="false" shrinkToFit="false"/>
    </xf>
    <xf xfId="0" fontId="0" numFmtId="0" fillId="0" borderId="55" applyFont="0" applyNumberFormat="0" applyFill="0" applyBorder="1" applyAlignment="1">
      <alignment horizontal="center" vertical="center" textRotation="0" wrapText="false" shrinkToFit="false"/>
    </xf>
    <xf xfId="0" fontId="0" numFmtId="0" fillId="0" borderId="53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5" borderId="197" applyFont="0" applyNumberFormat="0" applyFill="1" applyBorder="1" applyAlignment="1">
      <alignment horizontal="center" vertical="center" textRotation="0" wrapText="false" shrinkToFit="false"/>
    </xf>
    <xf xfId="0" fontId="0" numFmtId="0" fillId="5" borderId="195" applyFont="0" applyNumberFormat="0" applyFill="1" applyBorder="1" applyAlignment="1">
      <alignment horizontal="center" vertical="center" textRotation="0" wrapText="false" shrinkToFit="false"/>
    </xf>
    <xf xfId="0" fontId="0" numFmtId="0" fillId="5" borderId="198" applyFont="0" applyNumberFormat="0" applyFill="1" applyBorder="1" applyAlignment="1">
      <alignment horizontal="center" vertical="center" textRotation="0" wrapText="false" shrinkToFit="false"/>
    </xf>
    <xf xfId="0" fontId="0" numFmtId="0" fillId="0" borderId="53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52" applyFont="0" applyNumberFormat="0" applyFill="0" applyBorder="1" applyAlignment="1">
      <alignment horizontal="center" vertical="center" textRotation="0" wrapText="false" shrinkToFit="false"/>
    </xf>
    <xf xfId="0" fontId="0" numFmtId="169" fillId="0" borderId="54" applyFont="0" applyNumberFormat="1" applyFill="0" applyBorder="1" applyAlignment="1">
      <alignment horizontal="center" vertical="center" textRotation="0" wrapText="false" shrinkToFit="false"/>
    </xf>
    <xf xfId="0" fontId="0" numFmtId="169" fillId="0" borderId="55" applyFont="0" applyNumberFormat="1" applyFill="0" applyBorder="1" applyAlignment="1">
      <alignment horizontal="center" vertical="center" textRotation="0" wrapText="false" shrinkToFit="false"/>
    </xf>
    <xf xfId="0" fontId="0" numFmtId="0" fillId="0" borderId="56" applyFont="0" applyNumberFormat="0" applyFill="0" applyBorder="1" applyAlignment="1">
      <alignment horizontal="center" vertical="center" textRotation="0" wrapText="false" shrinkToFit="false"/>
    </xf>
    <xf xfId="0" fontId="0" numFmtId="169" fillId="0" borderId="197" applyFont="0" applyNumberFormat="1" applyFill="0" applyBorder="1" applyAlignment="1">
      <alignment horizontal="center" vertical="center" textRotation="0" wrapText="false" shrinkToFit="false"/>
    </xf>
    <xf xfId="0" fontId="0" numFmtId="169" fillId="0" borderId="198" applyFont="0" applyNumberFormat="1" applyFill="0" applyBorder="1" applyAlignment="1">
      <alignment horizontal="center" vertical="center" textRotation="0" wrapText="false" shrinkToFit="false"/>
    </xf>
    <xf xfId="0" fontId="3" numFmtId="168" fillId="0" borderId="66" applyFont="1" applyNumberFormat="1" applyFill="0" applyBorder="1" applyAlignment="1">
      <alignment horizontal="center" vertical="center" textRotation="0" wrapText="false" shrinkToFit="false"/>
    </xf>
    <xf xfId="0" fontId="3" numFmtId="168" fillId="0" borderId="82" applyFont="1" applyNumberFormat="1" applyFill="0" applyBorder="1" applyAlignment="1">
      <alignment horizontal="center" vertical="center" textRotation="0" wrapText="false" shrinkToFit="false"/>
    </xf>
    <xf xfId="0" fontId="0" numFmtId="169" fillId="0" borderId="53" applyFont="0" applyNumberFormat="1" applyFill="0" applyBorder="1" applyAlignment="1">
      <alignment horizontal="center" vertical="center" textRotation="0" wrapText="false" shrinkToFit="false"/>
    </xf>
    <xf xfId="0" fontId="0" numFmtId="169" fillId="0" borderId="52" applyFont="0" applyNumberFormat="1" applyFill="0" applyBorder="1" applyAlignment="1">
      <alignment horizontal="center" vertical="center" textRotation="0" wrapText="false" shrinkToFit="false"/>
    </xf>
    <xf xfId="0" fontId="21" numFmtId="2" fillId="0" borderId="0" applyFont="1" applyNumberFormat="1" applyFill="0" applyBorder="0" applyAlignment="1">
      <alignment horizontal="center" vertical="center" textRotation="0" wrapText="false" shrinkToFit="false"/>
    </xf>
    <xf xfId="0" fontId="21" numFmtId="2" fillId="0" borderId="52" applyFont="1" applyNumberFormat="1" applyFill="0" applyBorder="1" applyAlignment="1">
      <alignment horizontal="center" vertical="center" textRotation="0" wrapText="false" shrinkToFit="false"/>
    </xf>
    <xf xfId="0" fontId="0" numFmtId="165" fillId="0" borderId="197" applyFont="0" applyNumberFormat="1" applyFill="0" applyBorder="1" applyAlignment="1">
      <alignment horizontal="center" vertical="center" textRotation="0" wrapText="false" shrinkToFit="false"/>
    </xf>
    <xf xfId="0" fontId="0" numFmtId="165" fillId="0" borderId="198" applyFont="0" applyNumberFormat="1" applyFill="0" applyBorder="1" applyAlignment="1">
      <alignment horizontal="center" vertical="center" textRotation="0" wrapText="false" shrinkToFit="false"/>
    </xf>
    <xf xfId="0" fontId="0" numFmtId="169" fillId="0" borderId="0" applyFont="0" applyNumberFormat="1" applyFill="0" applyBorder="0" applyAlignment="1">
      <alignment horizontal="center" vertical="center" textRotation="0" wrapText="false" shrinkToFit="false"/>
    </xf>
    <xf xfId="0" fontId="0" numFmtId="169" fillId="0" borderId="52" applyFont="0" applyNumberFormat="1" applyFill="0" applyBorder="1" applyAlignment="1">
      <alignment horizontal="center" vertical="center" textRotation="0" wrapText="false" shrinkToFit="false"/>
    </xf>
    <xf xfId="0" fontId="3" numFmtId="15" fillId="5" borderId="197" applyFont="1" applyNumberFormat="1" applyFill="1" applyBorder="1" applyAlignment="1">
      <alignment horizontal="center" vertical="center" textRotation="0" wrapText="false" shrinkToFit="false"/>
    </xf>
    <xf xfId="0" fontId="3" numFmtId="15" fillId="5" borderId="195" applyFont="1" applyNumberFormat="1" applyFill="1" applyBorder="1" applyAlignment="1">
      <alignment horizontal="center" vertical="center" textRotation="0" wrapText="false" shrinkToFit="false"/>
    </xf>
    <xf xfId="0" fontId="3" numFmtId="15" fillId="5" borderId="198" applyFont="1" applyNumberFormat="1" applyFill="1" applyBorder="1" applyAlignment="1">
      <alignment horizontal="center" vertical="center" textRotation="0" wrapText="false" shrinkToFit="false"/>
    </xf>
    <xf xfId="0" fontId="0" numFmtId="3" fillId="0" borderId="56" applyFont="0" applyNumberFormat="1" applyFill="0" applyBorder="1" applyAlignment="1">
      <alignment horizontal="center" vertical="center" textRotation="0" wrapText="false" shrinkToFit="false"/>
    </xf>
    <xf xfId="0" fontId="0" numFmtId="0" fillId="0" borderId="55" applyFont="0" applyNumberFormat="0" applyFill="0" applyBorder="1" applyAlignment="1">
      <alignment horizontal="center" vertical="center" textRotation="0" wrapText="false" shrinkToFit="false"/>
    </xf>
    <xf xfId="0" fontId="47" numFmtId="168" fillId="0" borderId="0" applyFont="1" applyNumberFormat="1" applyFill="0" applyBorder="0" applyAlignment="1">
      <alignment horizontal="center" vertical="center" textRotation="0" wrapText="false" shrinkToFit="false"/>
    </xf>
    <xf xfId="0" fontId="47" numFmtId="168" fillId="0" borderId="52" applyFont="1" applyNumberFormat="1" applyFill="0" applyBorder="1" applyAlignment="1">
      <alignment horizontal="center" vertical="center" textRotation="0" wrapText="false" shrinkToFit="false"/>
    </xf>
    <xf xfId="0" fontId="36" numFmtId="0" fillId="0" borderId="53" applyFont="1" applyNumberFormat="0" applyFill="0" applyBorder="1" applyAlignment="1">
      <alignment horizontal="left" vertical="center" textRotation="0" wrapText="false" shrinkToFit="false"/>
    </xf>
    <xf xfId="0" fontId="36" numFmtId="0" fillId="0" borderId="0" applyFont="1" applyNumberFormat="0" applyFill="0" applyBorder="0" applyAlignment="1">
      <alignment horizontal="left" vertical="center" textRotation="0" wrapText="false" shrinkToFit="false"/>
    </xf>
    <xf xfId="0" fontId="36" numFmtId="173" fillId="0" borderId="56" applyFont="1" applyNumberFormat="1" applyFill="0" applyBorder="1" applyAlignment="1">
      <alignment horizontal="center" vertical="bottom" textRotation="0" wrapText="false" shrinkToFit="false"/>
    </xf>
    <xf xfId="0" fontId="3" numFmtId="0" fillId="5" borderId="197" applyFont="1" applyNumberFormat="0" applyFill="1" applyBorder="1" applyAlignment="1">
      <alignment horizontal="center" vertical="center" textRotation="0" wrapText="false" shrinkToFit="false"/>
    </xf>
    <xf xfId="0" fontId="3" numFmtId="0" fillId="5" borderId="195" applyFont="1" applyNumberFormat="0" applyFill="1" applyBorder="1" applyAlignment="1">
      <alignment horizontal="center" vertical="center" textRotation="0" wrapText="false" shrinkToFit="false"/>
    </xf>
    <xf xfId="0" fontId="3" numFmtId="0" fillId="5" borderId="198" applyFont="1" applyNumberFormat="0" applyFill="1" applyBorder="1" applyAlignment="1">
      <alignment horizontal="center" vertical="center" textRotation="0" wrapText="false" shrinkToFit="false"/>
    </xf>
    <xf xfId="0" fontId="0" numFmtId="3" fillId="0" borderId="197" applyFont="0" applyNumberFormat="1" applyFill="0" applyBorder="1" applyAlignment="1">
      <alignment horizontal="center" vertical="center" textRotation="0" wrapText="false" shrinkToFit="false"/>
    </xf>
    <xf xfId="0" fontId="0" numFmtId="0" fillId="0" borderId="198" applyFont="0" applyNumberFormat="0" applyFill="0" applyBorder="1" applyAlignment="1">
      <alignment horizontal="center" vertical="center" textRotation="0" wrapText="false" shrinkToFit="false"/>
    </xf>
    <xf xfId="0" fontId="37" numFmtId="3" fillId="0" borderId="192" applyFont="1" applyNumberFormat="1" applyFill="0" applyBorder="1" applyAlignment="1">
      <alignment horizontal="center" vertical="center" textRotation="0" wrapText="false" shrinkToFit="false"/>
    </xf>
    <xf xfId="0" fontId="37" numFmtId="3" fillId="0" borderId="252" applyFont="1" applyNumberFormat="1" applyFill="0" applyBorder="1" applyAlignment="1">
      <alignment horizontal="center" vertical="center" textRotation="0" wrapText="false" shrinkToFit="false"/>
    </xf>
    <xf xfId="0" fontId="47" numFmtId="167" fillId="0" borderId="0" applyFont="1" applyNumberFormat="1" applyFill="0" applyBorder="0" applyAlignment="1">
      <alignment horizontal="center" vertical="center" textRotation="0" wrapText="false" shrinkToFit="false"/>
    </xf>
    <xf xfId="0" fontId="47" numFmtId="167" fillId="0" borderId="52" applyFont="1" applyNumberFormat="1" applyFill="0" applyBorder="1" applyAlignment="1">
      <alignment horizontal="center" vertical="center" textRotation="0" wrapText="false" shrinkToFit="false"/>
    </xf>
    <xf xfId="0" fontId="0" numFmtId="170" fillId="0" borderId="253" applyFont="0" applyNumberFormat="1" applyFill="0" applyBorder="1" applyAlignment="1">
      <alignment horizontal="center" vertical="center" textRotation="0" wrapText="false" shrinkToFit="false"/>
    </xf>
    <xf xfId="0" fontId="0" numFmtId="170" fillId="0" borderId="116" applyFont="0" applyNumberFormat="1" applyFill="0" applyBorder="1" applyAlignment="1">
      <alignment horizontal="center" vertical="center" textRotation="0" wrapText="false" shrinkToFit="false"/>
    </xf>
    <xf xfId="0" fontId="16" numFmtId="15" fillId="5" borderId="197" applyFont="1" applyNumberFormat="1" applyFill="1" applyBorder="1" applyAlignment="1">
      <alignment horizontal="center" vertical="center" textRotation="0" wrapText="false" shrinkToFit="false"/>
    </xf>
    <xf xfId="0" fontId="16" numFmtId="15" fillId="5" borderId="195" applyFont="1" applyNumberFormat="1" applyFill="1" applyBorder="1" applyAlignment="1">
      <alignment horizontal="center" vertical="center" textRotation="0" wrapText="false" shrinkToFit="false"/>
    </xf>
    <xf xfId="0" fontId="16" numFmtId="15" fillId="5" borderId="65" applyFont="1" applyNumberFormat="1" applyFill="1" applyBorder="1" applyAlignment="1">
      <alignment horizontal="center" vertical="center" textRotation="0" wrapText="true" shrinkToFit="false"/>
    </xf>
    <xf xfId="0" fontId="3" numFmtId="1" fillId="5" borderId="0" applyFont="1" applyNumberFormat="1" applyFill="1" applyBorder="0" applyAlignment="1">
      <alignment horizontal="center" vertical="center" textRotation="0" wrapText="false" shrinkToFit="false"/>
    </xf>
    <xf xfId="0" fontId="3" numFmtId="1" fillId="5" borderId="52" applyFont="1" applyNumberFormat="1" applyFill="1" applyBorder="1" applyAlignment="1">
      <alignment horizontal="center" vertical="center" textRotation="0" wrapText="false" shrinkToFit="false"/>
    </xf>
    <xf xfId="0" fontId="53" numFmtId="3" fillId="0" borderId="0" applyFont="1" applyNumberFormat="1" applyFill="0" applyBorder="0" applyAlignment="1">
      <alignment horizontal="center" vertical="center" textRotation="0" wrapText="false" shrinkToFit="false"/>
    </xf>
    <xf xfId="0" fontId="21" numFmtId="3" fillId="0" borderId="197" applyFont="1" applyNumberFormat="1" applyFill="0" applyBorder="1" applyAlignment="1">
      <alignment horizontal="center" vertical="center" textRotation="0" wrapText="false" shrinkToFit="false"/>
    </xf>
    <xf xfId="0" fontId="21" numFmtId="3" fillId="0" borderId="195" applyFont="1" applyNumberFormat="1" applyFill="0" applyBorder="1" applyAlignment="1">
      <alignment horizontal="center" vertical="center" textRotation="0" wrapText="false" shrinkToFit="false"/>
    </xf>
    <xf xfId="0" fontId="21" numFmtId="3" fillId="0" borderId="198" applyFont="1" applyNumberFormat="1" applyFill="0" applyBorder="1" applyAlignment="1">
      <alignment horizontal="center" vertical="center" textRotation="0" wrapText="false" shrinkToFit="false"/>
    </xf>
    <xf xfId="0" fontId="54" numFmtId="3" fillId="0" borderId="0" applyFont="1" applyNumberFormat="1" applyFill="0" applyBorder="0" applyAlignment="1">
      <alignment horizontal="center" vertical="center" textRotation="0" wrapText="false" shrinkToFit="false"/>
    </xf>
    <xf xfId="0" fontId="55" numFmtId="0" fillId="0" borderId="0" applyFont="1" applyNumberFormat="0" applyFill="0" applyBorder="0" applyAlignment="1">
      <alignment horizontal="center" vertical="center" textRotation="0" wrapText="false" shrinkToFit="false"/>
    </xf>
    <xf xfId="0" fontId="53" numFmtId="3" fillId="0" borderId="53" applyFont="1" applyNumberFormat="1" applyFill="0" applyBorder="1" applyAlignment="1">
      <alignment horizontal="center" vertical="center" textRotation="0" wrapText="false" shrinkToFit="false"/>
    </xf>
    <xf xfId="0" fontId="3" numFmtId="1" fillId="5" borderId="197" applyFont="1" applyNumberFormat="1" applyFill="1" applyBorder="1" applyAlignment="1">
      <alignment horizontal="center" vertical="center" textRotation="0" wrapText="false" shrinkToFit="false"/>
    </xf>
    <xf xfId="0" fontId="3" numFmtId="1" fillId="5" borderId="195" applyFont="1" applyNumberFormat="1" applyFill="1" applyBorder="1" applyAlignment="1">
      <alignment horizontal="center" vertical="center" textRotation="0" wrapText="false" shrinkToFit="false"/>
    </xf>
    <xf xfId="0" fontId="3" numFmtId="1" fillId="5" borderId="198" applyFont="1" applyNumberFormat="1" applyFill="1" applyBorder="1" applyAlignment="1">
      <alignment horizontal="center" vertical="center" textRotation="0" wrapText="false" shrinkToFit="false"/>
    </xf>
    <xf xfId="0" fontId="53" numFmtId="3" fillId="0" borderId="193" applyFont="1" applyNumberFormat="1" applyFill="0" applyBorder="1" applyAlignment="1">
      <alignment horizontal="center" vertical="center" textRotation="0" wrapText="false" shrinkToFit="false"/>
    </xf>
    <xf xfId="0" fontId="53" numFmtId="3" fillId="0" borderId="84" applyFont="1" applyNumberFormat="1" applyFill="0" applyBorder="1" applyAlignment="1">
      <alignment horizontal="center" vertical="center" textRotation="0" wrapText="false" shrinkToFit="false"/>
    </xf>
    <xf xfId="0" fontId="47" numFmtId="3" fillId="0" borderId="0" applyFont="1" applyNumberFormat="1" applyFill="0" applyBorder="0" applyAlignment="1">
      <alignment horizontal="center" vertical="center" textRotation="0" wrapText="false" shrinkToFit="false"/>
    </xf>
    <xf xfId="0" fontId="47" numFmtId="3" fillId="0" borderId="52" applyFont="1" applyNumberFormat="1" applyFill="0" applyBorder="1" applyAlignment="1">
      <alignment horizontal="center" vertical="center" textRotation="0" wrapText="false" shrinkToFit="false"/>
    </xf>
    <xf xfId="0" fontId="53" numFmtId="3" fillId="0" borderId="51" applyFont="1" applyNumberFormat="1" applyFill="0" applyBorder="1" applyAlignment="1">
      <alignment horizontal="center" vertical="center" textRotation="0" wrapText="false" shrinkToFit="false"/>
    </xf>
    <xf xfId="0" fontId="53" numFmtId="3" fillId="0" borderId="91" applyFont="1" applyNumberFormat="1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15" fillId="0" borderId="0" applyFont="1" applyNumberFormat="1" applyFill="0" applyBorder="0" applyAlignment="1">
      <alignment horizontal="center" vertical="center" textRotation="0" wrapText="false" shrinkToFit="false"/>
    </xf>
    <xf xfId="0" fontId="1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center" textRotation="0" wrapText="false" shrinkToFit="false"/>
    </xf>
    <xf xfId="0" fontId="0" numFmtId="15" fillId="5" borderId="137" applyFont="0" applyNumberFormat="1" applyFill="1" applyBorder="1" applyAlignment="1">
      <alignment horizontal="center" vertical="center" textRotation="0" wrapText="false" shrinkToFit="false"/>
    </xf>
    <xf xfId="0" fontId="0" numFmtId="15" fillId="5" borderId="197" applyFont="0" applyNumberFormat="1" applyFill="1" applyBorder="1" applyAlignment="1">
      <alignment horizontal="center" vertical="center" textRotation="0" wrapText="false" shrinkToFit="false"/>
    </xf>
    <xf xfId="0" fontId="0" numFmtId="15" fillId="5" borderId="254" applyFont="0" applyNumberFormat="1" applyFill="1" applyBorder="1" applyAlignment="1">
      <alignment horizontal="center" vertical="center" textRotation="0" wrapText="false" shrinkToFit="false"/>
    </xf>
    <xf xfId="0" fontId="0" numFmtId="0" fillId="5" borderId="198" applyFont="0" applyNumberFormat="0" applyFill="1" applyBorder="1" applyAlignment="1">
      <alignment horizontal="center" vertical="center" textRotation="0" wrapText="false" shrinkToFit="false"/>
    </xf>
    <xf xfId="0" fontId="0" numFmtId="0" fillId="5" borderId="137" applyFont="0" applyNumberFormat="0" applyFill="1" applyBorder="1" applyAlignment="1">
      <alignment horizontal="center" vertical="center" textRotation="0" wrapText="false" shrinkToFit="false"/>
    </xf>
    <xf xfId="0" fontId="0" numFmtId="0" fillId="5" borderId="254" applyFont="0" applyNumberFormat="0" applyFill="1" applyBorder="1" applyAlignment="1">
      <alignment horizontal="center" vertical="center" textRotation="0" wrapText="false" shrinkToFit="false"/>
    </xf>
    <xf xfId="0" fontId="0" numFmtId="0" fillId="5" borderId="137" applyFont="0" applyNumberFormat="0" applyFill="1" applyBorder="1" applyAlignment="1">
      <alignment horizontal="center" vertical="center" textRotation="0" wrapText="false" shrinkToFit="false"/>
    </xf>
    <xf xfId="0" fontId="56" numFmtId="0" fillId="5" borderId="137" applyFont="1" applyNumberFormat="0" applyFill="1" applyBorder="1" applyAlignment="1">
      <alignment horizontal="center" vertical="center" textRotation="0" wrapText="false" shrinkToFit="false"/>
    </xf>
    <xf xfId="0" fontId="0" numFmtId="0" fillId="5" borderId="137" applyFont="0" applyNumberFormat="0" applyFill="1" applyBorder="1" applyAlignment="1">
      <alignment horizontal="center" vertical="center" textRotation="0" wrapText="false" shrinkToFit="false"/>
    </xf>
    <xf xfId="0" fontId="3" numFmtId="10" fillId="5" borderId="137" applyFont="1" applyNumberFormat="1" applyFill="1" applyBorder="1" applyAlignment="1">
      <alignment horizontal="center" vertical="center" textRotation="0" wrapText="false" shrinkToFit="false"/>
    </xf>
    <xf xfId="0" fontId="3" numFmtId="0" fillId="5" borderId="137" applyFont="1" applyNumberFormat="0" applyFill="1" applyBorder="1" applyAlignment="1">
      <alignment horizontal="center" vertical="center" textRotation="0" wrapText="true" shrinkToFit="false"/>
    </xf>
    <xf xfId="0" fontId="3" numFmtId="2" fillId="5" borderId="137" applyFont="1" applyNumberFormat="1" applyFill="1" applyBorder="1" applyAlignment="1">
      <alignment horizontal="center" vertical="center" textRotation="0" wrapText="false" shrinkToFit="false"/>
    </xf>
    <xf xfId="0" fontId="0" numFmtId="170" fillId="0" borderId="255" applyFont="0" applyNumberFormat="1" applyFill="0" applyBorder="1" applyAlignment="1">
      <alignment horizontal="center" vertical="center" textRotation="0" wrapText="false" shrinkToFit="false"/>
    </xf>
    <xf xfId="0" fontId="0" numFmtId="170" fillId="0" borderId="0" applyFont="0" applyNumberFormat="1" applyFill="0" applyBorder="0" applyAlignment="1">
      <alignment horizontal="center" vertical="center" textRotation="0" wrapText="false" shrinkToFit="false"/>
    </xf>
    <xf xfId="0" fontId="0" numFmtId="170" fillId="0" borderId="0" applyFont="0" applyNumberFormat="1" applyFill="0" applyBorder="0" applyAlignment="1">
      <alignment horizontal="center" vertical="center" textRotation="0" wrapText="false" shrinkToFit="false"/>
    </xf>
    <xf xfId="0" fontId="0" numFmtId="14" fillId="0" borderId="0" applyFont="0" applyNumberFormat="1" applyFill="0" applyBorder="0" applyAlignment="1">
      <alignment horizontal="center" vertical="center" textRotation="0" wrapText="false" shrinkToFit="false"/>
    </xf>
    <xf xfId="0" fontId="37" numFmtId="3" fillId="0" borderId="256" applyFont="1" applyNumberFormat="1" applyFill="0" applyBorder="1" applyAlignment="1">
      <alignment horizontal="center" vertical="center" textRotation="0" wrapText="false" shrinkToFit="false"/>
    </xf>
    <xf xfId="0" fontId="37" numFmtId="3" fillId="0" borderId="257" applyFont="1" applyNumberFormat="1" applyFill="0" applyBorder="1" applyAlignment="1">
      <alignment horizontal="center" vertical="center" textRotation="0" wrapText="false" shrinkToFit="false"/>
    </xf>
    <xf xfId="0" fontId="37" numFmtId="3" fillId="0" borderId="84" applyFont="1" applyNumberFormat="1" applyFill="0" applyBorder="1" applyAlignment="1">
      <alignment horizontal="center" vertical="center" textRotation="0" wrapText="false" shrinkToFit="false"/>
    </xf>
    <xf xfId="0" fontId="37" numFmtId="3" fillId="0" borderId="0" applyFont="1" applyNumberFormat="1" applyFill="0" applyBorder="0" applyAlignment="1">
      <alignment horizontal="center" vertical="center" textRotation="0" wrapText="false" shrinkToFit="false"/>
    </xf>
    <xf xfId="0" fontId="37" numFmtId="3" fillId="0" borderId="91" applyFont="1" applyNumberFormat="1" applyFill="0" applyBorder="1" applyAlignment="1">
      <alignment horizontal="center" vertical="center" textRotation="0" wrapText="false" shrinkToFit="false"/>
    </xf>
    <xf xfId="0" fontId="0" numFmtId="165" fillId="0" borderId="255" applyFont="0" applyNumberFormat="1" applyFill="0" applyBorder="1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  <xf xfId="0" fontId="0" numFmtId="166" fillId="0" borderId="255" applyFont="0" applyNumberFormat="1" applyFill="0" applyBorder="1" applyAlignment="1">
      <alignment horizontal="center" vertical="center" textRotation="0" wrapText="false" shrinkToFit="false"/>
    </xf>
    <xf xfId="0" fontId="0" numFmtId="166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255" applyFont="0" applyNumberFormat="1" applyFill="0" applyBorder="1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253" applyFont="0" applyNumberFormat="1" applyFill="0" applyBorder="1" applyAlignment="1">
      <alignment horizontal="center" vertical="center" textRotation="0" wrapText="false" shrinkToFit="false"/>
    </xf>
    <xf xfId="0" fontId="0" numFmtId="3" fillId="0" borderId="116" applyFont="0" applyNumberFormat="1" applyFill="0" applyBorder="1" applyAlignment="1">
      <alignment horizontal="center" vertical="center" textRotation="0" wrapText="false" shrinkToFit="false"/>
    </xf>
    <xf xfId="0" fontId="0" numFmtId="165" fillId="0" borderId="53" applyFont="0" applyNumberFormat="1" applyFill="0" applyBorder="1" applyAlignment="1">
      <alignment horizontal="center" vertical="center" textRotation="0" wrapText="false" shrinkToFit="false"/>
    </xf>
    <xf xfId="0" fontId="0" numFmtId="165" fillId="0" borderId="52" applyFont="0" applyNumberFormat="1" applyFill="0" applyBorder="1" applyAlignment="1">
      <alignment horizontal="center" vertical="center" textRotation="0" wrapText="false" shrinkToFit="false"/>
    </xf>
    <xf xfId="0" fontId="0" numFmtId="165" fillId="0" borderId="54" applyFont="0" applyNumberFormat="1" applyFill="0" applyBorder="1" applyAlignment="1">
      <alignment horizontal="center" vertical="center" textRotation="0" wrapText="false" shrinkToFit="false"/>
    </xf>
    <xf xfId="0" fontId="0" numFmtId="165" fillId="0" borderId="55" applyFont="0" applyNumberFormat="1" applyFill="0" applyBorder="1" applyAlignment="1">
      <alignment horizontal="center" vertical="center" textRotation="0" wrapText="false" shrinkToFit="false"/>
    </xf>
    <xf xfId="0" fontId="3" numFmtId="0" fillId="0" borderId="49" applyFont="1" applyNumberFormat="0" applyFill="0" applyBorder="1" applyAlignment="1">
      <alignment horizontal="center" vertical="center" textRotation="0" wrapText="true" shrinkToFit="false"/>
    </xf>
    <xf xfId="0" fontId="3" numFmtId="2" fillId="0" borderId="49" applyFont="1" applyNumberFormat="1" applyFill="0" applyBorder="1" applyAlignment="1">
      <alignment horizontal="center" vertical="center" textRotation="0" wrapText="false" shrinkToFit="false"/>
    </xf>
    <xf xfId="0" fontId="3" numFmtId="15" fillId="0" borderId="51" applyFont="1" applyNumberFormat="1" applyFill="0" applyBorder="1" applyAlignment="1">
      <alignment horizontal="center" vertical="center" textRotation="0" wrapText="false" shrinkToFit="false"/>
    </xf>
    <xf xfId="0" fontId="3" numFmtId="15" fillId="0" borderId="91" applyFont="1" applyNumberFormat="1" applyFill="0" applyBorder="1" applyAlignment="1">
      <alignment horizontal="center" vertical="center" textRotation="0" wrapText="false" shrinkToFit="false"/>
    </xf>
    <xf xfId="0" fontId="3" numFmtId="15" fillId="0" borderId="50" applyFont="1" applyNumberFormat="1" applyFill="0" applyBorder="1" applyAlignment="1">
      <alignment horizontal="center" vertical="center" textRotation="0" wrapText="false" shrinkToFit="false"/>
    </xf>
    <xf xfId="0" fontId="3" numFmtId="0" fillId="0" borderId="51" applyFont="1" applyNumberFormat="0" applyFill="0" applyBorder="1" applyAlignment="1">
      <alignment horizontal="center" vertical="center" textRotation="0" wrapText="false" shrinkToFit="false"/>
    </xf>
    <xf xfId="0" fontId="3" numFmtId="0" fillId="0" borderId="91" applyFont="1" applyNumberFormat="0" applyFill="0" applyBorder="1" applyAlignment="1">
      <alignment horizontal="center" vertical="center" textRotation="0" wrapText="false" shrinkToFit="false"/>
    </xf>
    <xf xfId="0" fontId="3" numFmtId="1" fillId="0" borderId="91" applyFont="1" applyNumberFormat="1" applyFill="0" applyBorder="1" applyAlignment="1">
      <alignment horizontal="center" vertical="center" textRotation="0" wrapText="false" shrinkToFit="false"/>
    </xf>
    <xf xfId="0" fontId="0" numFmtId="0" fillId="0" borderId="53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21" numFmtId="3" fillId="0" borderId="0" applyFont="1" applyNumberFormat="1" applyFill="0" applyBorder="0" applyAlignment="1">
      <alignment horizontal="center" vertical="center" textRotation="0" wrapText="false" shrinkToFit="false"/>
    </xf>
    <xf xfId="0" fontId="21" numFmtId="3" fillId="0" borderId="52" applyFont="1" applyNumberFormat="1" applyFill="0" applyBorder="1" applyAlignment="1">
      <alignment horizontal="center" vertical="center" textRotation="0" wrapText="false" shrinkToFit="false"/>
    </xf>
    <xf xfId="0" fontId="21" numFmtId="168" fillId="0" borderId="0" applyFont="1" applyNumberFormat="1" applyFill="0" applyBorder="0" applyAlignment="1">
      <alignment horizontal="center" vertical="center" textRotation="0" wrapText="false" shrinkToFit="false"/>
    </xf>
    <xf xfId="0" fontId="21" numFmtId="168" fillId="0" borderId="52" applyFont="1" applyNumberFormat="1" applyFill="0" applyBorder="1" applyAlignment="1">
      <alignment horizontal="center" vertical="center" textRotation="0" wrapText="false" shrinkToFit="false"/>
    </xf>
    <xf xfId="0" fontId="37" numFmtId="3" fillId="0" borderId="56" applyFont="1" applyNumberFormat="1" applyFill="0" applyBorder="1" applyAlignment="1">
      <alignment horizontal="center" vertical="center" textRotation="0" wrapText="false" shrinkToFit="false"/>
    </xf>
    <xf xfId="0" fontId="3" numFmtId="15" fillId="0" borderId="53" applyFont="1" applyNumberFormat="1" applyFill="0" applyBorder="1" applyAlignment="1">
      <alignment horizontal="center" vertical="center" textRotation="0" wrapText="false" shrinkToFit="false"/>
    </xf>
    <xf xfId="0" fontId="3" numFmtId="15" fillId="0" borderId="0" applyFont="1" applyNumberFormat="1" applyFill="0" applyBorder="0" applyAlignment="1">
      <alignment horizontal="center" vertical="center" textRotation="0" wrapText="false" shrinkToFit="false"/>
    </xf>
    <xf xfId="0" fontId="3" numFmtId="15" fillId="0" borderId="52" applyFont="1" applyNumberFormat="1" applyFill="0" applyBorder="1" applyAlignment="1">
      <alignment horizontal="center" vertical="center" textRotation="0" wrapText="false" shrinkToFit="false"/>
    </xf>
    <xf xfId="0" fontId="21" numFmtId="167" fillId="0" borderId="0" applyFont="1" applyNumberFormat="1" applyFill="0" applyBorder="0" applyAlignment="1">
      <alignment horizontal="center" vertical="center" textRotation="0" wrapText="false" shrinkToFit="false"/>
    </xf>
    <xf xfId="0" fontId="21" numFmtId="167" fillId="0" borderId="52" applyFont="1" applyNumberFormat="1" applyFill="0" applyBorder="1" applyAlignment="1">
      <alignment horizontal="center" vertical="center" textRotation="0" wrapText="false" shrinkToFit="false"/>
    </xf>
    <xf xfId="0" fontId="57" numFmtId="0" fillId="0" borderId="53" applyFont="1" applyNumberFormat="0" applyFill="0" applyBorder="1" applyAlignment="1">
      <alignment horizontal="left" vertical="center" textRotation="0" wrapText="false" shrinkToFit="false"/>
    </xf>
    <xf xfId="0" fontId="57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54" applyFont="0" applyNumberFormat="0" applyFill="0" applyBorder="1" applyAlignment="1">
      <alignment horizontal="left" vertical="center" textRotation="0" wrapText="false" shrinkToFit="false"/>
    </xf>
    <xf xfId="0" fontId="0" numFmtId="0" fillId="0" borderId="56" applyFont="0" applyNumberFormat="0" applyFill="0" applyBorder="1" applyAlignment="1">
      <alignment horizontal="left" vertical="center" textRotation="0" wrapText="false" shrinkToFit="false"/>
    </xf>
    <xf xfId="0" fontId="51" numFmtId="0" fillId="0" borderId="65" applyFont="1" applyNumberFormat="0" applyFill="0" applyBorder="1" applyAlignment="1">
      <alignment horizontal="center" vertical="center" textRotation="0" wrapText="false" shrinkToFit="false"/>
    </xf>
    <xf xfId="0" fontId="23" numFmtId="0" fillId="0" borderId="0" applyFont="1" applyNumberFormat="0" applyFill="0" applyBorder="0" applyAlignment="1">
      <alignment horizontal="left" vertical="center" textRotation="0" wrapText="false" shrinkToFit="false"/>
    </xf>
    <xf xfId="0" fontId="21" numFmtId="174" fillId="0" borderId="0" applyFont="1" applyNumberFormat="1" applyFill="0" applyBorder="0" applyAlignment="1">
      <alignment horizontal="left" vertical="center" textRotation="0" wrapText="false" shrinkToFit="false"/>
    </xf>
    <xf xfId="0" fontId="24" numFmtId="0" fillId="0" borderId="0" applyFont="1" applyNumberFormat="0" applyFill="0" applyBorder="0" applyAlignment="1">
      <alignment horizontal="left" vertical="center" textRotation="0" wrapText="false" shrinkToFit="false"/>
    </xf>
    <xf xfId="0" fontId="24" numFmtId="0" fillId="0" borderId="84" applyFont="1" applyNumberFormat="0" applyFill="0" applyBorder="1" applyAlignment="1">
      <alignment horizontal="left" vertical="center" textRotation="0" wrapText="false" shrinkToFit="false"/>
    </xf>
    <xf xfId="0" fontId="21" numFmtId="174" fillId="0" borderId="84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4">
    <dxf>
      <font>
        <color rgb="FFFF0000"/>
      </font>
      <border/>
    </dxf>
    <dxf>
      <font>
        <color rgb="FFFF0000"/>
      </font>
      <border/>
    </dxf>
    <dxf>
      <font>
        <color rgb="FFFF0000"/>
      </font>
      <border/>
    </dxf>
    <dxf>
      <font>
        <color rgb="FFFF0000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vmlDrawing1.vml.rels><?xml version="1.0" encoding="UTF-8" standalone="yes"?>
<Relationships xmlns="http://schemas.openxmlformats.org/package/2006/relationships"/>
</file>

<file path=xl/drawings/_rels/vmlDrawing4.vml.rels><?xml version="1.0" encoding="UTF-8" standalone="yes"?>
<Relationships xmlns="http://schemas.openxmlformats.org/package/2006/relationships"/>
</file>

<file path=xl/drawings/_rels/vmlDrawing5.vml.rels><?xml version="1.0" encoding="UTF-8" standalone="yes"?>
<Relationships xmlns="http://schemas.openxmlformats.org/package/2006/relationships"/>
</file>

<file path=xl/drawings/_rels/vmlDrawing6.vml.rels><?xml version="1.0" encoding="UTF-8" standalone="yes"?>
<Relationships xmlns="http://schemas.openxmlformats.org/package/2006/relationships"/>
</file>

<file path=xl/drawings/_rels/vmlDrawing7.vml.rels><?xml version="1.0" encoding="UTF-8" standalone="yes"?>
<Relationships xmlns="http://schemas.openxmlformats.org/package/2006/relationships"/>
</file>

<file path=xl/drawings/_rels/vmlDrawing8.vml.rels><?xml version="1.0" encoding="UTF-8" standalone="yes"?>
<Relationships xmlns="http://schemas.openxmlformats.org/package/2006/relationships"/>
</file>

<file path=xl/drawings/_rels/vmlDrawing9.vml.rels><?xml version="1.0" encoding="UTF-8" standalone="yes"?>
<Relationships xmlns="http://schemas.openxmlformats.org/package/2006/relationships"/>
</file>

<file path=xl/drawings/_rels/vmlDrawing10.vml.rels><?xml version="1.0" encoding="UTF-8" standalone="yes"?>
<Relationships xmlns="http://schemas.openxmlformats.org/package/2006/relationships"/>
</file>

<file path=xl/drawings/_rels/vmlDrawing11.vml.rels><?xml version="1.0" encoding="UTF-8" standalone="yes"?>
<Relationships xmlns="http://schemas.openxmlformats.org/package/2006/relationships"/>
</file>

<file path=xl/drawings/_rels/vmlDrawing12.vml.rels><?xml version="1.0" encoding="UTF-8" standalone="yes"?>
<Relationships xmlns="http://schemas.openxmlformats.org/package/2006/relationships"/>
</file>

<file path=xl/drawings/drawing13.xml><?xml version="1.0" encoding="utf-8"?>
<xml/>
</file>

<file path=xl/drawings/drawing14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.vml"/><Relationship Id="rId_comments1" Type="http://schemas.openxmlformats.org/officeDocument/2006/relationships/comments" Target="../comments5.xml"/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.vml"/><Relationship Id="rId_comments1" Type="http://schemas.openxmlformats.org/officeDocument/2006/relationships/comments" Target="../comments6.xml"/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.vml"/><Relationship Id="rId_comments1" Type="http://schemas.openxmlformats.org/officeDocument/2006/relationships/comments" Target="../comments7.xml"/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.vml"/><Relationship Id="rId_comments1" Type="http://schemas.openxmlformats.org/officeDocument/2006/relationships/comments" Target="../comments8.xml"/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9.vml"/><Relationship Id="rId_comments1" Type="http://schemas.openxmlformats.org/officeDocument/2006/relationships/comments" Target="../comments9.xml"/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.vml"/><Relationship Id="rId_comments1" Type="http://schemas.openxmlformats.org/officeDocument/2006/relationships/comments" Target="../comments10.xml"/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1.vml"/><Relationship Id="rId_comments1" Type="http://schemas.openxmlformats.org/officeDocument/2006/relationships/comments" Target="../comments11.xml"/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2.vml"/><Relationship Id="rId_comments1" Type="http://schemas.openxmlformats.org/officeDocument/2006/relationships/comments" Target="../comments12.xml"/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4.xml"/><Relationship Id="rId1ps" Type="http://schemas.openxmlformats.org/officeDocument/2006/relationships/printerSettings" Target="../printerSettings/printerSettings13.bin"/></Relationships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136"/>
  <sheetViews>
    <sheetView tabSelected="0" workbookViewId="0" zoomScale="85" zoomScaleNormal="85" showGridLines="true" showRowColHeaders="1">
      <pane xSplit="2" ySplit="4" activePane="bottomRight" state="frozen" topLeftCell="C13"/>
      <selection pane="bottomRight" activeCell="C5" sqref="C5:C21"/>
    </sheetView>
  </sheetViews>
  <sheetFormatPr defaultRowHeight="14.4" defaultColWidth="14.42578125" outlineLevelRow="0" outlineLevelCol="0"/>
  <cols>
    <col min="1" max="1" width="24" customWidth="true" style="1"/>
    <col min="2" max="2" width="14.7109375" customWidth="true" style="1"/>
    <col min="3" max="3" width="14" customWidth="true" style="1"/>
    <col min="4" max="4" width="10.570312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3.42578125" customWidth="true" style="1"/>
    <col min="10" max="10" width="12.28515625" customWidth="true" style="1"/>
    <col min="11" max="11" width="11.42578125" customWidth="true" style="1"/>
    <col min="12" max="12" width="9.28515625" customWidth="true" style="1"/>
    <col min="13" max="13" width="15" customWidth="true" style="1"/>
    <col min="14" max="14" width="11.7109375" customWidth="true" style="1"/>
    <col min="15" max="15" width="10.42578125" customWidth="true" style="1"/>
    <col min="16" max="16" width="10.28515625" customWidth="true" style="1"/>
    <col min="17" max="17" width="11.7109375" customWidth="true" style="1"/>
    <col min="18" max="18" width="13.42578125" customWidth="true" style="1"/>
    <col min="19" max="19" width="7.5703125" customWidth="true" style="1"/>
    <col min="20" max="20" width="7.28515625" customWidth="true" style="1"/>
    <col min="21" max="21" width="11.28515625" customWidth="true" style="1"/>
    <col min="22" max="22" width="8.7109375" customWidth="true" style="1"/>
    <col min="23" max="23" width="8" customWidth="true" style="1"/>
    <col min="24" max="24" width="14" customWidth="true" style="1"/>
    <col min="25" max="25" width="9.42578125" customWidth="true" style="1"/>
    <col min="26" max="26" width="10" customWidth="true" style="1"/>
    <col min="27" max="27" width="9.5703125" customWidth="true" style="1"/>
    <col min="28" max="28" width="9.5703125" customWidth="true" style="1"/>
    <col min="29" max="29" width="7.7109375" customWidth="true" style="1"/>
    <col min="30" max="30" width="13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0.5703125" customWidth="true" style="1"/>
    <col min="51" max="51" width="15.28515625" customWidth="true" style="1"/>
    <col min="52" max="52" width="12.7109375" customWidth="true" style="1"/>
    <col min="53" max="53" width="12" customWidth="true" style="1"/>
    <col min="54" max="54" width="12" customWidth="true" style="1"/>
    <col min="55" max="55" width="15.28515625" customWidth="true" style="1"/>
    <col min="56" max="56" width="14.7109375" customWidth="true" style="1"/>
    <col min="57" max="57" width="14.7109375" customWidth="true" style="1"/>
    <col min="58" max="58" width="14.7109375" customWidth="true" style="1"/>
    <col min="59" max="59" width="14.42578125" style="1"/>
  </cols>
  <sheetData>
    <row r="1" spans="1:59" customHeight="1" ht="18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9" customHeight="1" ht="18" hidden="true" s="147" customFormat="1">
      <c r="B2" s="594"/>
      <c r="C2" s="594">
        <v>50</v>
      </c>
      <c r="D2" s="594">
        <v>25</v>
      </c>
      <c r="E2" s="594">
        <v>10</v>
      </c>
      <c r="F2" s="594">
        <v>50</v>
      </c>
      <c r="G2" s="594">
        <v>25</v>
      </c>
      <c r="H2" s="594">
        <v>50</v>
      </c>
      <c r="I2" s="594">
        <v>25</v>
      </c>
      <c r="J2" s="594">
        <v>25</v>
      </c>
      <c r="K2" s="594">
        <v>50</v>
      </c>
      <c r="L2" s="594">
        <v>25</v>
      </c>
      <c r="M2" s="594"/>
      <c r="N2" s="594"/>
      <c r="O2" s="594"/>
      <c r="P2" s="594"/>
      <c r="Q2" s="594">
        <v>50</v>
      </c>
      <c r="R2" s="594">
        <v>1</v>
      </c>
      <c r="S2" s="594">
        <v>1</v>
      </c>
      <c r="T2" s="594">
        <v>1</v>
      </c>
      <c r="U2" s="594">
        <v>25</v>
      </c>
      <c r="V2" s="594"/>
      <c r="W2" s="594"/>
      <c r="X2" s="594">
        <v>25</v>
      </c>
      <c r="Y2" s="594">
        <v>25</v>
      </c>
      <c r="Z2" s="594">
        <v>25</v>
      </c>
      <c r="AA2" s="594">
        <v>25</v>
      </c>
      <c r="AB2" s="594">
        <v>40</v>
      </c>
      <c r="AC2" s="594">
        <v>50</v>
      </c>
      <c r="AD2" s="594"/>
      <c r="AH2" s="594"/>
      <c r="AI2" s="594"/>
      <c r="AJ2" s="594"/>
      <c r="AK2" s="594"/>
      <c r="AL2" s="594"/>
      <c r="AM2" s="594"/>
      <c r="AN2" s="594"/>
      <c r="AO2" s="594"/>
      <c r="AP2" s="594"/>
      <c r="AQ2" s="594"/>
      <c r="AR2" s="594"/>
      <c r="AS2" s="594"/>
      <c r="AT2" s="594"/>
      <c r="AU2" s="594"/>
      <c r="AV2" s="594"/>
      <c r="AW2" s="594"/>
      <c r="AX2" s="594"/>
    </row>
    <row r="3" spans="1:59" customHeight="1" ht="18.75">
      <c r="B3" s="701" t="s">
        <v>3</v>
      </c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2"/>
      <c r="Q3" s="703"/>
      <c r="R3" s="704" t="s">
        <v>4</v>
      </c>
      <c r="S3" s="705"/>
      <c r="T3" s="706"/>
      <c r="U3" s="416" t="s">
        <v>5</v>
      </c>
      <c r="V3" s="704" t="s">
        <v>6</v>
      </c>
      <c r="W3" s="707"/>
      <c r="X3" s="708" t="s">
        <v>7</v>
      </c>
      <c r="Y3" s="708"/>
      <c r="Z3" s="708"/>
      <c r="AA3" s="709" t="s">
        <v>8</v>
      </c>
      <c r="AB3" s="709"/>
      <c r="AC3" s="709"/>
      <c r="AD3" s="6"/>
      <c r="AE3" s="6"/>
      <c r="AF3" s="710" t="s">
        <v>9</v>
      </c>
      <c r="AG3" s="710"/>
      <c r="AH3" s="710"/>
      <c r="AI3" s="710"/>
      <c r="AJ3" s="710"/>
      <c r="AK3" s="710"/>
      <c r="AL3" s="710"/>
      <c r="AM3" s="710"/>
      <c r="AN3" s="711" t="s">
        <v>10</v>
      </c>
      <c r="AO3" s="711"/>
      <c r="AP3" s="711"/>
      <c r="AQ3" s="712" t="s">
        <v>11</v>
      </c>
      <c r="AR3" s="712"/>
      <c r="AS3" s="712"/>
      <c r="AT3" s="712"/>
      <c r="AU3" s="712"/>
      <c r="AV3" s="471" t="s">
        <v>12</v>
      </c>
      <c r="AW3" s="712" t="s">
        <v>13</v>
      </c>
      <c r="AX3" s="712"/>
      <c r="AY3" s="712"/>
      <c r="AZ3" s="712"/>
      <c r="BA3" s="712"/>
      <c r="BB3" s="712"/>
      <c r="BC3" s="712"/>
      <c r="BD3" s="712"/>
      <c r="BE3" s="712"/>
      <c r="BF3" s="712"/>
    </row>
    <row r="4" spans="1:59" customHeight="1" ht="53.25" s="40" customFormat="1">
      <c r="A4" s="8" t="s">
        <v>14</v>
      </c>
      <c r="B4" s="333" t="s">
        <v>15</v>
      </c>
      <c r="C4" s="566" t="s">
        <v>16</v>
      </c>
      <c r="D4" s="567" t="s">
        <v>17</v>
      </c>
      <c r="E4" s="549" t="s">
        <v>18</v>
      </c>
      <c r="F4" s="550" t="s">
        <v>19</v>
      </c>
      <c r="G4" s="551" t="s">
        <v>20</v>
      </c>
      <c r="H4" s="552" t="s">
        <v>21</v>
      </c>
      <c r="I4" s="553" t="s">
        <v>22</v>
      </c>
      <c r="J4" s="553" t="s">
        <v>23</v>
      </c>
      <c r="K4" s="554" t="s">
        <v>24</v>
      </c>
      <c r="L4" s="554" t="s">
        <v>25</v>
      </c>
      <c r="M4" s="555" t="s">
        <v>26</v>
      </c>
      <c r="N4" s="553" t="s">
        <v>27</v>
      </c>
      <c r="O4" s="553" t="s">
        <v>28</v>
      </c>
      <c r="P4" s="556" t="s">
        <v>29</v>
      </c>
      <c r="Q4" s="557" t="s">
        <v>30</v>
      </c>
      <c r="R4" s="409" t="s">
        <v>31</v>
      </c>
      <c r="S4" s="284" t="s">
        <v>32</v>
      </c>
      <c r="T4" s="559" t="s">
        <v>33</v>
      </c>
      <c r="U4" s="558" t="s">
        <v>34</v>
      </c>
      <c r="V4" s="405" t="s">
        <v>35</v>
      </c>
      <c r="W4" s="562" t="s">
        <v>36</v>
      </c>
      <c r="X4" s="560" t="s">
        <v>37</v>
      </c>
      <c r="Y4" s="561" t="s">
        <v>38</v>
      </c>
      <c r="Z4" s="565" t="s">
        <v>39</v>
      </c>
      <c r="AA4" s="563" t="s">
        <v>40</v>
      </c>
      <c r="AB4" s="334" t="s">
        <v>41</v>
      </c>
      <c r="AC4" s="564" t="s">
        <v>42</v>
      </c>
      <c r="AD4" s="27" t="s">
        <v>43</v>
      </c>
      <c r="AE4" s="27" t="s">
        <v>44</v>
      </c>
      <c r="AF4" s="335" t="s">
        <v>45</v>
      </c>
      <c r="AG4" s="336" t="s">
        <v>46</v>
      </c>
      <c r="AH4" s="337" t="str">
        <f>X4</f>
        <v>Germen 
25</v>
      </c>
      <c r="AI4" s="338" t="s">
        <v>47</v>
      </c>
      <c r="AJ4" s="337" t="str">
        <f>AA4</f>
        <v>Salvado 
25</v>
      </c>
      <c r="AK4" s="339" t="str">
        <f>AB4</f>
        <v>Mogolla 
40</v>
      </c>
      <c r="AL4" s="339" t="str">
        <f>AC4</f>
        <v>Segunda  
50</v>
      </c>
      <c r="AM4" s="340" t="str">
        <f>B4</f>
        <v>Fecha</v>
      </c>
      <c r="AN4" s="341" t="s">
        <v>48</v>
      </c>
      <c r="AO4" s="342" t="s">
        <v>49</v>
      </c>
      <c r="AP4" s="342" t="s">
        <v>50</v>
      </c>
      <c r="AQ4" s="343" t="s">
        <v>51</v>
      </c>
      <c r="AR4" s="344" t="s">
        <v>52</v>
      </c>
      <c r="AS4" s="344" t="s">
        <v>53</v>
      </c>
      <c r="AT4" s="344" t="s">
        <v>54</v>
      </c>
      <c r="AU4" s="344" t="s">
        <v>55</v>
      </c>
      <c r="AV4" s="343" t="s">
        <v>56</v>
      </c>
      <c r="AW4" s="345" t="s">
        <v>57</v>
      </c>
      <c r="AX4" s="345" t="s">
        <v>58</v>
      </c>
      <c r="AY4" s="345" t="s">
        <v>59</v>
      </c>
      <c r="AZ4" s="345" t="s">
        <v>60</v>
      </c>
      <c r="BA4" s="346" t="s">
        <v>61</v>
      </c>
      <c r="BB4" s="346" t="s">
        <v>62</v>
      </c>
      <c r="BC4" s="347" t="s">
        <v>63</v>
      </c>
      <c r="BD4" s="345" t="s">
        <v>64</v>
      </c>
      <c r="BE4" s="348" t="s">
        <v>65</v>
      </c>
      <c r="BF4" s="349" t="s">
        <v>66</v>
      </c>
    </row>
    <row r="5" spans="1:59" customHeight="1" ht="13.9">
      <c r="A5" s="485">
        <v>1</v>
      </c>
      <c r="B5" s="583">
        <v>46027</v>
      </c>
      <c r="C5" s="43"/>
      <c r="D5" s="526"/>
      <c r="E5" s="527"/>
      <c r="F5" s="241"/>
      <c r="G5" s="528"/>
      <c r="H5" s="44"/>
      <c r="I5" s="48"/>
      <c r="J5" s="48"/>
      <c r="K5" s="44"/>
      <c r="L5" s="493"/>
      <c r="M5" s="493"/>
      <c r="N5" s="244"/>
      <c r="O5" s="244"/>
      <c r="P5" s="465"/>
      <c r="Q5" s="529"/>
      <c r="R5" s="497">
        <v>40672</v>
      </c>
      <c r="S5" s="275">
        <v>37488</v>
      </c>
      <c r="T5" s="241"/>
      <c r="U5" s="450"/>
      <c r="V5" s="406"/>
      <c r="W5" s="241"/>
      <c r="X5" s="451"/>
      <c r="Y5" s="52"/>
      <c r="Z5" s="530"/>
      <c r="AA5" s="280">
        <f>97+50</f>
        <v>147</v>
      </c>
      <c r="AB5" s="53">
        <f>138+152</f>
        <v>290</v>
      </c>
      <c r="AC5" s="54">
        <f>86+50</f>
        <v>136</v>
      </c>
      <c r="AD5" s="592">
        <f>+IF(B5="","",SUMPRODUCT(C5:AC5,$C$2:$AC$2))</f>
        <v>100235</v>
      </c>
      <c r="AE5" s="55">
        <f>IF(B5="","",C5+F5+H5+K5+Q5+N5+O5+((I5+J5+D5+G5)/2)+(R5/50)+(S5/50)+(T5/50)+(U5/2)+(E5/5))</f>
        <v>1563.20000000000005</v>
      </c>
      <c r="AF5" s="56">
        <f>IF(B5="","",((AE5*50)/AD5))</f>
        <v>0.77976754626627</v>
      </c>
      <c r="AG5" s="57" t="str">
        <f>IF(C5="","",((Z5)*25)/AD5)</f>
        <v/>
      </c>
      <c r="AH5" s="57">
        <f>IF(B5="","",(X5*25)/AD5)</f>
        <v>0</v>
      </c>
      <c r="AI5" s="57">
        <f>IF(B5="","",(Y5*25)/AD5)</f>
        <v>0</v>
      </c>
      <c r="AJ5" s="57">
        <f>IF(B5="","",(AA5*25)/AD5)</f>
        <v>0.036663839976056</v>
      </c>
      <c r="AK5" s="58">
        <f>IF(B5="","",(AB5*40)/AD5)</f>
        <v>0.1157280391081</v>
      </c>
      <c r="AL5" s="58">
        <f>IF(B5="","",(AC5*50)/AD5)</f>
        <v>0.067840574649574</v>
      </c>
      <c r="AM5" s="59">
        <f>IF(B5="","",B5)</f>
        <v>46027</v>
      </c>
      <c r="AN5" s="235">
        <v>18</v>
      </c>
      <c r="AO5" s="61">
        <v>16.5</v>
      </c>
      <c r="AP5" s="236">
        <v>0.25</v>
      </c>
      <c r="AQ5" s="63">
        <f>IF(AN5="","",AN5/AO5)</f>
        <v>1.090909090909091</v>
      </c>
      <c r="AR5" s="64">
        <f>IF(AN5="","",(AD5/AN5)/1000)</f>
        <v>5.56861111111111</v>
      </c>
      <c r="AS5" s="64">
        <f>IF(AN5="","",AR5*24)</f>
        <v>133.64666666666668</v>
      </c>
      <c r="AT5" s="65">
        <f>IF(AN5="","",(AD5/1000)*100%/AS5)</f>
        <v>0.75</v>
      </c>
      <c r="AU5" s="64">
        <f>IF(AN5="","",(AE5/AN5))</f>
        <v>86.84444444444445</v>
      </c>
      <c r="AV5" s="229">
        <f>IF(AN5="","",(AD5/AO5)/1000)</f>
        <v>6.074848484848485</v>
      </c>
      <c r="AW5" s="713"/>
      <c r="AX5" s="713">
        <v>2031488</v>
      </c>
      <c r="AY5" s="713">
        <v>1577712</v>
      </c>
      <c r="AZ5" s="713">
        <v>68862</v>
      </c>
      <c r="BA5" s="713">
        <v>1632</v>
      </c>
      <c r="BB5" s="713">
        <v>374982</v>
      </c>
      <c r="BC5" s="713">
        <v>1540192</v>
      </c>
      <c r="BD5" s="713">
        <v>1476</v>
      </c>
      <c r="BE5" s="713">
        <v>431952</v>
      </c>
      <c r="BF5" s="674">
        <v>245848</v>
      </c>
    </row>
    <row r="6" spans="1:59" customHeight="1" ht="13.9">
      <c r="A6" s="485">
        <v>2</v>
      </c>
      <c r="B6" s="584">
        <v>46028</v>
      </c>
      <c r="C6" s="69"/>
      <c r="D6" s="70"/>
      <c r="E6" s="76"/>
      <c r="F6" s="70">
        <v>180</v>
      </c>
      <c r="G6" s="76"/>
      <c r="H6" s="70"/>
      <c r="I6" s="75">
        <v>909</v>
      </c>
      <c r="J6" s="75">
        <v>80</v>
      </c>
      <c r="K6" s="70"/>
      <c r="L6" s="494"/>
      <c r="M6" s="494"/>
      <c r="N6" s="76"/>
      <c r="O6" s="248"/>
      <c r="P6" s="466"/>
      <c r="Q6" s="412"/>
      <c r="R6" s="410">
        <v>33856</v>
      </c>
      <c r="S6" s="277"/>
      <c r="T6" s="401">
        <v>20640</v>
      </c>
      <c r="U6" s="407"/>
      <c r="V6" s="249"/>
      <c r="W6" s="401"/>
      <c r="X6" s="278"/>
      <c r="Y6" s="78"/>
      <c r="Z6" s="403">
        <v>131</v>
      </c>
      <c r="AA6" s="281">
        <f>145+58+78</f>
        <v>281</v>
      </c>
      <c r="AB6" s="79">
        <f>133+115+139</f>
        <v>387</v>
      </c>
      <c r="AC6" s="80">
        <f>37+30</f>
        <v>67</v>
      </c>
      <c r="AD6" s="592">
        <f>+IF(B6="","",SUMPRODUCT(C6:AC6,$C$2:$AC$2))</f>
        <v>117351</v>
      </c>
      <c r="AE6" s="55">
        <f>IF(B6="","",C6+F6+H6+K6+Q6+N6+O6+((I6+J6+D6+G6+U6)/2)+(R6/50)+(S6/50)+(T6/50)+(E6/5))</f>
        <v>1764.41999999999985</v>
      </c>
      <c r="AF6" s="56">
        <f>IF(B6="","",((AE6*50)/AD6))</f>
        <v>0.75177033003553</v>
      </c>
      <c r="AG6" s="57" t="str">
        <f>IF(C6="","",((Z6)*25)/AD6)</f>
        <v/>
      </c>
      <c r="AH6" s="57">
        <f>IF(B6="","",(X6*25)/AD6)</f>
        <v>0</v>
      </c>
      <c r="AI6" s="57">
        <f>IF(B6="","",(Y6*25)/AD6)</f>
        <v>0</v>
      </c>
      <c r="AJ6" s="57">
        <f>IF(B6="","",(AA6*25)/AD6)</f>
        <v>0.059863145605917</v>
      </c>
      <c r="AK6" s="58">
        <f>IF(B6="","",(AB6*40)/AD6)</f>
        <v>0.13191195643838</v>
      </c>
      <c r="AL6" s="58">
        <f>IF(B6="","",(AC6*50)/AD6)</f>
        <v>0.028546838118124</v>
      </c>
      <c r="AM6" s="59">
        <f>IF(B6="","",B6)</f>
        <v>46028</v>
      </c>
      <c r="AN6" s="233">
        <v>23</v>
      </c>
      <c r="AO6" s="82">
        <f>14.5+18.5/2</f>
        <v>23.75</v>
      </c>
      <c r="AP6" s="234">
        <v>0.33</v>
      </c>
      <c r="AQ6" s="63">
        <f>IF(AN6="","",AN6/AO6)</f>
        <v>0.96842105263158</v>
      </c>
      <c r="AR6" s="64">
        <f>IF(AN6="","",(AD6/AN6)/1000)</f>
        <v>5.10221739130435</v>
      </c>
      <c r="AS6" s="64">
        <f>IF(AN6="","",AR6*24)</f>
        <v>122.45321739130435</v>
      </c>
      <c r="AT6" s="65">
        <f>IF(AN6="","",(AD6/1000)*100%/AS6)</f>
        <v>0.95833333333333</v>
      </c>
      <c r="AU6" s="64">
        <f>IF(AN6="","",(AE6/AN6))</f>
        <v>76.71391304347826</v>
      </c>
      <c r="AV6" s="229">
        <f>IF(AN6="","",(AD6/AO6)/1000)</f>
        <v>4.94109473684211</v>
      </c>
      <c r="AW6" s="714"/>
      <c r="AX6" s="714"/>
      <c r="AY6" s="714"/>
      <c r="AZ6" s="715"/>
      <c r="BA6" s="714"/>
      <c r="BB6" s="715"/>
      <c r="BC6" s="715"/>
      <c r="BD6" s="715"/>
      <c r="BE6" s="715"/>
      <c r="BF6" s="675"/>
    </row>
    <row r="7" spans="1:59" customHeight="1" ht="13.9">
      <c r="A7" s="485">
        <v>3</v>
      </c>
      <c r="B7" s="584">
        <v>46029</v>
      </c>
      <c r="C7" s="69">
        <v>1471</v>
      </c>
      <c r="D7" s="70"/>
      <c r="E7" s="76"/>
      <c r="F7" s="70">
        <v>315</v>
      </c>
      <c r="G7" s="76">
        <v>182</v>
      </c>
      <c r="H7" s="70"/>
      <c r="I7" s="491"/>
      <c r="J7" s="491"/>
      <c r="K7" s="70"/>
      <c r="L7" s="494"/>
      <c r="M7" s="494"/>
      <c r="N7" s="76"/>
      <c r="O7" s="76"/>
      <c r="P7" s="467"/>
      <c r="Q7" s="412"/>
      <c r="R7" s="410"/>
      <c r="S7" s="276"/>
      <c r="T7" s="401"/>
      <c r="U7" s="407"/>
      <c r="V7" s="249"/>
      <c r="W7" s="401"/>
      <c r="X7" s="278"/>
      <c r="Y7" s="78"/>
      <c r="Z7" s="403"/>
      <c r="AA7" s="281">
        <v>175</v>
      </c>
      <c r="AB7" s="79">
        <v>398</v>
      </c>
      <c r="AC7" s="85">
        <v>95</v>
      </c>
      <c r="AD7" s="592">
        <f>+IF(B7="","",SUMPRODUCT(C7:AC7,$C$2:$AC$2))</f>
        <v>118895</v>
      </c>
      <c r="AE7" s="55">
        <f>IF(B7="","",C7+F7+H7+K7+Q7+N7+O7+((I7+J7+D7+G7+U7)/2)+(R7/50)+(S7/50)+(T7/50)+(E7/5))</f>
        <v>1877</v>
      </c>
      <c r="AF7" s="56">
        <f>IF(B7="","",((AE7*50)/AD7))</f>
        <v>0.78935194919887</v>
      </c>
      <c r="AG7" s="57">
        <f>IF(C7="","",((Z7)*25)/AD7)</f>
        <v>0</v>
      </c>
      <c r="AH7" s="57">
        <f>IF(B7="","",(X7*25)/AD7)</f>
        <v>0</v>
      </c>
      <c r="AI7" s="57">
        <f>IF(B7="","",(Y7*25)/AD7)</f>
        <v>0</v>
      </c>
      <c r="AJ7" s="57">
        <f>IF(B7="","",(AA7*25)/AD7)</f>
        <v>0.036797173977039</v>
      </c>
      <c r="AK7" s="58">
        <f>IF(B7="","",(AB7*40)/AD7)</f>
        <v>0.1338996593633</v>
      </c>
      <c r="AL7" s="58">
        <f>IF(B7="","",(AC7*50)/AD7)</f>
        <v>0.039951217460785</v>
      </c>
      <c r="AM7" s="59">
        <f>IF(B7="","",B7)</f>
        <v>46029</v>
      </c>
      <c r="AN7" s="233">
        <v>24</v>
      </c>
      <c r="AO7" s="82">
        <v>18.3</v>
      </c>
      <c r="AP7" s="234">
        <v>0</v>
      </c>
      <c r="AQ7" s="63">
        <f>IF(AN7="","",AN7/AO7)</f>
        <v>1.31147540983607</v>
      </c>
      <c r="AR7" s="64">
        <f>IF(AN7="","",(AD7/AN7)/1000)</f>
        <v>4.95395833333333</v>
      </c>
      <c r="AS7" s="64">
        <f>IF(AN7="","",AR7*24)</f>
        <v>118.89500000000001</v>
      </c>
      <c r="AT7" s="65">
        <f>IF(AN7="","",(AD7/1000)*100%/AS7)</f>
        <v>1</v>
      </c>
      <c r="AU7" s="64">
        <f>IF(AN7="","",(AE7/AN7))</f>
        <v>78.20833333333333</v>
      </c>
      <c r="AV7" s="229">
        <f>IF(AN7="","",(AD7/AO7)/1000)</f>
        <v>6.49699453551913</v>
      </c>
      <c r="AW7" s="714"/>
      <c r="AX7" s="714"/>
      <c r="AY7" s="714"/>
      <c r="AZ7" s="715"/>
      <c r="BA7" s="714"/>
      <c r="BB7" s="715"/>
      <c r="BC7" s="715"/>
      <c r="BD7" s="715"/>
      <c r="BE7" s="715"/>
      <c r="BF7" s="675"/>
    </row>
    <row r="8" spans="1:59" customHeight="1" ht="13.9">
      <c r="A8" s="485">
        <v>4</v>
      </c>
      <c r="B8" s="585">
        <v>46030</v>
      </c>
      <c r="C8" s="69">
        <v>1386</v>
      </c>
      <c r="D8" s="70">
        <v>248</v>
      </c>
      <c r="E8" s="76"/>
      <c r="F8" s="70"/>
      <c r="G8" s="76"/>
      <c r="H8" s="70"/>
      <c r="I8" s="414"/>
      <c r="J8" s="414"/>
      <c r="K8" s="70"/>
      <c r="L8" s="494"/>
      <c r="M8" s="494"/>
      <c r="N8" s="76"/>
      <c r="O8" s="76"/>
      <c r="P8" s="467"/>
      <c r="Q8" s="412"/>
      <c r="R8" s="410">
        <v>10352</v>
      </c>
      <c r="S8" s="274"/>
      <c r="T8" s="401"/>
      <c r="U8" s="407"/>
      <c r="V8" s="249"/>
      <c r="W8" s="401"/>
      <c r="X8" s="278"/>
      <c r="Y8" s="78"/>
      <c r="Z8" s="403"/>
      <c r="AA8" s="281">
        <v>173</v>
      </c>
      <c r="AB8" s="79">
        <v>376</v>
      </c>
      <c r="AC8" s="85">
        <v>95</v>
      </c>
      <c r="AD8" s="592">
        <f>+IF(B8="","",SUMPRODUCT(C8:AC8,$C$2:$AC$2))</f>
        <v>109967</v>
      </c>
      <c r="AE8" s="55">
        <f>IF(B8="","",C8+F8+H8+K8+Q8+N8+O8+((I8+J8+D8+G8+U8)/2)+(R8/50)+(S8/50)+(T8/50)+(E8/5))</f>
        <v>1717.039999999999964</v>
      </c>
      <c r="AF8" s="56">
        <f>IF(B8="","",((AE8*50)/AD8))</f>
        <v>0.78070693935453</v>
      </c>
      <c r="AG8" s="57">
        <f>IF(C8="","",((Z8)*25)/AD8)</f>
        <v>0</v>
      </c>
      <c r="AH8" s="57">
        <f>IF(B8="","",(X8*25)/AD8)</f>
        <v>0</v>
      </c>
      <c r="AI8" s="57">
        <f>IF(B8="","",(Y8*25)/AD8)</f>
        <v>0</v>
      </c>
      <c r="AJ8" s="57">
        <f>IF(B8="","",(AA8*25)/AD8)</f>
        <v>0.039329980812426</v>
      </c>
      <c r="AK8" s="58">
        <f>IF(B8="","",(AB8*40)/AD8)</f>
        <v>0.13676830321824</v>
      </c>
      <c r="AL8" s="58">
        <f>IF(B8="","",(AC8*50)/AD8)</f>
        <v>0.043194776614803</v>
      </c>
      <c r="AM8" s="59">
        <f>IF(B8="","",B8)</f>
        <v>46030</v>
      </c>
      <c r="AN8" s="233">
        <v>23.75</v>
      </c>
      <c r="AO8" s="82">
        <v>14</v>
      </c>
      <c r="AP8" s="234">
        <v>0.25</v>
      </c>
      <c r="AQ8" s="63">
        <f>IF(AN8="","",AN8/AO8)</f>
        <v>1.69642857142857</v>
      </c>
      <c r="AR8" s="64">
        <f>IF(AN8="","",(AD8/AN8)/1000)</f>
        <v>4.63018947368421</v>
      </c>
      <c r="AS8" s="64">
        <f>IF(AN8="","",AR8*24)</f>
        <v>111.12454736842105</v>
      </c>
      <c r="AT8" s="65">
        <f>IF(AN8="","",(AD8/1000)*100%/AS8)</f>
        <v>0.98958333333333</v>
      </c>
      <c r="AU8" s="64">
        <f>IF(AN8="","",(AE8/AN8))</f>
        <v>72.29642105263157</v>
      </c>
      <c r="AV8" s="229">
        <f>IF(AN8="","",(AD8/AO8)/1000)</f>
        <v>7.85478571428571</v>
      </c>
      <c r="AW8" s="714"/>
      <c r="AX8" s="714"/>
      <c r="AY8" s="714"/>
      <c r="AZ8" s="715"/>
      <c r="BA8" s="714"/>
      <c r="BB8" s="715"/>
      <c r="BC8" s="715"/>
      <c r="BD8" s="715"/>
      <c r="BE8" s="715"/>
      <c r="BF8" s="675"/>
    </row>
    <row r="9" spans="1:59" customHeight="1" ht="13.9">
      <c r="A9" s="485">
        <v>5</v>
      </c>
      <c r="B9" s="584">
        <v>46031</v>
      </c>
      <c r="C9" s="69"/>
      <c r="D9" s="70"/>
      <c r="E9" s="76"/>
      <c r="F9" s="70"/>
      <c r="G9" s="76"/>
      <c r="H9" s="70"/>
      <c r="I9" s="491"/>
      <c r="J9" s="491"/>
      <c r="K9" s="70"/>
      <c r="L9" s="494"/>
      <c r="M9" s="494"/>
      <c r="N9" s="76"/>
      <c r="O9" s="76"/>
      <c r="P9" s="467"/>
      <c r="Q9" s="412"/>
      <c r="R9" s="422">
        <v>38912</v>
      </c>
      <c r="S9" s="274">
        <v>49552</v>
      </c>
      <c r="T9" s="401"/>
      <c r="U9" s="407"/>
      <c r="V9" s="249"/>
      <c r="W9" s="401"/>
      <c r="X9" s="278"/>
      <c r="Y9" s="78"/>
      <c r="Z9" s="403">
        <v>121</v>
      </c>
      <c r="AA9" s="281">
        <v>193</v>
      </c>
      <c r="AB9" s="79">
        <v>447</v>
      </c>
      <c r="AC9" s="85">
        <v>209</v>
      </c>
      <c r="AD9" s="592">
        <f>+IF(B9="","",SUMPRODUCT(C9:AC9,$C$2:$AC$2))</f>
        <v>124644</v>
      </c>
      <c r="AE9" s="55">
        <f>IF(B9="","",C9+F9+H9+K9+Q9+N9+O9+((I9+J9+D9+G9+U9)/2)+(R9/50)+(S9/50)+(T9/50)+(E9/5))</f>
        <v>1769.27999999999997</v>
      </c>
      <c r="AF9" s="56">
        <f>IF(B9="","",((AE9*50)/AD9))</f>
        <v>0.70973332049677</v>
      </c>
      <c r="AG9" s="252" t="str">
        <f>IF(C9="","",((Z9)*25)/AD9)</f>
        <v/>
      </c>
      <c r="AH9" s="57">
        <f>IF(B9="","",(X9*25)/AD9)</f>
        <v>0</v>
      </c>
      <c r="AI9" s="57">
        <f>IF(B9="","",(Y9*25)/AD9)</f>
        <v>0</v>
      </c>
      <c r="AJ9" s="57">
        <f>IF(B9="","",(AA9*25)/AD9)</f>
        <v>0.038710246782838</v>
      </c>
      <c r="AK9" s="58">
        <f>IF(B9="","",(AB9*40)/AD9)</f>
        <v>0.14344854144604</v>
      </c>
      <c r="AL9" s="58">
        <f>IF(B9="","",(AC9*50)/AD9)</f>
        <v>0.083838772825006</v>
      </c>
      <c r="AM9" s="59">
        <f>IF(B9="","",B9)</f>
        <v>46031</v>
      </c>
      <c r="AN9" s="233">
        <v>24</v>
      </c>
      <c r="AO9" s="82">
        <v>14.3</v>
      </c>
      <c r="AP9" s="234">
        <v>0</v>
      </c>
      <c r="AQ9" s="63">
        <f>IF(AN9="","",AN9/AO9)</f>
        <v>1.67832167832168</v>
      </c>
      <c r="AR9" s="64">
        <f>IF(AN9="","",(AD9/AN9)/1000)</f>
        <v>5.1935</v>
      </c>
      <c r="AS9" s="64">
        <f>IF(AN9="","",AR9*24)</f>
        <v>124.64400000000001</v>
      </c>
      <c r="AT9" s="65">
        <f>IF(AN9="","",(AD9/1000)*100%/AS9)</f>
        <v>1</v>
      </c>
      <c r="AU9" s="64">
        <f>IF(AN9="","",(AE9/AN9))</f>
        <v>73.72</v>
      </c>
      <c r="AV9" s="229">
        <f>IF(AN9="","",(AD9/AO9)/1000)</f>
        <v>8.71636363636364</v>
      </c>
      <c r="AW9" s="714"/>
      <c r="AX9" s="714"/>
      <c r="AY9" s="714"/>
      <c r="AZ9" s="715"/>
      <c r="BA9" s="714"/>
      <c r="BB9" s="715"/>
      <c r="BC9" s="715"/>
      <c r="BD9" s="715"/>
      <c r="BE9" s="715"/>
      <c r="BF9" s="675"/>
    </row>
    <row r="10" spans="1:59" customHeight="1" ht="15">
      <c r="A10" s="485">
        <v>6</v>
      </c>
      <c r="B10" s="584">
        <v>46035</v>
      </c>
      <c r="C10" s="69"/>
      <c r="D10" s="70"/>
      <c r="E10" s="76"/>
      <c r="F10" s="70"/>
      <c r="G10" s="76"/>
      <c r="H10" s="70"/>
      <c r="I10" s="491">
        <v>407</v>
      </c>
      <c r="J10" s="491"/>
      <c r="K10" s="70"/>
      <c r="L10" s="494"/>
      <c r="M10" s="494"/>
      <c r="N10" s="76"/>
      <c r="O10" s="76"/>
      <c r="P10" s="467"/>
      <c r="Q10" s="412"/>
      <c r="R10" s="410">
        <v>104476</v>
      </c>
      <c r="S10" s="242"/>
      <c r="T10" s="401"/>
      <c r="U10" s="407"/>
      <c r="V10" s="249"/>
      <c r="W10" s="401"/>
      <c r="X10" s="278"/>
      <c r="Y10" s="78"/>
      <c r="Z10" s="403"/>
      <c r="AA10" s="281">
        <v>263</v>
      </c>
      <c r="AB10" s="79">
        <v>433</v>
      </c>
      <c r="AC10" s="85">
        <v>140</v>
      </c>
      <c r="AD10" s="592">
        <f>+IF(B10="","",SUMPRODUCT(C10:AC10,$C$2:$AC$2))</f>
        <v>145546</v>
      </c>
      <c r="AE10" s="55">
        <f>IF(B10="","",C10+F10+H10+K10+Q10+N10+O10+((I10+J10+D10+G10+U10)/2)+(R10/50)+(S10/50)+(T10/50)+(E10/5))</f>
        <v>2293.019999999999982</v>
      </c>
      <c r="AF10" s="56">
        <f>IF(B10="","",((AE10*50)/AD10))</f>
        <v>0.78773033954901</v>
      </c>
      <c r="AG10" s="57" t="str">
        <f>IF(C10="","",((Z10)*25)/AD10)</f>
        <v/>
      </c>
      <c r="AH10" s="57">
        <f>IF(B10="","",(X10*25)/AD10)</f>
        <v>0</v>
      </c>
      <c r="AI10" s="57">
        <f>IF(B10="","",(Y10*25)/AD10)</f>
        <v>0</v>
      </c>
      <c r="AJ10" s="57">
        <f>IF(B10="","",(AA10*25)/AD10)</f>
        <v>0.045174721393924</v>
      </c>
      <c r="AK10" s="58">
        <f>IF(B10="","",(AB10*40)/AD10)</f>
        <v>0.11900017863768</v>
      </c>
      <c r="AL10" s="58">
        <f>IF(B10="","",(AC10*50)/AD10)</f>
        <v>0.048094760419386</v>
      </c>
      <c r="AM10" s="59">
        <f>IF(B10="","",B10)</f>
        <v>46035</v>
      </c>
      <c r="AN10" s="233">
        <v>23.5</v>
      </c>
      <c r="AO10" s="82">
        <f>5.25+15.5</f>
        <v>20.75</v>
      </c>
      <c r="AP10" s="234">
        <v>0.5</v>
      </c>
      <c r="AQ10" s="63">
        <f>IF(AN10="","",AN10/AO10)</f>
        <v>1.13253012048193</v>
      </c>
      <c r="AR10" s="64">
        <f>IF(AN10="","",(AD10/AN10)/1000)</f>
        <v>6.19344680851064</v>
      </c>
      <c r="AS10" s="64">
        <f>IF(AN10="","",AR10*24)</f>
        <v>148.64272340425532</v>
      </c>
      <c r="AT10" s="65">
        <f>IF(AN10="","",(AD10/1000)*100%/AS10)</f>
        <v>0.97916666666667</v>
      </c>
      <c r="AU10" s="64">
        <f>IF(AN10="","",(AE10/AN10))</f>
        <v>97.57531914893617</v>
      </c>
      <c r="AV10" s="229">
        <f>IF(AN10="","",(AD10/AO10)/1000)</f>
        <v>7.014265060240964</v>
      </c>
      <c r="AW10" s="714"/>
      <c r="AX10" s="714"/>
      <c r="AY10" s="714"/>
      <c r="AZ10" s="715"/>
      <c r="BA10" s="714"/>
      <c r="BB10" s="715"/>
      <c r="BC10" s="715"/>
      <c r="BD10" s="715"/>
      <c r="BE10" s="715"/>
      <c r="BF10" s="675"/>
    </row>
    <row r="11" spans="1:59" customHeight="1" ht="13.9">
      <c r="A11" s="485">
        <v>7</v>
      </c>
      <c r="B11" s="584">
        <v>46036</v>
      </c>
      <c r="C11" s="69">
        <v>552</v>
      </c>
      <c r="D11" s="70">
        <v>1000</v>
      </c>
      <c r="E11" s="76"/>
      <c r="F11" s="70"/>
      <c r="G11" s="76"/>
      <c r="H11" s="70"/>
      <c r="I11" s="491">
        <v>611</v>
      </c>
      <c r="J11" s="491"/>
      <c r="K11" s="70">
        <v>746</v>
      </c>
      <c r="L11" s="494"/>
      <c r="M11" s="494"/>
      <c r="N11" s="76"/>
      <c r="O11" s="76"/>
      <c r="P11" s="467"/>
      <c r="Q11" s="412"/>
      <c r="R11" s="410"/>
      <c r="S11" s="242"/>
      <c r="T11" s="401"/>
      <c r="U11" s="407"/>
      <c r="V11" s="249"/>
      <c r="W11" s="401"/>
      <c r="X11" s="278"/>
      <c r="Y11" s="78">
        <v>10</v>
      </c>
      <c r="Z11" s="403"/>
      <c r="AA11" s="281">
        <v>137</v>
      </c>
      <c r="AB11" s="79">
        <v>403</v>
      </c>
      <c r="AC11" s="85">
        <v>90</v>
      </c>
      <c r="AD11" s="592">
        <f>+IF(B11="","",SUMPRODUCT(C11:AC11,$C$2:$AC$2))</f>
        <v>129470</v>
      </c>
      <c r="AE11" s="55">
        <f>IF(B11="","",C11+F11+H11+K11+Q11+N11+O11+((I11+J11+D11+G11+U11)/2)+(R11/50)+(S11/50)+(T11/50)+(E11/5))</f>
        <v>2103.5</v>
      </c>
      <c r="AF11" s="56">
        <f>IF(B11="","",((AE11*50)/AD11))</f>
        <v>0.81235035143276</v>
      </c>
      <c r="AG11" s="57">
        <f>IF(C11="","",((Z11)*25)/AD11)</f>
        <v>0</v>
      </c>
      <c r="AH11" s="57">
        <f>IF(B11="","",(X11*25)/AD11)</f>
        <v>0</v>
      </c>
      <c r="AI11" s="57">
        <f>IF(B11="","",(Y11*25)/AD11)</f>
        <v>0.0019309492546536</v>
      </c>
      <c r="AJ11" s="57">
        <f>IF(B11="","",(AA11*25)/AD11)</f>
        <v>0.026454004788754</v>
      </c>
      <c r="AK11" s="58">
        <f>IF(B11="","",(AB11*40)/AD11)</f>
        <v>0.12450760794006</v>
      </c>
      <c r="AL11" s="58">
        <f>IF(B11="","",(AC11*50)/AD11)</f>
        <v>0.034757086583765</v>
      </c>
      <c r="AM11" s="59">
        <f>IF(B11="","",B11)</f>
        <v>46036</v>
      </c>
      <c r="AN11" s="233">
        <v>23.5</v>
      </c>
      <c r="AO11" s="82">
        <v>18.5</v>
      </c>
      <c r="AP11" s="234">
        <v>0.5</v>
      </c>
      <c r="AQ11" s="63">
        <f>IF(AN11="","",AN11/AO11)</f>
        <v>1.27027027027027</v>
      </c>
      <c r="AR11" s="64">
        <f>IF(AN11="","",(AD11/AN11)/1000)</f>
        <v>5.50936170212766</v>
      </c>
      <c r="AS11" s="64">
        <f>IF(AN11="","",AR11*24)</f>
        <v>132.22468085106382</v>
      </c>
      <c r="AT11" s="65">
        <f>IF(AN11="","",(AD11/1000)*100%/AS11)</f>
        <v>0.97916666666667</v>
      </c>
      <c r="AU11" s="64">
        <f>IF(AN11="","",(AE11/AN11))</f>
        <v>89.51063829787235</v>
      </c>
      <c r="AV11" s="229">
        <f>IF(AN11="","",(AD11/AO11)/1000)</f>
        <v>6.99837837837838</v>
      </c>
      <c r="AW11" s="714"/>
      <c r="AX11" s="714"/>
      <c r="AY11" s="714"/>
      <c r="AZ11" s="715"/>
      <c r="BA11" s="714"/>
      <c r="BB11" s="715"/>
      <c r="BC11" s="715"/>
      <c r="BD11" s="715"/>
      <c r="BE11" s="715"/>
      <c r="BF11" s="675"/>
    </row>
    <row r="12" spans="1:59" customHeight="1" ht="13.9">
      <c r="A12" s="485">
        <v>8</v>
      </c>
      <c r="B12" s="585">
        <v>46037</v>
      </c>
      <c r="C12" s="69">
        <v>505</v>
      </c>
      <c r="D12" s="70"/>
      <c r="E12" s="76"/>
      <c r="F12" s="70"/>
      <c r="G12" s="76"/>
      <c r="H12" s="70"/>
      <c r="I12" s="491"/>
      <c r="J12" s="491"/>
      <c r="K12" s="70"/>
      <c r="L12" s="494"/>
      <c r="M12" s="494"/>
      <c r="N12" s="76"/>
      <c r="O12" s="76"/>
      <c r="P12" s="467"/>
      <c r="Q12" s="412"/>
      <c r="R12" s="410">
        <v>64528</v>
      </c>
      <c r="S12" s="242"/>
      <c r="T12" s="401"/>
      <c r="U12" s="407"/>
      <c r="V12" s="249"/>
      <c r="W12" s="401"/>
      <c r="X12" s="278"/>
      <c r="Y12" s="78">
        <v>15</v>
      </c>
      <c r="Z12" s="403"/>
      <c r="AA12" s="281">
        <v>147</v>
      </c>
      <c r="AB12" s="79">
        <v>364</v>
      </c>
      <c r="AC12" s="85">
        <v>131</v>
      </c>
      <c r="AD12" s="592">
        <f>+IF(B12="","",SUMPRODUCT(C12:AC12,$C$2:$AC$2))</f>
        <v>114938</v>
      </c>
      <c r="AE12" s="55">
        <f>IF(B12="","",C12+F12+H12+K12+Q12+N12+O12+((I12+J12+D12+G12+U12)/2)+(R12/50)+(S12/50)+(T12/50)+(E12/5))</f>
        <v>1795.55999999999995</v>
      </c>
      <c r="AF12" s="56">
        <f>IF(B12="","",((AE12*50)/AD12))</f>
        <v>0.78109937531539</v>
      </c>
      <c r="AG12" s="57">
        <f>IF(C12="","",((Z12)*25)/AD12)</f>
        <v>0</v>
      </c>
      <c r="AH12" s="57">
        <f>IF(B12="","",(X12*25)/AD12)</f>
        <v>0</v>
      </c>
      <c r="AI12" s="57">
        <f>IF(B12="","",(Y12*25)/AD12)</f>
        <v>0.0032626285475648</v>
      </c>
      <c r="AJ12" s="57">
        <f>IF(B12="","",(AA12*25)/AD12)</f>
        <v>0.031973759766135</v>
      </c>
      <c r="AK12" s="58">
        <f>IF(B12="","",(AB12*40)/AD12)</f>
        <v>0.12667699107345</v>
      </c>
      <c r="AL12" s="58">
        <f>IF(B12="","",(AC12*50)/AD12)</f>
        <v>0.056987245297465</v>
      </c>
      <c r="AM12" s="59">
        <f>IF(B12="","",B12)</f>
        <v>46037</v>
      </c>
      <c r="AN12" s="233">
        <v>24</v>
      </c>
      <c r="AO12" s="82">
        <v>12</v>
      </c>
      <c r="AP12" s="234">
        <v>0</v>
      </c>
      <c r="AQ12" s="63">
        <f>IF(AN12="","",AN12/AO12)</f>
        <v>2</v>
      </c>
      <c r="AR12" s="64">
        <f>IF(AN12="","",(AD12/AN12)/1000)</f>
        <v>4.78908333333333</v>
      </c>
      <c r="AS12" s="64">
        <f>IF(AN12="","",AR12*24)</f>
        <v>114.93799999999999</v>
      </c>
      <c r="AT12" s="65">
        <f>IF(AN12="","",(AD12/1000)*100%/AS12)</f>
        <v>1</v>
      </c>
      <c r="AU12" s="64">
        <f>IF(AN12="","",(AE12/AN12))</f>
        <v>74.815</v>
      </c>
      <c r="AV12" s="229">
        <f>IF(AN12="","",(AD12/AO12)/1000)</f>
        <v>9.57816666666667</v>
      </c>
      <c r="AW12" s="714"/>
      <c r="AX12" s="714"/>
      <c r="AY12" s="714"/>
      <c r="AZ12" s="715"/>
      <c r="BA12" s="714"/>
      <c r="BB12" s="715"/>
      <c r="BC12" s="715"/>
      <c r="BD12" s="715"/>
      <c r="BE12" s="715"/>
      <c r="BF12" s="675"/>
    </row>
    <row r="13" spans="1:59" customHeight="1" ht="13.9">
      <c r="A13" s="485">
        <v>9</v>
      </c>
      <c r="B13" s="585">
        <v>46038</v>
      </c>
      <c r="C13" s="69"/>
      <c r="D13" s="70"/>
      <c r="E13" s="76"/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>
        <v>39760</v>
      </c>
      <c r="S13" s="242">
        <v>44536</v>
      </c>
      <c r="T13" s="401"/>
      <c r="U13" s="407">
        <v>200</v>
      </c>
      <c r="V13" s="249"/>
      <c r="W13" s="401"/>
      <c r="X13" s="278"/>
      <c r="Y13" s="78"/>
      <c r="Z13" s="403"/>
      <c r="AA13" s="281">
        <v>191</v>
      </c>
      <c r="AB13" s="79">
        <v>457</v>
      </c>
      <c r="AC13" s="85">
        <v>88</v>
      </c>
      <c r="AD13" s="592">
        <f>+IF(B13="","",SUMPRODUCT(C13:AC13,$C$2:$AC$2))</f>
        <v>116751</v>
      </c>
      <c r="AE13" s="55">
        <f>IF(B13="","",C13+F13+H13+K13+Q13+N13+O13+((I13+J13+D13+G13+U13)/2)+(R13/50)+(S13/50)+(T13/50)+(E13/5))</f>
        <v>1785.92000000000007</v>
      </c>
      <c r="AF13" s="56">
        <f>IF(B13="","",((AE13*50)/AD13))</f>
        <v>0.76484141463456</v>
      </c>
      <c r="AG13" s="57" t="str">
        <f>IF(C13="","",((Z13)*25)/AD13)</f>
        <v/>
      </c>
      <c r="AH13" s="57">
        <f>IF(B13="","",(X13*25)/AD13)</f>
        <v>0</v>
      </c>
      <c r="AI13" s="57">
        <f>IF(B13="","",(Y13*25)/AD13)</f>
        <v>0</v>
      </c>
      <c r="AJ13" s="57">
        <f>IF(B13="","",(AA13*25)/AD13)</f>
        <v>0.040899007289017</v>
      </c>
      <c r="AK13" s="58">
        <f>IF(B13="","",(AB13*40)/AD13)</f>
        <v>0.15657253471062</v>
      </c>
      <c r="AL13" s="58">
        <f>IF(B13="","",(AC13*50)/AD13)</f>
        <v>0.037687043365796</v>
      </c>
      <c r="AM13" s="59">
        <f>IF(B13="","",B13)</f>
        <v>46038</v>
      </c>
      <c r="AN13" s="233">
        <v>23.75</v>
      </c>
      <c r="AO13" s="82">
        <v>14.9</v>
      </c>
      <c r="AP13" s="234">
        <v>0.25</v>
      </c>
      <c r="AQ13" s="63">
        <f>IF(AN13="","",AN13/AO13)</f>
        <v>1.59395973154362</v>
      </c>
      <c r="AR13" s="64">
        <f>IF(AN13="","",(AD13/AN13)/1000)</f>
        <v>4.91583157894737</v>
      </c>
      <c r="AS13" s="64">
        <f>IF(AN13="","",AR13*24)</f>
        <v>117.97995789473683</v>
      </c>
      <c r="AT13" s="65">
        <f>IF(AN13="","",(AD13/1000)*100%/AS13)</f>
        <v>0.98958333333333</v>
      </c>
      <c r="AU13" s="64">
        <f>IF(AN13="","",(AE13/AN13))</f>
        <v>75.19663157894738</v>
      </c>
      <c r="AV13" s="229">
        <f>IF(AN13="","",(AD13/AO13)/1000)</f>
        <v>7.83563758389262</v>
      </c>
      <c r="AW13" s="714"/>
      <c r="AX13" s="714"/>
      <c r="AY13" s="714"/>
      <c r="AZ13" s="715"/>
      <c r="BA13" s="714"/>
      <c r="BB13" s="715"/>
      <c r="BC13" s="715"/>
      <c r="BD13" s="715"/>
      <c r="BE13" s="715"/>
      <c r="BF13" s="675"/>
    </row>
    <row r="14" spans="1:59" customHeight="1" ht="13.9">
      <c r="A14" s="485">
        <v>10</v>
      </c>
      <c r="B14" s="585">
        <v>46041</v>
      </c>
      <c r="C14" s="69"/>
      <c r="D14" s="70"/>
      <c r="E14" s="76"/>
      <c r="F14" s="70"/>
      <c r="G14" s="76"/>
      <c r="H14" s="70"/>
      <c r="I14" s="491"/>
      <c r="J14" s="491"/>
      <c r="K14" s="70"/>
      <c r="L14" s="494"/>
      <c r="M14" s="494"/>
      <c r="N14" s="76"/>
      <c r="O14" s="76"/>
      <c r="P14" s="467"/>
      <c r="Q14" s="412"/>
      <c r="R14" s="410">
        <v>100080</v>
      </c>
      <c r="S14" s="242"/>
      <c r="T14" s="401"/>
      <c r="U14" s="407"/>
      <c r="V14" s="249"/>
      <c r="W14" s="401"/>
      <c r="X14" s="278"/>
      <c r="Y14" s="78">
        <v>10</v>
      </c>
      <c r="Z14" s="403"/>
      <c r="AA14" s="281">
        <v>179</v>
      </c>
      <c r="AB14" s="79">
        <v>406</v>
      </c>
      <c r="AC14" s="85">
        <v>127</v>
      </c>
      <c r="AD14" s="592">
        <f>+IF(B14="","",SUMPRODUCT(C14:AC14,$C$2:$AC$2))</f>
        <v>127395</v>
      </c>
      <c r="AE14" s="55">
        <f>IF(B14="","",C14+F14+H14+K14+Q14+N14+O14+((I14+J14+D14+G14+U14)/2)+(R14/50)+(S14/50)+(T14/50)+(E14/5))</f>
        <v>2001.59999999999991</v>
      </c>
      <c r="AF14" s="56">
        <f>IF(B14="","",((AE14*50)/AD14))</f>
        <v>0.78558813140233</v>
      </c>
      <c r="AG14" s="57" t="str">
        <f>IF(C14="","",((Z14)*25)/AD14)</f>
        <v/>
      </c>
      <c r="AH14" s="57">
        <f>IF(B14="","",(X14*25)/AD14)</f>
        <v>0</v>
      </c>
      <c r="AI14" s="57">
        <f>IF(B14="","",(Y14*25)/AD14)</f>
        <v>0.0019624004081793</v>
      </c>
      <c r="AJ14" s="57">
        <f>IF(B14="","",(AA14*25)/AD14)</f>
        <v>0.035126967306409</v>
      </c>
      <c r="AK14" s="58">
        <f>IF(B14="","",(AB14*40)/AD14)</f>
        <v>0.12747753051533</v>
      </c>
      <c r="AL14" s="58">
        <f>IF(B14="","",(AC14*50)/AD14)</f>
        <v>0.049844970367754</v>
      </c>
      <c r="AM14" s="59">
        <f>IF(B14="","",B14)</f>
        <v>46041</v>
      </c>
      <c r="AN14" s="233">
        <v>24</v>
      </c>
      <c r="AO14" s="82">
        <f>9.1+14.75</f>
        <v>23.85</v>
      </c>
      <c r="AP14" s="234">
        <v>0</v>
      </c>
      <c r="AQ14" s="63">
        <f>IF(AN14="","",AN14/AO14)</f>
        <v>1.0062893081761006</v>
      </c>
      <c r="AR14" s="64">
        <f>IF(AN14="","",(AD14/AN14)/1000)</f>
        <v>5.308125</v>
      </c>
      <c r="AS14" s="64">
        <f>IF(AN14="","",AR14*24)</f>
        <v>127.39500000000001</v>
      </c>
      <c r="AT14" s="65">
        <f>IF(AN14="","",(AD14/1000)*100%/AS14)</f>
        <v>1</v>
      </c>
      <c r="AU14" s="64">
        <f>IF(AN14="","",(AE14/AN14))</f>
        <v>83.39999999999999</v>
      </c>
      <c r="AV14" s="229">
        <f>IF(AN14="","",(AD14/AO14)/1000)</f>
        <v>5.34150943396226</v>
      </c>
      <c r="AW14" s="714"/>
      <c r="AX14" s="714"/>
      <c r="AY14" s="714"/>
      <c r="AZ14" s="715"/>
      <c r="BA14" s="714"/>
      <c r="BB14" s="715"/>
      <c r="BC14" s="715"/>
      <c r="BD14" s="715"/>
      <c r="BE14" s="715"/>
      <c r="BF14" s="675"/>
    </row>
    <row r="15" spans="1:59" customHeight="1" ht="13.9">
      <c r="A15" s="485">
        <v>11</v>
      </c>
      <c r="B15" s="585">
        <v>46042</v>
      </c>
      <c r="C15" s="69">
        <v>1100</v>
      </c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>
        <v>3328</v>
      </c>
      <c r="S15" s="242">
        <v>24560</v>
      </c>
      <c r="T15" s="401"/>
      <c r="U15" s="407"/>
      <c r="V15" s="249"/>
      <c r="W15" s="401"/>
      <c r="X15" s="278"/>
      <c r="Y15" s="78">
        <v>31</v>
      </c>
      <c r="Z15" s="403"/>
      <c r="AA15" s="281">
        <v>138</v>
      </c>
      <c r="AB15" s="79">
        <v>416</v>
      </c>
      <c r="AC15" s="85">
        <v>81</v>
      </c>
      <c r="AD15" s="592">
        <f>+IF(B15="","",SUMPRODUCT(C15:AC15,$C$2:$AC$2))</f>
        <v>107803</v>
      </c>
      <c r="AE15" s="55">
        <f>IF(B15="","",C15+F15+H15+K15+Q15+N15+O15+((I15+J15+D15+G15+U15)/2)+(R15/50)+(S15/50)+(T15/50)+(E15/5))</f>
        <v>1657.75999999999999</v>
      </c>
      <c r="AF15" s="56">
        <f>IF(B15="","",((AE15*50)/AD15))</f>
        <v>0.76888398282052</v>
      </c>
      <c r="AG15" s="57">
        <f>IF(C15="","",((Z15)*25)/AD15)</f>
        <v>0</v>
      </c>
      <c r="AH15" s="57">
        <f>IF(B15="","",(X15*25)/AD15)</f>
        <v>0</v>
      </c>
      <c r="AI15" s="57">
        <f>IF(B15="","",(Y15*25)/AD15)</f>
        <v>0.0071890392660687</v>
      </c>
      <c r="AJ15" s="57">
        <f>IF(B15="","",(AA15*25)/AD15)</f>
        <v>0.032002819958628</v>
      </c>
      <c r="AK15" s="58">
        <f>IF(B15="","",(AB15*40)/AD15)</f>
        <v>0.15435563017727</v>
      </c>
      <c r="AL15" s="58">
        <f>IF(B15="","",(AC15*50)/AD15)</f>
        <v>0.03756852777752</v>
      </c>
      <c r="AM15" s="59">
        <f>IF(B15="","",B15)</f>
        <v>46042</v>
      </c>
      <c r="AN15" s="233">
        <v>24</v>
      </c>
      <c r="AO15" s="82">
        <v>22.25</v>
      </c>
      <c r="AP15" s="234">
        <v>0</v>
      </c>
      <c r="AQ15" s="63">
        <f>IF(AN15="","",AN15/AO15)</f>
        <v>1.078651685393258</v>
      </c>
      <c r="AR15" s="64">
        <f>IF(AN15="","",(AD15/AN15)/1000)</f>
        <v>4.49179166666667</v>
      </c>
      <c r="AS15" s="64">
        <f>IF(AN15="","",AR15*24)</f>
        <v>107.803</v>
      </c>
      <c r="AT15" s="65">
        <f>IF(AN15="","",(AD15/1000)*100%/AS15)</f>
        <v>1</v>
      </c>
      <c r="AU15" s="64">
        <f>IF(AN15="","",(AE15/AN15))</f>
        <v>69.073333333333338</v>
      </c>
      <c r="AV15" s="229">
        <f>IF(AN15="","",(AD15/AO15)/1000)</f>
        <v>4.84507865168539</v>
      </c>
      <c r="AW15" s="714"/>
      <c r="AX15" s="714"/>
      <c r="AY15" s="714"/>
      <c r="AZ15" s="715"/>
      <c r="BA15" s="714"/>
      <c r="BB15" s="715"/>
      <c r="BC15" s="715"/>
      <c r="BD15" s="715"/>
      <c r="BE15" s="715"/>
      <c r="BF15" s="675"/>
    </row>
    <row r="16" spans="1:59" customHeight="1" ht="13.9">
      <c r="A16" s="485">
        <v>12</v>
      </c>
      <c r="B16" s="585">
        <v>46043</v>
      </c>
      <c r="C16" s="69">
        <v>792</v>
      </c>
      <c r="D16" s="70"/>
      <c r="E16" s="76"/>
      <c r="F16" s="70">
        <v>346</v>
      </c>
      <c r="G16" s="76">
        <v>300</v>
      </c>
      <c r="H16" s="70"/>
      <c r="I16" s="491">
        <v>826</v>
      </c>
      <c r="J16" s="491">
        <v>120</v>
      </c>
      <c r="K16" s="70"/>
      <c r="L16" s="494"/>
      <c r="M16" s="494"/>
      <c r="N16" s="76"/>
      <c r="O16" s="76"/>
      <c r="P16" s="467"/>
      <c r="Q16" s="412"/>
      <c r="R16" s="410"/>
      <c r="S16" s="242"/>
      <c r="T16" s="401"/>
      <c r="U16" s="407"/>
      <c r="V16" s="249"/>
      <c r="W16" s="401"/>
      <c r="X16" s="278"/>
      <c r="Y16" s="78">
        <v>19</v>
      </c>
      <c r="Z16" s="403"/>
      <c r="AA16" s="281">
        <v>160</v>
      </c>
      <c r="AB16" s="1">
        <v>390</v>
      </c>
      <c r="AC16" s="79">
        <v>98</v>
      </c>
      <c r="AD16" s="592">
        <f>+IF(B16="","",SUMPRODUCT(C16:AC16,$C$2:$AC$2))</f>
        <v>113025</v>
      </c>
      <c r="AE16" s="55">
        <f>IF(B16="","",C16+F16+H16+K16+Q16+N16+O16+((I16+J16+D16+G16+U16)/2)+(R16/50)+(S16/50)+(T16/50)+(E16/5))</f>
        <v>1761</v>
      </c>
      <c r="AF16" s="56">
        <f>IF(B16="","",((AE16*50)/AD16))</f>
        <v>0.77903118779031</v>
      </c>
      <c r="AG16" s="57">
        <f>IF(C16="","",((Z16)*25)/AD16)</f>
        <v>0</v>
      </c>
      <c r="AH16" s="57">
        <f>IF(B16="","",(X16*25)/AD16)</f>
        <v>0</v>
      </c>
      <c r="AI16" s="57">
        <f>IF(B16="","",(Y16*25)/AD16)</f>
        <v>0.0042026100420261</v>
      </c>
      <c r="AJ16" s="57">
        <f>IF(B16="","",(AA16*25)/AD16)</f>
        <v>0.035390400353904</v>
      </c>
      <c r="AK16" s="58">
        <f>IF(B16="","",(AC16*40)/AD16)</f>
        <v>0.034682592346826</v>
      </c>
      <c r="AL16" s="58">
        <f>IF(B16="","",(AC16*50)/AD16)</f>
        <v>0.043353240433532</v>
      </c>
      <c r="AM16" s="59">
        <f>IF(B16="","",B16)</f>
        <v>46043</v>
      </c>
      <c r="AN16" s="233">
        <v>24</v>
      </c>
      <c r="AO16" s="82">
        <v>14.9</v>
      </c>
      <c r="AP16" s="234">
        <v>0</v>
      </c>
      <c r="AQ16" s="63">
        <f>IF(AN16="","",AN16/AO16)</f>
        <v>1.61073825503356</v>
      </c>
      <c r="AR16" s="64">
        <f>IF(AN16="","",(AD16/AN16)/1000)</f>
        <v>4.709375</v>
      </c>
      <c r="AS16" s="64">
        <f>IF(AN16="","",AR16*24)</f>
        <v>113.024999999999991</v>
      </c>
      <c r="AT16" s="65">
        <f>IF(AN16="","",(AD16/1000)*100%/AS16)</f>
        <v>1</v>
      </c>
      <c r="AU16" s="64">
        <f>IF(AN16="","",(AE16/AN16))</f>
        <v>73.375</v>
      </c>
      <c r="AV16" s="229">
        <f>IF(AN16="","",(AD16/AO16)/1000)</f>
        <v>7.58557046979866</v>
      </c>
      <c r="AW16" s="714"/>
      <c r="AX16" s="714"/>
      <c r="AY16" s="714"/>
      <c r="AZ16" s="715"/>
      <c r="BA16" s="714"/>
      <c r="BB16" s="715"/>
      <c r="BC16" s="715"/>
      <c r="BD16" s="715"/>
      <c r="BE16" s="715"/>
      <c r="BF16" s="675"/>
    </row>
    <row r="17" spans="1:59" customHeight="1" ht="13.9">
      <c r="A17" s="485">
        <v>13</v>
      </c>
      <c r="B17" s="585">
        <v>46044</v>
      </c>
      <c r="C17" s="69">
        <v>1718</v>
      </c>
      <c r="D17" s="70"/>
      <c r="E17" s="76"/>
      <c r="F17" s="70"/>
      <c r="G17" s="76"/>
      <c r="H17" s="70"/>
      <c r="I17" s="491"/>
      <c r="J17" s="491"/>
      <c r="K17" s="70"/>
      <c r="L17" s="494"/>
      <c r="M17" s="494"/>
      <c r="N17" s="76"/>
      <c r="O17" s="76"/>
      <c r="P17" s="467"/>
      <c r="Q17" s="412">
        <v>30</v>
      </c>
      <c r="R17" s="410"/>
      <c r="S17" s="242"/>
      <c r="T17" s="401"/>
      <c r="U17" s="407"/>
      <c r="V17" s="249"/>
      <c r="W17" s="401"/>
      <c r="X17" s="278"/>
      <c r="Y17" s="78"/>
      <c r="Z17" s="403"/>
      <c r="AA17" s="281">
        <v>156</v>
      </c>
      <c r="AB17" s="79">
        <v>379</v>
      </c>
      <c r="AC17" s="85">
        <v>59</v>
      </c>
      <c r="AD17" s="592">
        <f>+IF(B17="","",SUMPRODUCT(C17:AC17,$C$2:$AC$2))</f>
        <v>109410</v>
      </c>
      <c r="AE17" s="55">
        <f>IF(B17="","",C17+F17+H17+K17+Q17+N17+O17+((I17+J17+D17+G17+U17)/2)+(R17/50)+(S17/50)+(T17/50)+(E17/5))</f>
        <v>1748</v>
      </c>
      <c r="AF17" s="56">
        <f>IF(B17="","",((AE17*50)/AD17))</f>
        <v>0.79883008865734</v>
      </c>
      <c r="AG17" s="57">
        <f>IF(C17="","",((Z17)*25)/AD17)</f>
        <v>0</v>
      </c>
      <c r="AH17" s="57">
        <f>IF(B17="","",(X17*25)/AD17)</f>
        <v>0</v>
      </c>
      <c r="AI17" s="57">
        <f>IF(B17="","",(Y17*25)/AD17)</f>
        <v>0</v>
      </c>
      <c r="AJ17" s="57">
        <f>IF(B17="","",(AA17*25)/AD17)</f>
        <v>0.035645736221552</v>
      </c>
      <c r="AK17" s="58">
        <f>IF(B17="","",(AB17*40)/AD17)</f>
        <v>0.13856137464583</v>
      </c>
      <c r="AL17" s="58">
        <f>IF(B17="","",(AC17*50)/AD17)</f>
        <v>0.026962800475276</v>
      </c>
      <c r="AM17" s="59">
        <f>IF(B17="","",B17)</f>
        <v>46044</v>
      </c>
      <c r="AN17" s="233">
        <v>23</v>
      </c>
      <c r="AO17" s="82">
        <v>19.25</v>
      </c>
      <c r="AP17" s="234">
        <v>1</v>
      </c>
      <c r="AQ17" s="63">
        <f>IF(AN17="","",AN17/AO17)</f>
        <v>1.19480519480519</v>
      </c>
      <c r="AR17" s="64">
        <f>IF(AN17="","",(AD17/AN17)/1000)</f>
        <v>4.75695652173913</v>
      </c>
      <c r="AS17" s="64">
        <f>IF(AN17="","",AR17*24)</f>
        <v>114.16695652173911</v>
      </c>
      <c r="AT17" s="65">
        <f>IF(AN17="","",(AD17/1000)*100%/AS17)</f>
        <v>0.95833333333333</v>
      </c>
      <c r="AU17" s="64">
        <f>IF(AN17="","",(AE17/AN17))</f>
        <v>76</v>
      </c>
      <c r="AV17" s="229">
        <f>IF(AN17="","",(AD17/AO17)/1000)</f>
        <v>5.68363636363636</v>
      </c>
      <c r="AW17" s="714"/>
      <c r="AX17" s="714"/>
      <c r="AY17" s="714"/>
      <c r="AZ17" s="715"/>
      <c r="BA17" s="714"/>
      <c r="BB17" s="715"/>
      <c r="BC17" s="715"/>
      <c r="BD17" s="715"/>
      <c r="BE17" s="715"/>
      <c r="BF17" s="675"/>
    </row>
    <row r="18" spans="1:59" customHeight="1" ht="13.9">
      <c r="A18" s="485">
        <v>14</v>
      </c>
      <c r="B18" s="585">
        <v>46045</v>
      </c>
      <c r="C18" s="69"/>
      <c r="D18" s="70"/>
      <c r="E18" s="76"/>
      <c r="F18" s="70"/>
      <c r="G18" s="76"/>
      <c r="H18" s="70"/>
      <c r="I18" s="491"/>
      <c r="J18" s="491"/>
      <c r="K18" s="70"/>
      <c r="L18" s="494"/>
      <c r="M18" s="494"/>
      <c r="N18" s="76"/>
      <c r="O18" s="76"/>
      <c r="P18" s="467"/>
      <c r="Q18" s="412">
        <v>235</v>
      </c>
      <c r="R18" s="410">
        <v>57552</v>
      </c>
      <c r="S18" s="242">
        <v>7850</v>
      </c>
      <c r="T18" s="401"/>
      <c r="U18" s="407"/>
      <c r="V18" s="249"/>
      <c r="W18" s="401"/>
      <c r="X18" s="278">
        <v>15</v>
      </c>
      <c r="Y18" s="78"/>
      <c r="Z18" s="403">
        <v>103</v>
      </c>
      <c r="AA18" s="281">
        <v>181</v>
      </c>
      <c r="AB18" s="79">
        <v>364</v>
      </c>
      <c r="AC18" s="85">
        <v>158</v>
      </c>
      <c r="AD18" s="592">
        <f>+IF(B18="","",SUMPRODUCT(C18:AC18,$C$2:$AC$2))</f>
        <v>107087</v>
      </c>
      <c r="AE18" s="55">
        <f>IF(B18="","",C18+F18+H18+K18+Q18+N18+O18+((I18+J18+D18+G18+U18)/2)+(R18/50)+(S18/50)+(T18/50)+(E18/5))</f>
        <v>1543.039999999999964</v>
      </c>
      <c r="AF18" s="56">
        <f>IF(B18="","",((AE18*50)/AD18))</f>
        <v>0.7204609336334</v>
      </c>
      <c r="AG18" s="57" t="str">
        <f>IF(C18="","",((Z18)*25)/AD18)</f>
        <v/>
      </c>
      <c r="AH18" s="57">
        <f>IF(B18="","",(X18*25)/AD18)</f>
        <v>0.0035018256184224</v>
      </c>
      <c r="AI18" s="57">
        <f>IF(B18="","",(Y18*25)/AD18)</f>
        <v>0</v>
      </c>
      <c r="AJ18" s="57">
        <f>IF(B18="","",(AA18*25)/AD18)</f>
        <v>0.042255362462297</v>
      </c>
      <c r="AK18" s="58">
        <f>IF(B18="","",(AB18*40)/AD18)</f>
        <v>0.13596421601128</v>
      </c>
      <c r="AL18" s="58">
        <f>IF(B18="","",(AC18*50)/AD18)</f>
        <v>0.073771793028099</v>
      </c>
      <c r="AM18" s="59">
        <f>IF(B18="","",B18)</f>
        <v>46045</v>
      </c>
      <c r="AN18" s="596">
        <v>21.7</v>
      </c>
      <c r="AO18" s="82">
        <v>19.1</v>
      </c>
      <c r="AP18" s="234">
        <v>2.28</v>
      </c>
      <c r="AQ18" s="63">
        <f>IF(AN18="","",AN18/AO18)</f>
        <v>1.13612565445026</v>
      </c>
      <c r="AR18" s="64">
        <f>IF(AN18="","",(AD18/AN18)/1000)</f>
        <v>4.93488479262673</v>
      </c>
      <c r="AS18" s="64">
        <f>IF(AN18="","",AR18*24)</f>
        <v>118.43723502304147</v>
      </c>
      <c r="AT18" s="65">
        <f>IF(AN18="","",(AD18/1000)*100%/AS18)</f>
        <v>0.90416666666667</v>
      </c>
      <c r="AU18" s="64">
        <f>IF(AN18="","",(AE18/AN18))</f>
        <v>71.10783410138249</v>
      </c>
      <c r="AV18" s="229">
        <f>IF(AN18="","",(AD18/AO18)/1000)</f>
        <v>5.60664921465969</v>
      </c>
      <c r="AW18" s="714"/>
      <c r="AX18" s="714"/>
      <c r="AY18" s="714"/>
      <c r="AZ18" s="715"/>
      <c r="BA18" s="714"/>
      <c r="BB18" s="715"/>
      <c r="BC18" s="715"/>
      <c r="BD18" s="715"/>
      <c r="BE18" s="715"/>
      <c r="BF18" s="675"/>
    </row>
    <row r="19" spans="1:59" customHeight="1" ht="13.9">
      <c r="A19" s="485">
        <v>15</v>
      </c>
      <c r="B19" s="585">
        <v>46050</v>
      </c>
      <c r="C19" s="69">
        <v>581</v>
      </c>
      <c r="D19" s="70"/>
      <c r="E19" s="76"/>
      <c r="F19" s="70">
        <v>317</v>
      </c>
      <c r="G19" s="76">
        <v>300</v>
      </c>
      <c r="H19" s="70">
        <v>488</v>
      </c>
      <c r="I19" s="491"/>
      <c r="J19" s="491"/>
      <c r="K19" s="70"/>
      <c r="L19" s="494"/>
      <c r="M19" s="494"/>
      <c r="N19" s="76"/>
      <c r="O19" s="76"/>
      <c r="P19" s="467"/>
      <c r="Q19" s="412"/>
      <c r="R19" s="410"/>
      <c r="S19" s="242">
        <v>24736</v>
      </c>
      <c r="T19" s="401"/>
      <c r="U19" s="407"/>
      <c r="V19" s="249"/>
      <c r="W19" s="401"/>
      <c r="X19" s="278"/>
      <c r="Y19" s="78"/>
      <c r="Z19" s="403"/>
      <c r="AA19" s="281">
        <v>220</v>
      </c>
      <c r="AB19" s="79">
        <v>484</v>
      </c>
      <c r="AC19" s="85">
        <v>43</v>
      </c>
      <c r="AD19" s="592">
        <f>+IF(B19="","",SUMPRODUCT(C19:AC19,$C$2:$AC$2))</f>
        <v>128546</v>
      </c>
      <c r="AE19" s="55">
        <f>IF(B19="","",C19+F19+H19+K19+Q19+N19+O19+((I19+J19+D19+G19+U19)/2)+(R19/50)+(S19/50)+(T19/50)+(E19/5))</f>
        <v>2030.72000000000003</v>
      </c>
      <c r="AF19" s="56">
        <f>IF(B19="","",((AE19*50)/AD19))</f>
        <v>0.78988066528713</v>
      </c>
      <c r="AG19" s="57">
        <f>IF(C19="","",((Z19)*25)/AD19)</f>
        <v>0</v>
      </c>
      <c r="AH19" s="57">
        <f>IF(B19="","",(X19*25)/AD19)</f>
        <v>0</v>
      </c>
      <c r="AI19" s="57">
        <f>IF(B19="","",(Y19*25)/AD19)</f>
        <v>0</v>
      </c>
      <c r="AJ19" s="57">
        <f>IF(B19="","",(AA19*25)/AD19)</f>
        <v>0.042786239945234</v>
      </c>
      <c r="AK19" s="58">
        <f>IF(B19="","",(AB19*40)/AD19)</f>
        <v>0.15060756460722</v>
      </c>
      <c r="AL19" s="58">
        <f>IF(B19="","",(AC19*50)/AD19)</f>
        <v>0.01672553016041</v>
      </c>
      <c r="AM19" s="59">
        <f>IF(B19="","",B19)</f>
        <v>46050</v>
      </c>
      <c r="AN19" s="596">
        <v>23.58</v>
      </c>
      <c r="AO19" s="82">
        <f>17.5+1.5</f>
        <v>19</v>
      </c>
      <c r="AP19" s="234">
        <v>0.41</v>
      </c>
      <c r="AQ19" s="63">
        <f>IF(AN19="","",AN19/AO19)</f>
        <v>1.24105263157895</v>
      </c>
      <c r="AR19" s="64">
        <f>IF(AN19="","",(AD19/AN19)/1000)</f>
        <v>5.45148430873622</v>
      </c>
      <c r="AS19" s="64">
        <f>IF(AN19="","",AR19*24)</f>
        <v>130.83562340966921</v>
      </c>
      <c r="AT19" s="65">
        <f>IF(AN19="","",(AD19/1000)*100%/AS19)</f>
        <v>0.9825</v>
      </c>
      <c r="AU19" s="64">
        <f>IF(AN19="","",(AE19/AN19))</f>
        <v>86.12044105173877</v>
      </c>
      <c r="AV19" s="229">
        <f>IF(AN19="","",(AD19/AO19)/1000)</f>
        <v>6.76557894736842</v>
      </c>
      <c r="AW19" s="714"/>
      <c r="AX19" s="714"/>
      <c r="AY19" s="714"/>
      <c r="AZ19" s="715"/>
      <c r="BA19" s="714"/>
      <c r="BB19" s="715"/>
      <c r="BC19" s="715"/>
      <c r="BD19" s="715"/>
      <c r="BE19" s="715"/>
      <c r="BF19" s="675"/>
    </row>
    <row r="20" spans="1:59" customHeight="1" ht="13.9">
      <c r="A20" s="485">
        <v>16</v>
      </c>
      <c r="B20" s="584">
        <v>46051</v>
      </c>
      <c r="C20" s="69">
        <v>1892</v>
      </c>
      <c r="D20" s="70"/>
      <c r="E20" s="76"/>
      <c r="F20" s="70"/>
      <c r="G20" s="76"/>
      <c r="H20" s="70"/>
      <c r="I20" s="491"/>
      <c r="J20" s="491"/>
      <c r="K20" s="70"/>
      <c r="L20" s="494"/>
      <c r="M20" s="494"/>
      <c r="N20" s="76"/>
      <c r="O20" s="76"/>
      <c r="P20" s="467"/>
      <c r="Q20" s="412"/>
      <c r="R20" s="410"/>
      <c r="S20" s="242"/>
      <c r="T20" s="401"/>
      <c r="U20" s="407"/>
      <c r="V20" s="249"/>
      <c r="W20" s="401"/>
      <c r="X20" s="278"/>
      <c r="Y20" s="78"/>
      <c r="Z20" s="403">
        <v>23</v>
      </c>
      <c r="AA20" s="281">
        <v>160</v>
      </c>
      <c r="AB20" s="79">
        <v>403</v>
      </c>
      <c r="AC20" s="85">
        <v>71</v>
      </c>
      <c r="AD20" s="592">
        <f>+IF(B20="","",SUMPRODUCT(C20:AC20,$C$2:$AC$2))</f>
        <v>118845</v>
      </c>
      <c r="AE20" s="55">
        <f>IF(B20="","",C20+F20+H20+K20+Q20+N20+O20+((I20+J20+D20+G20+U20)/2)+(R20/50)+(S20/50)+(T20/50)+(E20/5))</f>
        <v>1892</v>
      </c>
      <c r="AF20" s="56">
        <f>IF(B20="","",((AE20*50)/AD20))</f>
        <v>0.79599478312087</v>
      </c>
      <c r="AG20" s="57">
        <f>IF(C20="","",((Z20)*25)/AD20)</f>
        <v>0.0048382346754176</v>
      </c>
      <c r="AH20" s="57">
        <f>IF(B20="","",(X20*25)/AD20)</f>
        <v>0</v>
      </c>
      <c r="AI20" s="57">
        <f>IF(B20="","",(Y20*25)/AD20)</f>
        <v>0</v>
      </c>
      <c r="AJ20" s="57">
        <f>IF(B20="","",(AA20*25)/AD20)</f>
        <v>0.033657284698557</v>
      </c>
      <c r="AK20" s="58">
        <f>IF(B20="","",(AB20*40)/AD20)</f>
        <v>0.13563885733518</v>
      </c>
      <c r="AL20" s="58">
        <f>IF(B20="","",(AC20*50)/AD20)</f>
        <v>0.029870840169969</v>
      </c>
      <c r="AM20" s="59">
        <f>IF(B20="","",B20)</f>
        <v>46051</v>
      </c>
      <c r="AN20" s="233">
        <v>23.67</v>
      </c>
      <c r="AO20" s="82">
        <v>18.9</v>
      </c>
      <c r="AP20" s="234">
        <v>0.33</v>
      </c>
      <c r="AQ20" s="63">
        <f>IF(AN20="","",AN20/AO20)</f>
        <v>1.25238095238095</v>
      </c>
      <c r="AR20" s="64">
        <f>IF(AN20="","",(AD20/AN20)/1000)</f>
        <v>5.020912547528517</v>
      </c>
      <c r="AS20" s="64">
        <f>IF(AN20="","",AR20*24)</f>
        <v>120.5019011406844</v>
      </c>
      <c r="AT20" s="65">
        <f>IF(AN20="","",(AD20/1000)*100%/AS20)</f>
        <v>0.98625</v>
      </c>
      <c r="AU20" s="64">
        <f>IF(AN20="","",(AE20/AN20))</f>
        <v>79.9324038867765</v>
      </c>
      <c r="AV20" s="229">
        <f>IF(AN20="","",(AD20/AO20)/1000)</f>
        <v>6.28809523809524</v>
      </c>
      <c r="AW20" s="714"/>
      <c r="AX20" s="714"/>
      <c r="AY20" s="714"/>
      <c r="AZ20" s="715"/>
      <c r="BA20" s="714"/>
      <c r="BB20" s="715"/>
      <c r="BC20" s="715"/>
      <c r="BD20" s="715"/>
      <c r="BE20" s="715"/>
      <c r="BF20" s="675"/>
    </row>
    <row r="21" spans="1:59" customHeight="1" ht="13.9">
      <c r="A21" s="485">
        <v>17</v>
      </c>
      <c r="B21" s="584">
        <v>46052</v>
      </c>
      <c r="C21" s="69">
        <v>192</v>
      </c>
      <c r="D21" s="70"/>
      <c r="E21" s="76"/>
      <c r="F21" s="70">
        <v>110</v>
      </c>
      <c r="G21" s="76">
        <v>200</v>
      </c>
      <c r="H21" s="70">
        <v>267</v>
      </c>
      <c r="I21" s="491"/>
      <c r="J21" s="491"/>
      <c r="K21" s="70"/>
      <c r="L21" s="494"/>
      <c r="M21" s="494"/>
      <c r="N21" s="76"/>
      <c r="O21" s="76"/>
      <c r="P21" s="467"/>
      <c r="Q21" s="412"/>
      <c r="R21" s="410">
        <v>44224</v>
      </c>
      <c r="S21" s="242"/>
      <c r="T21" s="401"/>
      <c r="U21" s="407"/>
      <c r="V21" s="249"/>
      <c r="W21" s="401"/>
      <c r="X21" s="278"/>
      <c r="Y21" s="78"/>
      <c r="Z21" s="403"/>
      <c r="AA21" s="281">
        <v>174</v>
      </c>
      <c r="AB21" s="79">
        <v>354</v>
      </c>
      <c r="AC21" s="85">
        <v>177</v>
      </c>
      <c r="AD21" s="592">
        <f>+IF(B21="","",SUMPRODUCT(C21:AC21,$C$2:$AC$2))</f>
        <v>105034</v>
      </c>
      <c r="AE21" s="55">
        <f>IF(B21="","",C21+F21+H21+K21+Q21+N21+O21+((I21+J21+D21+G21+U21)/2)+(R21/50)+(S21/50)+(T21/50)+(E21/5))</f>
        <v>1553.48000000000002</v>
      </c>
      <c r="AF21" s="56">
        <f>IF(B21="","",((AE21*50)/AD21))</f>
        <v>0.73951291962603</v>
      </c>
      <c r="AG21" s="57">
        <f>IF(C21="","",((Z21)*25)/AD21)</f>
        <v>0</v>
      </c>
      <c r="AH21" s="57">
        <f>IF(B21="","",(X21*25)/AD21)</f>
        <v>0</v>
      </c>
      <c r="AI21" s="57">
        <f>IF(B21="","",(Y21*25)/AD21)</f>
        <v>0</v>
      </c>
      <c r="AJ21" s="57">
        <f>IF(B21="","",(AA21*25)/AD21)</f>
        <v>0.041415160805073</v>
      </c>
      <c r="AK21" s="58">
        <f>IF(B21="","",(AB21*40)/AD21)</f>
        <v>0.13481348896548</v>
      </c>
      <c r="AL21" s="58">
        <f>IF(B21="","",(AC21*50)/AD21)</f>
        <v>0.084258430603424</v>
      </c>
      <c r="AM21" s="59">
        <f>IF(B21="","",B21)</f>
        <v>46052</v>
      </c>
      <c r="AN21" s="233">
        <v>23.58</v>
      </c>
      <c r="AO21" s="82">
        <v>19.1</v>
      </c>
      <c r="AP21" s="234">
        <v>0.41</v>
      </c>
      <c r="AQ21" s="63">
        <f>IF(AN21="","",AN21/AO21)</f>
        <v>1.23455497382199</v>
      </c>
      <c r="AR21" s="64">
        <f>IF(AN21="","",(AD21/AN21)/1000)</f>
        <v>4.45436810856658</v>
      </c>
      <c r="AS21" s="64">
        <f>IF(AN21="","",AR21*24)</f>
        <v>106.90483460559797</v>
      </c>
      <c r="AT21" s="65">
        <f>IF(AN21="","",(AD21/1000)*100%/AS21)</f>
        <v>0.9825</v>
      </c>
      <c r="AU21" s="64">
        <f>IF(AN21="","",(AE21/AN21))</f>
        <v>65.88125530110264</v>
      </c>
      <c r="AV21" s="229">
        <f>IF(AN21="","",(AD21/AO21)/1000)</f>
        <v>5.49916230366492</v>
      </c>
      <c r="AW21" s="714"/>
      <c r="AX21" s="714"/>
      <c r="AY21" s="714"/>
      <c r="AZ21" s="715"/>
      <c r="BA21" s="714"/>
      <c r="BB21" s="715"/>
      <c r="BC21" s="715"/>
      <c r="BD21" s="715"/>
      <c r="BE21" s="715"/>
      <c r="BF21" s="675"/>
    </row>
    <row r="22" spans="1:59" customHeight="1" ht="13.9">
      <c r="A22" s="485"/>
      <c r="B22" s="584"/>
      <c r="C22" s="69"/>
      <c r="D22" s="70"/>
      <c r="E22" s="76"/>
      <c r="F22" s="70"/>
      <c r="G22" s="76"/>
      <c r="H22" s="70"/>
      <c r="I22" s="491"/>
      <c r="J22" s="491"/>
      <c r="K22" s="70"/>
      <c r="L22" s="494"/>
      <c r="M22" s="494"/>
      <c r="N22" s="76"/>
      <c r="O22" s="76"/>
      <c r="P22" s="467"/>
      <c r="Q22" s="412"/>
      <c r="R22" s="410"/>
      <c r="S22" s="242"/>
      <c r="T22" s="401"/>
      <c r="U22" s="407"/>
      <c r="V22" s="249"/>
      <c r="W22" s="401"/>
      <c r="X22" s="278"/>
      <c r="Y22" s="78"/>
      <c r="Z22" s="403"/>
      <c r="AA22" s="281"/>
      <c r="AB22" s="79"/>
      <c r="AC22" s="85"/>
      <c r="AD22" s="55"/>
      <c r="AE22" s="55" t="str">
        <f>IF(B22="","",C22+F22+H22+K22+Q22+N22+O22+((I22+J22+D22+G22+U22)/2)+(R22/50)+(S22/50)+(T22/50)+(E22/5))</f>
        <v/>
      </c>
      <c r="AF22" s="56" t="str">
        <f>IF(B22="","",((AE22*50)/AD22))</f>
        <v/>
      </c>
      <c r="AG22" s="57" t="str">
        <f>IF(C22="","",((Z22)*25)/AD22)</f>
        <v/>
      </c>
      <c r="AH22" s="57" t="str">
        <f>IF(B22="","",(X22*25)/AD22)</f>
        <v/>
      </c>
      <c r="AI22" s="57" t="str">
        <f>IF(B22="","",(Y22*25)/AD22)</f>
        <v/>
      </c>
      <c r="AJ22" s="57" t="str">
        <f>IF(B22="","",(AA22*25)/AD22)</f>
        <v/>
      </c>
      <c r="AK22" s="58" t="str">
        <f>IF(B22="","",(AB22*40)/AD22)</f>
        <v/>
      </c>
      <c r="AL22" s="58" t="str">
        <f>IF(B22="","",(AC22*50)/AD22)</f>
        <v/>
      </c>
      <c r="AM22" s="59" t="str">
        <f>IF(B22="","",B22)</f>
        <v/>
      </c>
      <c r="AN22" s="233"/>
      <c r="AO22" s="82"/>
      <c r="AP22" s="234"/>
      <c r="AQ22" s="63" t="str">
        <f>IF(AN22="","",AN22/AO22)</f>
        <v/>
      </c>
      <c r="AR22" s="64" t="str">
        <f>IF(AN22="","",(AD22/AN22)/1000)</f>
        <v/>
      </c>
      <c r="AS22" s="64" t="str">
        <f>IF(AN22="","",AR22*24)</f>
        <v/>
      </c>
      <c r="AT22" s="65" t="str">
        <f>IF(AN22="","",(AD22/1000)*100%/AS22)</f>
        <v/>
      </c>
      <c r="AU22" s="64" t="str">
        <f>IF(AN22="","",(AE22/AN22))</f>
        <v/>
      </c>
      <c r="AV22" s="229" t="str">
        <f>IF(AN22="","",(AD22/AO22)/1000)</f>
        <v/>
      </c>
      <c r="AW22" s="714"/>
      <c r="AX22" s="714"/>
      <c r="AY22" s="714"/>
      <c r="AZ22" s="715"/>
      <c r="BA22" s="714"/>
      <c r="BB22" s="715"/>
      <c r="BC22" s="715"/>
      <c r="BD22" s="715"/>
      <c r="BE22" s="715"/>
      <c r="BF22" s="675"/>
    </row>
    <row r="23" spans="1:59" customHeight="1" ht="13.9">
      <c r="A23" s="485"/>
      <c r="B23" s="584"/>
      <c r="C23" s="69"/>
      <c r="D23" s="70"/>
      <c r="E23" s="76"/>
      <c r="F23" s="70"/>
      <c r="G23" s="76"/>
      <c r="H23" s="70"/>
      <c r="I23" s="76"/>
      <c r="J23" s="76"/>
      <c r="K23" s="70"/>
      <c r="L23" s="494"/>
      <c r="M23" s="494"/>
      <c r="N23" s="76"/>
      <c r="O23" s="76"/>
      <c r="P23" s="467"/>
      <c r="Q23" s="412"/>
      <c r="R23" s="410"/>
      <c r="S23" s="242"/>
      <c r="T23" s="401"/>
      <c r="U23" s="407"/>
      <c r="V23" s="249"/>
      <c r="W23" s="401"/>
      <c r="X23" s="278"/>
      <c r="Y23" s="78"/>
      <c r="Z23" s="403"/>
      <c r="AA23" s="281"/>
      <c r="AB23" s="79"/>
      <c r="AC23" s="85"/>
      <c r="AD23" s="55" t="str">
        <f>IF(B23="","",(((C23+F23+H23+K23+Q23+N23+O23)*50))+((E23*10))+(((I23+J23+D23+G23+L23+M23+U23)*25)+(X23*25)+(Y23*25)+(Z23*25)+(AA23*25)+(AB23*40)+(AC23*50)+(R23*1)+(S23*1)+(T23*1)))</f>
        <v/>
      </c>
      <c r="AE23" s="55" t="str">
        <f>IF(B23="","",C23+F23+H23+K23+Q23+N23+O23+((I23+J23+D23+G23+U23)/2)+(R23/50)+(S23/50)+(T23/50)+(E23/5))</f>
        <v/>
      </c>
      <c r="AF23" s="56" t="str">
        <f>IF(B23="","",((AE23*50)/AD23))</f>
        <v/>
      </c>
      <c r="AG23" s="57" t="str">
        <f>IF(C23="","",((Z23)*25)/AD23)</f>
        <v/>
      </c>
      <c r="AH23" s="57" t="str">
        <f>IF(B23="","",(X23*25)/AD23)</f>
        <v/>
      </c>
      <c r="AI23" s="57" t="str">
        <f>IF(B23="","",(Y23*25)/AD23)</f>
        <v/>
      </c>
      <c r="AJ23" s="57" t="str">
        <f>IF(B23="","",(AA23*25)/AD23)</f>
        <v/>
      </c>
      <c r="AK23" s="58" t="str">
        <f>IF(B23="","",(AB23*40)/AD23)</f>
        <v/>
      </c>
      <c r="AL23" s="58" t="str">
        <f>IF(B23="","",(AC23*50)/AD23)</f>
        <v/>
      </c>
      <c r="AM23" s="59" t="str">
        <f>IF(B23="","",B23)</f>
        <v/>
      </c>
      <c r="AN23" s="233"/>
      <c r="AO23" s="82"/>
      <c r="AP23" s="234"/>
      <c r="AQ23" s="63" t="str">
        <f>IF(AN23="","",AN23/AO23)</f>
        <v/>
      </c>
      <c r="AR23" s="64" t="str">
        <f>IF(AN23="","",(AD23/AN23)/1000)</f>
        <v/>
      </c>
      <c r="AS23" s="64" t="str">
        <f>IF(AN23="","",AR23*24)</f>
        <v/>
      </c>
      <c r="AT23" s="65" t="str">
        <f>IF(AN23="","",(AD23/1000)*100%/AS23)</f>
        <v/>
      </c>
      <c r="AU23" s="64" t="str">
        <f>IF(AN23="","",(AE23/AN23))</f>
        <v/>
      </c>
      <c r="AV23" s="229" t="str">
        <f>IF(AN23="","",(AD23/AO23)/1000)</f>
        <v/>
      </c>
      <c r="AW23" s="714"/>
      <c r="AX23" s="714"/>
      <c r="AY23" s="714"/>
      <c r="AZ23" s="715"/>
      <c r="BA23" s="714"/>
      <c r="BB23" s="715"/>
      <c r="BC23" s="715"/>
      <c r="BD23" s="715"/>
      <c r="BE23" s="715"/>
      <c r="BF23" s="675"/>
    </row>
    <row r="24" spans="1:59" customHeight="1" ht="13.9">
      <c r="A24" s="485"/>
      <c r="B24" s="584"/>
      <c r="C24" s="69"/>
      <c r="D24" s="70"/>
      <c r="E24" s="76"/>
      <c r="F24" s="70"/>
      <c r="G24" s="76"/>
      <c r="H24" s="70"/>
      <c r="I24" s="76"/>
      <c r="J24" s="76"/>
      <c r="K24" s="70"/>
      <c r="L24" s="494"/>
      <c r="M24" s="494"/>
      <c r="N24" s="76"/>
      <c r="O24" s="76"/>
      <c r="P24" s="467"/>
      <c r="Q24" s="412"/>
      <c r="R24" s="410"/>
      <c r="S24" s="242"/>
      <c r="T24" s="401"/>
      <c r="U24" s="407"/>
      <c r="V24" s="249"/>
      <c r="W24" s="401"/>
      <c r="X24" s="278"/>
      <c r="Y24" s="78"/>
      <c r="Z24" s="403"/>
      <c r="AA24" s="281"/>
      <c r="AB24" s="79"/>
      <c r="AC24" s="85"/>
      <c r="AD24" s="55"/>
      <c r="AE24" s="55" t="str">
        <f>IF(B24="","",C24+F24+H24+K24+Q24+N24+O24+((I24+J24+D24+G24+U24)/2)+(R24/50)+(S24/50)+(T24/50)+(E24/5))</f>
        <v/>
      </c>
      <c r="AF24" s="56" t="str">
        <f>IF(B24="","",((AE24*50)/AD24))</f>
        <v/>
      </c>
      <c r="AG24" s="57" t="str">
        <f>IF(C24="","",((Z24)*25)/AD24)</f>
        <v/>
      </c>
      <c r="AH24" s="57" t="str">
        <f>IF(B24="","",(X24*25)/AD24)</f>
        <v/>
      </c>
      <c r="AI24" s="57" t="str">
        <f>IF(B24="","",(Y24*25)/AD24)</f>
        <v/>
      </c>
      <c r="AJ24" s="57" t="str">
        <f>IF(B24="","",(AA24*25)/AD24)</f>
        <v/>
      </c>
      <c r="AK24" s="58" t="str">
        <f>IF(B24="","",(AB24*40)/AD24)</f>
        <v/>
      </c>
      <c r="AL24" s="58" t="str">
        <f>IF(B24="","",(AC24*50)/AD24)</f>
        <v/>
      </c>
      <c r="AM24" s="59" t="str">
        <f>IF(B24="","",B24)</f>
        <v/>
      </c>
      <c r="AN24" s="233"/>
      <c r="AO24" s="82"/>
      <c r="AP24" s="234"/>
      <c r="AQ24" s="63" t="str">
        <f>IF(AN24="","",AN24/AO24)</f>
        <v/>
      </c>
      <c r="AR24" s="64" t="str">
        <f>IF(AN24="","",(AD24/AN24)/1000)</f>
        <v/>
      </c>
      <c r="AS24" s="64" t="str">
        <f>IF(AN24="","",AR24*24)</f>
        <v/>
      </c>
      <c r="AT24" s="65" t="str">
        <f>IF(AN24="","",(AD24/1000)*100%/AS24)</f>
        <v/>
      </c>
      <c r="AU24" s="64" t="str">
        <f>IF(AN24="","",(AE24/AN24))</f>
        <v/>
      </c>
      <c r="AV24" s="229" t="str">
        <f>IF(AN24="","",(AD24/AO24)/1000)</f>
        <v/>
      </c>
      <c r="AW24" s="714"/>
      <c r="AX24" s="714"/>
      <c r="AY24" s="714"/>
      <c r="AZ24" s="715"/>
      <c r="BA24" s="714"/>
      <c r="BB24" s="715"/>
      <c r="BC24" s="715"/>
      <c r="BD24" s="715"/>
      <c r="BE24" s="715"/>
      <c r="BF24" s="675"/>
    </row>
    <row r="25" spans="1:59" customHeight="1" ht="13.9">
      <c r="A25" s="485" t="str">
        <f>IF(B25="","",1+A24)</f>
        <v/>
      </c>
      <c r="B25" s="584"/>
      <c r="C25" s="69"/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/>
      <c r="S25" s="242"/>
      <c r="T25" s="401"/>
      <c r="U25" s="407"/>
      <c r="V25" s="249"/>
      <c r="W25" s="401"/>
      <c r="X25" s="278"/>
      <c r="Y25" s="78"/>
      <c r="Z25" s="403"/>
      <c r="AA25" s="281"/>
      <c r="AB25" s="79"/>
      <c r="AC25" s="85"/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str">
        <f>IF(C25="","",((Z25)*25)/AD25)</f>
        <v/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229" t="str">
        <f>IF(AN25="","",(AD25/AO25)/1000)</f>
        <v/>
      </c>
      <c r="AW25" s="714"/>
      <c r="AX25" s="714"/>
      <c r="AY25" s="714"/>
      <c r="AZ25" s="715"/>
      <c r="BA25" s="714"/>
      <c r="BB25" s="715"/>
      <c r="BC25" s="715"/>
      <c r="BD25" s="715"/>
      <c r="BE25" s="715"/>
      <c r="BF25" s="675"/>
    </row>
    <row r="26" spans="1:59" customHeight="1" ht="13.9">
      <c r="A26" s="485"/>
      <c r="B26" s="584"/>
      <c r="C26" s="415"/>
      <c r="D26" s="70"/>
      <c r="E26" s="76"/>
      <c r="F26" s="70"/>
      <c r="G26" s="76"/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/>
      <c r="S26" s="242"/>
      <c r="T26" s="401"/>
      <c r="U26" s="407"/>
      <c r="V26" s="249"/>
      <c r="W26" s="401"/>
      <c r="X26" s="278"/>
      <c r="Y26" s="78"/>
      <c r="Z26" s="403"/>
      <c r="AA26" s="281"/>
      <c r="AB26" s="79"/>
      <c r="AC26" s="85"/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str">
        <f>IF(C26="","",((Z26)*25)/AD26)</f>
        <v/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492" t="str">
        <f>IF(AN26="","",(AD26/AO26)/1000)</f>
        <v/>
      </c>
      <c r="AW26" s="714"/>
      <c r="AX26" s="714"/>
      <c r="AY26" s="714"/>
      <c r="AZ26" s="715"/>
      <c r="BA26" s="714"/>
      <c r="BB26" s="715"/>
      <c r="BC26" s="715"/>
      <c r="BD26" s="715"/>
      <c r="BE26" s="715"/>
      <c r="BF26" s="675"/>
    </row>
    <row r="27" spans="1:59" customHeight="1" ht="13.9">
      <c r="A27" s="485"/>
      <c r="B27" s="584"/>
      <c r="C27" s="69"/>
      <c r="D27" s="70"/>
      <c r="E27" s="76"/>
      <c r="F27" s="70"/>
      <c r="G27" s="76"/>
      <c r="H27" s="70"/>
      <c r="I27" s="76"/>
      <c r="J27" s="76"/>
      <c r="K27" s="70"/>
      <c r="L27" s="494"/>
      <c r="M27" s="494"/>
      <c r="N27" s="76"/>
      <c r="O27" s="76"/>
      <c r="P27" s="467"/>
      <c r="Q27" s="412"/>
      <c r="R27" s="410"/>
      <c r="S27" s="242"/>
      <c r="T27" s="401"/>
      <c r="U27" s="407"/>
      <c r="V27" s="249"/>
      <c r="W27" s="401"/>
      <c r="X27" s="278"/>
      <c r="Y27" s="78"/>
      <c r="Z27" s="403"/>
      <c r="AA27" s="281"/>
      <c r="AB27" s="79"/>
      <c r="AC27" s="85"/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str">
        <f>IF(C27="","",((Z27)*25)/AD27)</f>
        <v/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15"/>
      <c r="BA27" s="714"/>
      <c r="BB27" s="715"/>
      <c r="BC27" s="715"/>
      <c r="BD27" s="715"/>
      <c r="BE27" s="715"/>
      <c r="BF27" s="675"/>
    </row>
    <row r="28" spans="1:59" customHeight="1" ht="13.9">
      <c r="A28" s="485"/>
      <c r="B28" s="584"/>
      <c r="C28" s="69"/>
      <c r="D28" s="70"/>
      <c r="E28" s="76"/>
      <c r="F28" s="70"/>
      <c r="G28" s="76"/>
      <c r="H28" s="70"/>
      <c r="I28" s="76"/>
      <c r="J28" s="76"/>
      <c r="K28" s="70"/>
      <c r="L28" s="494"/>
      <c r="M28" s="494"/>
      <c r="N28" s="76"/>
      <c r="O28" s="76"/>
      <c r="P28" s="467"/>
      <c r="Q28" s="412"/>
      <c r="R28" s="410"/>
      <c r="S28" s="242"/>
      <c r="T28" s="401"/>
      <c r="U28" s="407"/>
      <c r="V28" s="249"/>
      <c r="W28" s="401"/>
      <c r="X28" s="278"/>
      <c r="Y28" s="78"/>
      <c r="Z28" s="403"/>
      <c r="AA28" s="281"/>
      <c r="AB28" s="79"/>
      <c r="AC28" s="85"/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str">
        <f>IF(C28="","",((Z28)*25)/AD28)</f>
        <v/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15"/>
      <c r="BA28" s="714"/>
      <c r="BB28" s="715"/>
      <c r="BC28" s="715"/>
      <c r="BD28" s="715"/>
      <c r="BE28" s="715"/>
      <c r="BF28" s="675"/>
    </row>
    <row r="29" spans="1:59">
      <c r="A29" s="41"/>
      <c r="B29" s="584"/>
      <c r="C29" s="69"/>
      <c r="D29" s="70"/>
      <c r="E29" s="76"/>
      <c r="F29" s="70"/>
      <c r="G29" s="76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/>
      <c r="S29" s="242"/>
      <c r="T29" s="401"/>
      <c r="U29" s="407"/>
      <c r="V29" s="249"/>
      <c r="W29" s="401"/>
      <c r="X29" s="278"/>
      <c r="Y29" s="78"/>
      <c r="Z29" s="403"/>
      <c r="AA29" s="281"/>
      <c r="AB29" s="79"/>
      <c r="AC29" s="85"/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str">
        <f>IF(C29="","",((Z29)*25)/AD29)</f>
        <v/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15"/>
      <c r="BA29" s="714"/>
      <c r="BB29" s="715"/>
      <c r="BC29" s="715"/>
      <c r="BD29" s="715"/>
      <c r="BE29" s="715"/>
      <c r="BF29" s="675"/>
    </row>
    <row r="30" spans="1:59">
      <c r="A30" s="41"/>
      <c r="B30" s="584"/>
      <c r="C30" s="69"/>
      <c r="D30" s="70"/>
      <c r="E30" s="76"/>
      <c r="F30" s="70"/>
      <c r="G30" s="430"/>
      <c r="H30" s="70"/>
      <c r="I30" s="75"/>
      <c r="J30" s="75"/>
      <c r="K30" s="70"/>
      <c r="L30" s="494"/>
      <c r="M30" s="494"/>
      <c r="N30" s="76"/>
      <c r="O30" s="76"/>
      <c r="P30" s="467"/>
      <c r="Q30" s="412"/>
      <c r="R30" s="410"/>
      <c r="S30" s="242"/>
      <c r="T30" s="401"/>
      <c r="U30" s="407"/>
      <c r="V30" s="249"/>
      <c r="W30" s="401"/>
      <c r="X30" s="278"/>
      <c r="Y30" s="78"/>
      <c r="Z30" s="403"/>
      <c r="AA30" s="281"/>
      <c r="AB30" s="79"/>
      <c r="AC30" s="85"/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str">
        <f>IF(C30="","",((Z30)*25)/AD30)</f>
        <v/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233"/>
      <c r="AO30" s="82"/>
      <c r="AP30" s="234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15"/>
      <c r="BA30" s="714"/>
      <c r="BB30" s="715"/>
      <c r="BC30" s="715"/>
      <c r="BD30" s="715"/>
      <c r="BE30" s="715"/>
      <c r="BF30" s="675"/>
    </row>
    <row r="31" spans="1:59">
      <c r="A31" s="41" t="str">
        <f>IF(B31="","",1+A30)</f>
        <v/>
      </c>
      <c r="B31" s="584"/>
      <c r="C31" s="426"/>
      <c r="D31" s="427"/>
      <c r="E31" s="428"/>
      <c r="F31" s="460"/>
      <c r="G31" s="459"/>
      <c r="H31" s="427"/>
      <c r="I31" s="429"/>
      <c r="J31" s="429"/>
      <c r="K31" s="427"/>
      <c r="L31" s="495"/>
      <c r="M31" s="495"/>
      <c r="N31" s="430"/>
      <c r="O31" s="430"/>
      <c r="P31" s="468"/>
      <c r="Q31" s="431"/>
      <c r="R31" s="432"/>
      <c r="S31" s="433"/>
      <c r="T31" s="434"/>
      <c r="U31" s="435"/>
      <c r="V31" s="436"/>
      <c r="W31" s="434"/>
      <c r="X31" s="279"/>
      <c r="Y31" s="437"/>
      <c r="Z31" s="438"/>
      <c r="AA31" s="439"/>
      <c r="AB31" s="440"/>
      <c r="AC31" s="441"/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str">
        <f>IF(C31="","",((Z31)*25)/AD31)</f>
        <v/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15"/>
      <c r="BA31" s="714"/>
      <c r="BB31" s="715"/>
      <c r="BC31" s="715"/>
      <c r="BD31" s="715"/>
      <c r="BE31" s="715"/>
      <c r="BF31" s="675"/>
    </row>
    <row r="32" spans="1:59">
      <c r="A32" s="41" t="str">
        <f>IF(B32="","",1+A31)</f>
        <v/>
      </c>
      <c r="B32" s="584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/>
      <c r="S32" s="433"/>
      <c r="T32" s="434"/>
      <c r="U32" s="435"/>
      <c r="V32" s="436"/>
      <c r="W32" s="434"/>
      <c r="X32" s="279"/>
      <c r="Y32" s="437"/>
      <c r="Z32" s="438"/>
      <c r="AA32" s="439"/>
      <c r="AB32" s="440"/>
      <c r="AC32" s="441"/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15"/>
      <c r="BA32" s="714"/>
      <c r="BB32" s="715"/>
      <c r="BC32" s="715"/>
      <c r="BD32" s="715"/>
      <c r="BE32" s="715"/>
      <c r="BF32" s="675"/>
    </row>
    <row r="33" spans="1:59">
      <c r="A33" s="41" t="str">
        <f>IF(B33="","",1+A32)</f>
        <v/>
      </c>
      <c r="B33" s="584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15"/>
      <c r="BA33" s="714"/>
      <c r="BB33" s="715"/>
      <c r="BC33" s="715"/>
      <c r="BD33" s="715"/>
      <c r="BE33" s="715"/>
      <c r="BF33" s="675"/>
    </row>
    <row r="34" spans="1:59">
      <c r="A34" s="41" t="str">
        <f>IF(B34="","",1+A33)</f>
        <v/>
      </c>
      <c r="B34" s="584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714"/>
      <c r="AX34" s="714"/>
      <c r="AY34" s="714"/>
      <c r="AZ34" s="715"/>
      <c r="BA34" s="714"/>
      <c r="BB34" s="715"/>
      <c r="BC34" s="715"/>
      <c r="BD34" s="715"/>
      <c r="BE34" s="715"/>
      <c r="BF34" s="675"/>
    </row>
    <row r="35" spans="1:59">
      <c r="A35" s="41" t="str">
        <f>IF(B35="","",1+A34)</f>
        <v/>
      </c>
      <c r="B35" s="586"/>
      <c r="C35" s="426"/>
      <c r="D35" s="427"/>
      <c r="E35" s="428"/>
      <c r="F35" s="460"/>
      <c r="G35" s="428"/>
      <c r="H35" s="427"/>
      <c r="I35" s="429"/>
      <c r="J35" s="429"/>
      <c r="K35" s="427"/>
      <c r="L35" s="495"/>
      <c r="M35" s="495"/>
      <c r="N35" s="430"/>
      <c r="O35" s="430"/>
      <c r="P35" s="468"/>
      <c r="Q35" s="431"/>
      <c r="R35" s="432"/>
      <c r="S35" s="433"/>
      <c r="T35" s="434"/>
      <c r="U35" s="435"/>
      <c r="V35" s="436"/>
      <c r="W35" s="434"/>
      <c r="X35" s="279"/>
      <c r="Y35" s="437"/>
      <c r="Z35" s="438"/>
      <c r="AA35" s="439"/>
      <c r="AB35" s="440"/>
      <c r="AC35" s="441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3"/>
      <c r="AO35" s="444"/>
      <c r="AP35" s="445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2"/>
      <c r="AX35" s="452"/>
      <c r="AY35" s="452"/>
      <c r="AZ35" s="144"/>
      <c r="BA35" s="452"/>
      <c r="BB35" s="455"/>
      <c r="BC35" s="142"/>
      <c r="BD35" s="142"/>
      <c r="BE35" s="142"/>
      <c r="BF35" s="283"/>
    </row>
    <row r="36" spans="1:59">
      <c r="A36" s="41" t="str">
        <f>IF(B36="","",1+A35)</f>
        <v/>
      </c>
      <c r="B36" s="582"/>
      <c r="C36" s="96"/>
      <c r="D36" s="387"/>
      <c r="E36" s="250"/>
      <c r="F36" s="461"/>
      <c r="G36" s="100"/>
      <c r="H36" s="97"/>
      <c r="I36" s="101"/>
      <c r="J36" s="101"/>
      <c r="K36" s="97"/>
      <c r="L36" s="496"/>
      <c r="M36" s="496"/>
      <c r="N36" s="102"/>
      <c r="O36" s="102"/>
      <c r="P36" s="469"/>
      <c r="Q36" s="413"/>
      <c r="R36" s="411"/>
      <c r="S36" s="243"/>
      <c r="T36" s="402"/>
      <c r="U36" s="408"/>
      <c r="V36" s="250"/>
      <c r="W36" s="402"/>
      <c r="X36" s="400"/>
      <c r="Y36" s="104"/>
      <c r="Z36" s="404"/>
      <c r="AA36" s="282"/>
      <c r="AB36" s="105"/>
      <c r="AC36" s="106"/>
      <c r="AD36" s="55" t="str">
        <f>IF(B36="","",(((C36+F36+H36+K36+Q36+N36+O36)*50))+((E36*10))+(((I36+J36+D36+G36+L36+M36+U36)*25)+(X36*25)+(Y36*25)+(Z36*25)+(AA36*25)+(AB36*40)+(AC36*50)+(R36*1)+(S36*1)+(T36*1)))</f>
        <v/>
      </c>
      <c r="AE36" s="55" t="str">
        <f>IF(B36="","",C36+F36+H36+K36+Q36+N36+O36+((I36+J36+D36+G36+U36)/2)+(R36/50)+(S36/50)+(T36/50)+(E36/5))</f>
        <v/>
      </c>
      <c r="AF36" s="56" t="str">
        <f>IF(B36="","",((AE36*50)/AD36))</f>
        <v/>
      </c>
      <c r="AG36" s="57" t="str">
        <f>IF(C36="","",((Z36)*25)/AD36)</f>
        <v/>
      </c>
      <c r="AH36" s="57" t="str">
        <f>IF(B36="","",(X36*25)/AD36)</f>
        <v/>
      </c>
      <c r="AI36" s="57" t="str">
        <f>IF(B36="","",(Y36*25)/AD36)</f>
        <v/>
      </c>
      <c r="AJ36" s="57" t="str">
        <f>IF(B36="","",(AA36*25)/AD36)</f>
        <v/>
      </c>
      <c r="AK36" s="58" t="str">
        <f>IF(B36="","",(AB36*40)/AD36)</f>
        <v/>
      </c>
      <c r="AL36" s="58" t="str">
        <f>IF(B36="","",(AC36*50)/AD36)</f>
        <v/>
      </c>
      <c r="AM36" s="59" t="str">
        <f>IF(B36="","",B36)</f>
        <v/>
      </c>
      <c r="AN36" s="446"/>
      <c r="AO36" s="447"/>
      <c r="AP36" s="383"/>
      <c r="AQ36" s="63" t="str">
        <f>IF(AN36="","",AN36/AO36)</f>
        <v/>
      </c>
      <c r="AR36" s="64" t="str">
        <f>IF(AN36="","",(AD36/AN36)/1000)</f>
        <v/>
      </c>
      <c r="AS36" s="64" t="str">
        <f>IF(AN36="","",AR36*24)</f>
        <v/>
      </c>
      <c r="AT36" s="65" t="str">
        <f>IF(AN36="","",(AD36/1000)*100%/AS36)</f>
        <v/>
      </c>
      <c r="AU36" s="64" t="str">
        <f>IF(AN36="","",(AE36/AN36))</f>
        <v/>
      </c>
      <c r="AV36" s="229" t="str">
        <f>IF(AN36="","",(AD36/AO36)/1000)</f>
        <v/>
      </c>
      <c r="AW36" s="453"/>
      <c r="AX36" s="453"/>
      <c r="AY36" s="453"/>
      <c r="AZ36" s="454"/>
      <c r="BA36" s="453"/>
      <c r="BB36" s="456"/>
      <c r="BC36" s="457"/>
      <c r="BD36" s="457"/>
      <c r="BE36" s="457"/>
      <c r="BF36" s="458"/>
    </row>
    <row r="37" spans="1:59" customHeight="1" ht="13.9">
      <c r="A37" s="114"/>
      <c r="B37" s="115" t="s">
        <v>67</v>
      </c>
      <c r="C37" s="116">
        <f>SUM(C5:C11)</f>
        <v>3409</v>
      </c>
      <c r="D37" s="116">
        <f>SUM(D5:D11)</f>
        <v>1248</v>
      </c>
      <c r="E37" s="116">
        <f>SUM(E5:E11)</f>
        <v>0</v>
      </c>
      <c r="F37" s="116">
        <f>SUM(F5:F15)</f>
        <v>495</v>
      </c>
      <c r="G37" s="116">
        <f>SUM(G5:G15)</f>
        <v>182</v>
      </c>
      <c r="H37" s="116">
        <f>SUM(H5:H21)</f>
        <v>755</v>
      </c>
      <c r="I37" s="116">
        <f>SUM(I5:I11)</f>
        <v>1927</v>
      </c>
      <c r="J37" s="116">
        <f>SUM(J5:J11)</f>
        <v>80</v>
      </c>
      <c r="K37" s="116">
        <f>SUM(K5:K36)</f>
        <v>746</v>
      </c>
      <c r="L37" s="116">
        <f>SUM(L5:L36)</f>
        <v>0</v>
      </c>
      <c r="M37" s="116">
        <f>SUM(M5:M36)</f>
        <v>0</v>
      </c>
      <c r="N37" s="116">
        <f>SUM(N5:N36)</f>
        <v>0</v>
      </c>
      <c r="O37" s="116">
        <f>SUM(O5:O36)</f>
        <v>0</v>
      </c>
      <c r="P37" s="116">
        <f>SUM(P5:P36)</f>
        <v>0</v>
      </c>
      <c r="Q37" s="116">
        <f>SUM(Q5:Q36)</f>
        <v>265</v>
      </c>
      <c r="R37" s="116">
        <f>SUM(R5:R10)</f>
        <v>228268</v>
      </c>
      <c r="S37" s="116">
        <f>SUM(S5:S36)</f>
        <v>188722</v>
      </c>
      <c r="T37" s="116">
        <f>SUM(T5:T36)</f>
        <v>20640</v>
      </c>
      <c r="U37" s="116">
        <f>SUM(U5:U36)</f>
        <v>200</v>
      </c>
      <c r="V37" s="116">
        <f>SUM(V5:V36)</f>
        <v>0</v>
      </c>
      <c r="W37" s="116">
        <f>SUM(W5:W36)</f>
        <v>0</v>
      </c>
      <c r="X37" s="116">
        <f>SUM(X5:X36)</f>
        <v>15</v>
      </c>
      <c r="Y37" s="116">
        <f>SUM(Y5:Y36)</f>
        <v>85</v>
      </c>
      <c r="Z37" s="116">
        <f>+SUM(Z5:Z36)</f>
        <v>378</v>
      </c>
      <c r="AA37" s="116">
        <f>SUM(AA5:AA36)</f>
        <v>3075</v>
      </c>
      <c r="AB37" s="116">
        <f>SUM(AB5:AB36)</f>
        <v>6751</v>
      </c>
      <c r="AC37" s="116">
        <f>SUM(AC5:AC36)</f>
        <v>1865</v>
      </c>
      <c r="AD37" s="593">
        <f>SUM(AD5:AD36)</f>
        <v>1994942</v>
      </c>
      <c r="AE37" s="118">
        <f>SUM(AE5:AE36)</f>
        <v>30856.54000000000087</v>
      </c>
      <c r="AF37" s="119">
        <f>IF(AD45=0,"",(AE37*50)/AD37)</f>
        <v>0.7733693510889</v>
      </c>
      <c r="AG37" s="120">
        <f>IF(AD45=0,"",(Z37*50)/AD37)</f>
        <v>0.0094739596439395</v>
      </c>
      <c r="AH37" s="6">
        <f>IF(AD45=0,"",(X37*25)/AD37)</f>
        <v>0.0001879753897607</v>
      </c>
      <c r="AI37" s="119">
        <f>IF(AD45=0,"",(Y37*25)/AD37)</f>
        <v>0.0010651938753107</v>
      </c>
      <c r="AJ37" s="119">
        <f>IF(AD45=0,"",(AA37*25)/AD37)</f>
        <v>0.038534954900944</v>
      </c>
      <c r="AK37" s="119">
        <f>IF(AD45=0,"",(AB37*40)/AD37)</f>
        <v>0.13536233133595</v>
      </c>
      <c r="AL37" s="119">
        <f>IF(AD45=0,"",(AC37*50)/AD37)</f>
        <v>0.046743213587162</v>
      </c>
      <c r="AM37" s="115" t="s">
        <v>67</v>
      </c>
      <c r="AN37" s="121">
        <f>SUM(AN5:AN36)</f>
        <v>395.029999999999973</v>
      </c>
      <c r="AO37" s="121">
        <f>SUM(AO5:AO36)</f>
        <v>309.35000000000002</v>
      </c>
      <c r="AP37" s="121">
        <f>SUM(AP5:AP36)</f>
        <v>6.51</v>
      </c>
      <c r="AQ37" s="122">
        <f>IF(AN37=0,"",AN37/AO37)</f>
        <v>1.27696783578471</v>
      </c>
      <c r="AR37" s="122">
        <f>IF(AN37=0,"",(AD37/AN37)/1000)</f>
        <v>5.050102523858948</v>
      </c>
      <c r="AS37" s="121">
        <f>IF(AN37=0,"",AR37*24)</f>
        <v>121.20246057261475</v>
      </c>
      <c r="AT37" s="123">
        <f>IF(AN37=0,"",AD45/(AS37*26))</f>
        <v>0.6330608974359</v>
      </c>
      <c r="AU37" s="121">
        <f>IF(AN37=0,"",(AE37/AN37))</f>
        <v>78.11189023618461</v>
      </c>
      <c r="AV37" s="122">
        <f>IF(AO37=0,"",(AD37/AO37)/1000)</f>
        <v>6.44881849038306</v>
      </c>
      <c r="AW37" s="124">
        <f>SUM(AW5:AW36)/1000</f>
        <v>0</v>
      </c>
      <c r="AX37" s="124">
        <f>SUM(AX5:AX36)/1000</f>
        <v>2031.48800000000006</v>
      </c>
      <c r="AY37" s="124">
        <f>SUM(AY5:AY36)/1000</f>
        <v>1577.71199999999999</v>
      </c>
      <c r="AZ37" s="124">
        <f>SUM(AZ5)</f>
        <v>68862</v>
      </c>
      <c r="BA37" s="124">
        <f>SUM(BA5:BA36)</f>
        <v>1632</v>
      </c>
      <c r="BB37" s="124">
        <f>SUM(BB5:BB36)</f>
        <v>374982</v>
      </c>
      <c r="BC37" s="1">
        <f>SUM(BC5:BC36)/1000</f>
        <v>1540.19200000000001</v>
      </c>
      <c r="BD37" s="1">
        <f>SUM(BD5:BD36)/1000</f>
        <v>1.476</v>
      </c>
      <c r="BE37" s="1">
        <f>SUM(BE5:BE36)/1000</f>
        <v>431.952</v>
      </c>
      <c r="BF37" s="1">
        <f>SUM(BF5:BF36)/1000</f>
        <v>245.84800000000001</v>
      </c>
    </row>
    <row r="38" spans="1:59">
      <c r="A38" s="114"/>
      <c r="B38" s="115"/>
      <c r="C38" s="116">
        <f>+SUM(C12:C14)</f>
        <v>505</v>
      </c>
      <c r="D38" s="116">
        <f>+SUM(D12:D14)</f>
        <v>0</v>
      </c>
      <c r="E38" s="116">
        <f>+SUM(E12:E14)</f>
        <v>0</v>
      </c>
      <c r="F38" s="116">
        <f>SUM(F16:F21)</f>
        <v>773</v>
      </c>
      <c r="G38" s="116">
        <f>SUM(G16:G21)</f>
        <v>800</v>
      </c>
      <c r="H38" s="116"/>
      <c r="I38" s="116">
        <f>+SUM(I12:I35)</f>
        <v>826</v>
      </c>
      <c r="J38" s="116">
        <f>+SUM(J12:J35)</f>
        <v>120</v>
      </c>
      <c r="K38" s="116"/>
      <c r="L38" s="116"/>
      <c r="M38" s="116"/>
      <c r="N38" s="116"/>
      <c r="O38" s="116"/>
      <c r="P38" s="116"/>
      <c r="Q38" s="116"/>
      <c r="R38" s="116">
        <f>SUM(R11:R13)</f>
        <v>104288</v>
      </c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593"/>
      <c r="AE38" s="118"/>
      <c r="AF38" s="119"/>
      <c r="AG38" s="120"/>
      <c r="AH38" s="6"/>
      <c r="AI38" s="119"/>
      <c r="AJ38" s="119"/>
      <c r="AK38" s="119"/>
      <c r="AL38" s="119"/>
      <c r="AM38" s="115"/>
      <c r="AN38" s="121"/>
      <c r="AO38" s="121"/>
      <c r="AP38" s="121"/>
      <c r="AQ38" s="122"/>
      <c r="AR38" s="122"/>
      <c r="AS38" s="121"/>
      <c r="AT38" s="123"/>
      <c r="AU38" s="121"/>
      <c r="AV38" s="122"/>
      <c r="AW38" s="124"/>
      <c r="AX38" s="124"/>
      <c r="AY38" s="124"/>
      <c r="AZ38" s="124"/>
      <c r="BA38" s="124"/>
      <c r="BB38" s="124"/>
    </row>
    <row r="39" spans="1:59">
      <c r="A39" s="114"/>
      <c r="B39" s="115"/>
      <c r="C39" s="116">
        <f>+SUM(C15:C21)</f>
        <v>6275</v>
      </c>
      <c r="D39" s="116">
        <f>+SUM(D15:D21)</f>
        <v>0</v>
      </c>
      <c r="E39" s="116">
        <f>+SUM(E15:E21)</f>
        <v>0</v>
      </c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>
        <f>+SUM(R14)</f>
        <v>100080</v>
      </c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593"/>
      <c r="AE39" s="118"/>
      <c r="AF39" s="119"/>
      <c r="AG39" s="120"/>
      <c r="AH39" s="6"/>
      <c r="AI39" s="119"/>
      <c r="AJ39" s="119"/>
      <c r="AK39" s="119"/>
      <c r="AL39" s="119"/>
      <c r="AM39" s="115"/>
      <c r="AN39" s="121"/>
      <c r="AO39" s="121"/>
      <c r="AP39" s="121"/>
      <c r="AQ39" s="122"/>
      <c r="AR39" s="122"/>
      <c r="AS39" s="121"/>
      <c r="AT39" s="123"/>
      <c r="AU39" s="121"/>
      <c r="AV39" s="122"/>
      <c r="AW39" s="124"/>
      <c r="AX39" s="124"/>
      <c r="AY39" s="124"/>
      <c r="AZ39" s="124"/>
      <c r="BA39" s="124"/>
      <c r="BB39" s="124"/>
    </row>
    <row r="40" spans="1:59">
      <c r="A40" s="114"/>
      <c r="B40" s="115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>
        <f>+SUM(R15:R18)</f>
        <v>60880</v>
      </c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593"/>
      <c r="AE40" s="118"/>
      <c r="AF40" s="119"/>
      <c r="AG40" s="120"/>
      <c r="AH40" s="6"/>
      <c r="AI40" s="119"/>
      <c r="AJ40" s="119"/>
      <c r="AK40" s="119"/>
      <c r="AL40" s="119"/>
      <c r="AM40" s="115"/>
      <c r="AN40" s="121"/>
      <c r="AO40" s="121"/>
      <c r="AP40" s="121"/>
      <c r="AQ40" s="122"/>
      <c r="AR40" s="122"/>
      <c r="AS40" s="121"/>
      <c r="AT40" s="123"/>
      <c r="AU40" s="121"/>
      <c r="AV40" s="122"/>
      <c r="AW40" s="124"/>
      <c r="AX40" s="124"/>
      <c r="AY40" s="124"/>
      <c r="AZ40" s="124"/>
      <c r="BA40" s="124"/>
      <c r="BB40" s="124"/>
    </row>
    <row r="41" spans="1:59">
      <c r="A41" s="114"/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>
        <f>+SUM(R19:R35)</f>
        <v>44224</v>
      </c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593"/>
      <c r="AE41" s="118"/>
      <c r="AF41" s="119"/>
      <c r="AG41" s="120"/>
      <c r="AH41" s="6"/>
      <c r="AI41" s="119"/>
      <c r="AJ41" s="119"/>
      <c r="AK41" s="119"/>
      <c r="AL41" s="119"/>
      <c r="AM41" s="115"/>
      <c r="AN41" s="121"/>
      <c r="AO41" s="121"/>
      <c r="AP41" s="121"/>
      <c r="AQ41" s="122"/>
      <c r="AR41" s="122"/>
      <c r="AS41" s="121"/>
      <c r="AT41" s="123"/>
      <c r="AU41" s="121"/>
      <c r="AV41" s="122"/>
      <c r="AW41" s="124"/>
      <c r="AX41" s="124"/>
      <c r="AY41" s="124"/>
      <c r="AZ41" s="124"/>
      <c r="BA41" s="124"/>
      <c r="BB41" s="124"/>
    </row>
    <row r="42" spans="1:59">
      <c r="B42" s="115" t="s">
        <v>68</v>
      </c>
      <c r="C42" s="116">
        <f>IF(C37=0,"",AVERAGE(C5:C36))</f>
        <v>1018.89999999999998</v>
      </c>
      <c r="D42" s="116">
        <f>IF(D37=0,"",AVERAGE(D5:D36))</f>
        <v>624</v>
      </c>
      <c r="E42" s="116" t="str">
        <f>IF(E37=0,"",AVERAGE(E5:E36))</f>
        <v/>
      </c>
      <c r="F42" s="116">
        <f>IF(F37=0,"",AVERAGE(F5:F36))</f>
        <v>253.59999999999999</v>
      </c>
      <c r="G42" s="116">
        <f>IF(G37=0,"",AVERAGE(G5:G36))</f>
        <v>245.5</v>
      </c>
      <c r="H42" s="116">
        <f>IF(H37=0,"",AVERAGE(H5:H36))</f>
        <v>377.5</v>
      </c>
      <c r="I42" s="116">
        <f>IF(I37=0,"",AVERAGE(I5:I36))</f>
        <v>688.25</v>
      </c>
      <c r="J42" s="116">
        <f>IF(J37=0,"",AVERAGE(J5:J36))</f>
        <v>100</v>
      </c>
      <c r="K42" s="116">
        <f>IF(K37=0,"",AVERAGE(K5:K36))</f>
        <v>746</v>
      </c>
      <c r="L42" s="116"/>
      <c r="M42" s="116"/>
      <c r="N42" s="116" t="str">
        <f>IF(N37=0,"",AVERAGE(N5:N36))</f>
        <v/>
      </c>
      <c r="O42" s="116" t="str">
        <f>IF(O37=0,"",AVERAGE(O5:O36))</f>
        <v/>
      </c>
      <c r="P42" s="116" t="str">
        <f>IF(P37=0,"",AVERAGE(P5:P36))</f>
        <v/>
      </c>
      <c r="Q42" s="116">
        <f>IF(Q37=0,"",AVERAGE(Q5:Q36))</f>
        <v>132.5</v>
      </c>
      <c r="R42" s="116">
        <f>IF(R37=0,"",AVERAGE(R5:R36))</f>
        <v>48885.45454545454413</v>
      </c>
      <c r="S42" s="116">
        <f>IF(S37=0,"",AVERAGE(S5:S36))</f>
        <v>31453.66666666666788</v>
      </c>
      <c r="T42" s="116">
        <f>IF(T37=0,"",AVERAGE(T5:T36))</f>
        <v>20640</v>
      </c>
      <c r="U42" s="116">
        <f>IF(U37=0,"",AVERAGE(U5:U36))</f>
        <v>200</v>
      </c>
      <c r="V42" s="116" t="str">
        <f>IF(V37=0,"",AVERAGE(V5:V36))</f>
        <v/>
      </c>
      <c r="W42" s="116" t="str">
        <f>IF(W37=0,"",AVERAGE(W5:W36))</f>
        <v/>
      </c>
      <c r="X42" s="116">
        <f>IF(X37=0,"",AVERAGE(X5:X36))</f>
        <v>15</v>
      </c>
      <c r="Y42" s="116">
        <f>IF(Y37=0,"",AVERAGE(Y5:Y36))</f>
        <v>17</v>
      </c>
      <c r="Z42" s="116">
        <v>354</v>
      </c>
      <c r="AA42" s="116">
        <f>IF(AA37=0,"",AVERAGE(AA5:AA36))</f>
        <v>180.88235294117646</v>
      </c>
      <c r="AB42" s="116">
        <f>IF(AB37=0,"",AVERAGE(AB5:AB36))</f>
        <v>397.11764705882354</v>
      </c>
      <c r="AC42" s="116">
        <f>IF(AC37=0,"",AVERAGE(AC5:AC36))</f>
        <v>109.70588235294117</v>
      </c>
      <c r="AE42" s="7"/>
      <c r="AF42" s="119"/>
      <c r="AG42" s="119"/>
      <c r="AJ42" s="6"/>
      <c r="AK42" s="6"/>
      <c r="AL42" s="6"/>
      <c r="AM42" s="115" t="s">
        <v>68</v>
      </c>
      <c r="AN42" s="121">
        <f>IF(AN37=0,"",AVERAGE(AN5:AN36))</f>
        <v>23.23705882352941</v>
      </c>
      <c r="AO42" s="121">
        <f>IF(AO37=0,"",AVERAGE(AO5:AO36))</f>
        <v>18.19705882352941</v>
      </c>
      <c r="AP42" s="121">
        <f>IF(AP37=0,"",AVERAGE(AP5:AP36))</f>
        <v>0.38294117647059</v>
      </c>
      <c r="AQ42" s="122">
        <f>IF(AQ37="","",AVERAGE(AQ5:AQ36))</f>
        <v>1.32334791653312</v>
      </c>
      <c r="AR42" s="122">
        <f>IF(AR37="","",AVERAGE(AR5:AR36))</f>
        <v>5.057888098718578</v>
      </c>
      <c r="AS42" s="121">
        <f>IF(AS37="","",AVERAGE(AS5:AS36))</f>
        <v>121.38931436924589</v>
      </c>
      <c r="AT42" s="123">
        <f>IF(AT37="","",AVERAGE(AT5:AT36))</f>
        <v>0.96821078431373</v>
      </c>
      <c r="AU42" s="121">
        <f>IF(AU37="","",AVERAGE(AU5:AU36))</f>
        <v>78.22182168082219</v>
      </c>
      <c r="AV42" s="122">
        <f>IF(AV37="","",AVERAGE(AV5:AV36))</f>
        <v>6.65445973058286</v>
      </c>
      <c r="AW42" s="122"/>
      <c r="AX42" s="122"/>
      <c r="AY42" s="122"/>
      <c r="AZ42" s="122"/>
      <c r="BA42" s="122"/>
    </row>
    <row r="43" spans="1:59" customHeight="1" ht="23.85">
      <c r="B43" s="115" t="s">
        <v>69</v>
      </c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C43" s="125"/>
      <c r="AD43" s="697" t="s">
        <v>70</v>
      </c>
      <c r="AE43" s="697"/>
      <c r="AF43" s="6"/>
      <c r="AG43" s="119"/>
      <c r="AH43" s="6"/>
      <c r="AI43" s="6"/>
      <c r="AJ43" s="6"/>
      <c r="AK43" s="6"/>
      <c r="AL43" s="6"/>
      <c r="AM43" s="6"/>
      <c r="AN43" s="121"/>
      <c r="AO43" s="121"/>
      <c r="AP43" s="121"/>
      <c r="AQ43" s="121"/>
      <c r="AR43" s="116"/>
      <c r="AS43" s="123"/>
      <c r="AT43" s="123"/>
      <c r="AU43" s="121"/>
    </row>
    <row r="44" spans="1:59">
      <c r="B44" s="115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25"/>
      <c r="AE44" s="697" t="s">
        <v>71</v>
      </c>
      <c r="AF44" s="697"/>
      <c r="AG44" s="119"/>
      <c r="AH44" s="127"/>
      <c r="AI44" s="127"/>
      <c r="AJ44" s="6"/>
      <c r="AK44" s="6"/>
      <c r="AL44" s="6"/>
      <c r="AM44" s="6"/>
      <c r="AN44" s="121"/>
      <c r="AO44" s="121"/>
      <c r="AP44" s="121"/>
      <c r="AQ44" s="121"/>
      <c r="AR44" s="121"/>
      <c r="AS44" s="116"/>
      <c r="AT44" s="123"/>
      <c r="AU44" s="116"/>
      <c r="AV44" s="121"/>
    </row>
    <row r="45" spans="1:59">
      <c r="A45" s="137"/>
      <c r="B45" s="499" t="s">
        <v>67</v>
      </c>
      <c r="C45" s="476">
        <f>SUM(C5:C36)</f>
        <v>10189</v>
      </c>
      <c r="D45" s="476">
        <f>SUM(D5:D36)</f>
        <v>1248</v>
      </c>
      <c r="E45" s="476">
        <f>SUM(E5:E36)</f>
        <v>0</v>
      </c>
      <c r="F45" s="476">
        <f>SUM(F5:F36)</f>
        <v>1268</v>
      </c>
      <c r="G45" s="476">
        <f>SUM(G5:G36)</f>
        <v>982</v>
      </c>
      <c r="H45" s="476">
        <f>SUM(H5:H36)</f>
        <v>755</v>
      </c>
      <c r="I45" s="476">
        <f>SUM(I5:I36)</f>
        <v>2753</v>
      </c>
      <c r="J45" s="476">
        <f>SUM(J5:J36)</f>
        <v>200</v>
      </c>
      <c r="K45" s="476">
        <f>SUM(K5:K36)</f>
        <v>746</v>
      </c>
      <c r="L45" s="476">
        <f>SUM(L5:L36)</f>
        <v>0</v>
      </c>
      <c r="M45" s="476">
        <f>SUM(M5:M36)</f>
        <v>0</v>
      </c>
      <c r="N45" s="476">
        <f>SUM(N5:N36)</f>
        <v>0</v>
      </c>
      <c r="O45" s="476">
        <f>SUM(O5:O36)</f>
        <v>0</v>
      </c>
      <c r="P45" s="476">
        <f>SUM(P5:P36)</f>
        <v>0</v>
      </c>
      <c r="Q45" s="476">
        <f>SUM(Q5:Q36)</f>
        <v>265</v>
      </c>
      <c r="R45" s="476">
        <f>SUM(R5:R36)</f>
        <v>537740</v>
      </c>
      <c r="S45" s="476">
        <f>SUM(S5:S36)</f>
        <v>188722</v>
      </c>
      <c r="T45" s="476">
        <f>SUM(T5:T36)</f>
        <v>20640</v>
      </c>
      <c r="U45" s="476">
        <f>SUM(U5:U36)</f>
        <v>200</v>
      </c>
      <c r="V45" s="476">
        <f>SUM(V5:V36)</f>
        <v>0</v>
      </c>
      <c r="W45" s="476">
        <f>SUM(W5:W36)</f>
        <v>0</v>
      </c>
      <c r="X45" s="476">
        <f>SUM(X5:X36)</f>
        <v>15</v>
      </c>
      <c r="Y45" s="476">
        <f>SUM(Y5:Y36)</f>
        <v>85</v>
      </c>
      <c r="Z45" s="476">
        <f>SUM(Z5:Z36)</f>
        <v>378</v>
      </c>
      <c r="AA45" s="476">
        <f>SUM(AA5:AA36)</f>
        <v>3075</v>
      </c>
      <c r="AB45" s="476">
        <f>SUM(AB5:AB36)</f>
        <v>6751</v>
      </c>
      <c r="AC45" s="476">
        <f>SUM(AC5:AC36)</f>
        <v>1865</v>
      </c>
      <c r="AD45" s="534">
        <f>AD37/1000</f>
        <v>1994.94200000000001</v>
      </c>
      <c r="AE45" s="6"/>
      <c r="AF45" s="6"/>
      <c r="AG45" s="119"/>
      <c r="AH45" s="6"/>
      <c r="AI45" s="6"/>
      <c r="AJ45" s="6"/>
      <c r="AK45" s="6"/>
      <c r="AL45" s="115"/>
      <c r="AM45" s="115"/>
      <c r="AN45" s="121"/>
      <c r="AO45" s="121"/>
      <c r="AP45" s="121"/>
      <c r="AQ45" s="116"/>
      <c r="AR45" s="123"/>
      <c r="AS45" s="116"/>
      <c r="AT45" s="128"/>
    </row>
    <row r="46" spans="1:59">
      <c r="B46" s="115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4"/>
      <c r="AB46" s="7"/>
      <c r="AC46" s="6"/>
      <c r="AD46" s="6"/>
      <c r="AE46" s="115"/>
      <c r="AF46" s="121"/>
      <c r="AG46" s="129"/>
      <c r="AH46" s="121"/>
      <c r="AI46" s="121"/>
      <c r="AJ46" s="121"/>
      <c r="AK46" s="121"/>
      <c r="AL46" s="121"/>
      <c r="AM46" s="121"/>
      <c r="AN46" s="116"/>
      <c r="AO46" s="121"/>
    </row>
    <row r="47" spans="1:59">
      <c r="A47" s="130" t="s">
        <v>72</v>
      </c>
      <c r="B47" s="226"/>
      <c r="C47" s="131"/>
      <c r="D47" s="75"/>
      <c r="E47" s="75"/>
      <c r="F47" s="75"/>
      <c r="G47" s="75"/>
      <c r="H47" s="75"/>
      <c r="I47" s="72"/>
      <c r="J47" s="71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249"/>
      <c r="V47" s="71"/>
      <c r="W47" s="75"/>
      <c r="X47" s="79"/>
      <c r="Y47" s="79"/>
      <c r="Z47" s="79">
        <v>378</v>
      </c>
      <c r="AA47" s="79"/>
      <c r="AB47" s="79"/>
      <c r="AC47" s="85"/>
      <c r="AD47" s="55">
        <f>(Z47+AA47)*25.8</f>
        <v>9752.39999999999964</v>
      </c>
      <c r="AE47" s="55"/>
      <c r="AF47" s="56" t="str">
        <f>IF(B47="","",((AE47*25)/AD47))</f>
        <v/>
      </c>
      <c r="AG47" s="57" t="str">
        <f>IF(B47="","",((Z47)*25)/AD47)</f>
        <v/>
      </c>
      <c r="AH47" s="57" t="str">
        <f>IF(B47="","",(X47*25)/AD47)</f>
        <v/>
      </c>
      <c r="AI47" s="57" t="str">
        <f>IF(B47="","",(Y47*25)/AD47)</f>
        <v/>
      </c>
      <c r="AJ47" s="57" t="str">
        <f>IF(B47="","",(AA47*25)/AD47)</f>
        <v/>
      </c>
      <c r="AK47" s="58" t="str">
        <f>IF(B47="","",(AB47*40)/AD47)</f>
        <v/>
      </c>
      <c r="AL47" s="58" t="str">
        <f>IF(B47="","",(AC47*50)/AD47)</f>
        <v/>
      </c>
      <c r="AM47" s="59" t="str">
        <f>IF(B47="","",B47)</f>
        <v/>
      </c>
      <c r="AN47" s="81"/>
      <c r="AO47" s="94"/>
      <c r="AP47" s="83"/>
      <c r="AQ47" s="63" t="str">
        <f>IF(AN47="","",AN47/AO47)</f>
        <v/>
      </c>
      <c r="AR47" s="64" t="str">
        <f>IF(AN47="","",(AD47/AN47)/1000)</f>
        <v/>
      </c>
      <c r="AS47" s="64" t="str">
        <f>IF(AN47="","",AR47*24)</f>
        <v/>
      </c>
      <c r="AT47" s="65" t="str">
        <f>IF(AN47="","",(AD47/1000)*100%/AS47)</f>
        <v/>
      </c>
      <c r="AU47" s="64" t="str">
        <f>IF(AN47="","",(AE47/AN47))</f>
        <v/>
      </c>
      <c r="AV47" s="66" t="str">
        <f>IF(AN47="","",(AD47/AO47)/1000)</f>
        <v/>
      </c>
      <c r="AW47" s="389"/>
      <c r="AX47" s="390"/>
      <c r="AY47" s="390"/>
      <c r="AZ47" s="391"/>
      <c r="BA47" s="391"/>
      <c r="BB47" s="392"/>
      <c r="BC47" s="368"/>
      <c r="BD47" s="368"/>
      <c r="BE47" s="368"/>
      <c r="BF47" s="393"/>
    </row>
    <row r="48" spans="1:59">
      <c r="A48" s="130" t="s">
        <v>73</v>
      </c>
      <c r="B48" s="68"/>
      <c r="C48" s="131"/>
      <c r="D48" s="75"/>
      <c r="E48" s="75"/>
      <c r="F48" s="75"/>
      <c r="G48" s="75"/>
      <c r="H48" s="75"/>
      <c r="I48" s="72"/>
      <c r="J48" s="71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249"/>
      <c r="V48" s="71"/>
      <c r="W48" s="75"/>
      <c r="X48" s="79"/>
      <c r="Y48" s="79"/>
      <c r="Z48" s="79"/>
      <c r="AA48" s="79"/>
      <c r="AB48" s="79"/>
      <c r="AC48" s="85"/>
      <c r="AD48" s="55">
        <f>(Z48*25)+(AA48*25)+(AB48*40)+(AC48*50)</f>
        <v>0</v>
      </c>
      <c r="AE48" s="55" t="str">
        <f>IF(B48="","",C48+E48+G48+K48+N48+O48+Q48+R48+((D48+H48)/4)+((F48+I48+J48+T48+Z48)/2))</f>
        <v/>
      </c>
      <c r="AF48" s="56" t="str">
        <f>IF(B48="","",((AE48*50)/AD48))</f>
        <v/>
      </c>
      <c r="AG48" s="57" t="str">
        <f>IF(B48="","",((Z48)*25)/AD48)</f>
        <v/>
      </c>
      <c r="AH48" s="57" t="str">
        <f>IF(B48="","",(X48*25)/AD48)</f>
        <v/>
      </c>
      <c r="AI48" s="57" t="str">
        <f>IF(B48="","",(Y48*25)/AD48)</f>
        <v/>
      </c>
      <c r="AJ48" s="57" t="str">
        <f>IF(B48="","",(AA48*25)/AD48)</f>
        <v/>
      </c>
      <c r="AK48" s="58" t="str">
        <f>IF(B48="","",(AB48*40)/AD48)</f>
        <v/>
      </c>
      <c r="AL48" s="58" t="str">
        <f>IF(B48="","",(AC48*50)/AD48)</f>
        <v/>
      </c>
      <c r="AM48" s="59" t="str">
        <f>IF(B48="","",B48)</f>
        <v/>
      </c>
      <c r="AN48" s="81"/>
      <c r="AO48" s="94"/>
      <c r="AP48" s="83"/>
      <c r="AQ48" s="63" t="str">
        <f>IF(AN48="","",AN48/AO48)</f>
        <v/>
      </c>
      <c r="AR48" s="64" t="str">
        <f>IF(AN48="","",(AD48/AN48)/1000)</f>
        <v/>
      </c>
      <c r="AS48" s="64" t="str">
        <f>IF(AN48="","",AR48*24)</f>
        <v/>
      </c>
      <c r="AT48" s="65" t="str">
        <f>IF(AN48="","",(AD48/1000)*100%/AS48)</f>
        <v/>
      </c>
      <c r="AU48" s="64" t="str">
        <f>IF(AN48="","",(AE48/AN48))</f>
        <v/>
      </c>
      <c r="AV48" s="66" t="str">
        <f>IF(AN48="","",(AD48/AO48)/1000)</f>
        <v/>
      </c>
      <c r="AW48" s="394"/>
      <c r="AX48" s="92"/>
      <c r="AY48" s="92"/>
      <c r="AZ48" s="93"/>
      <c r="BA48" s="93"/>
      <c r="BB48" s="350"/>
      <c r="BC48" s="351"/>
      <c r="BD48" s="351"/>
      <c r="BE48" s="351"/>
      <c r="BF48" s="395"/>
    </row>
    <row r="49" spans="1:59">
      <c r="A49" s="130" t="s">
        <v>74</v>
      </c>
      <c r="B49" s="68"/>
      <c r="C49" s="131"/>
      <c r="D49" s="75"/>
      <c r="E49" s="75"/>
      <c r="F49" s="75"/>
      <c r="G49" s="75"/>
      <c r="H49" s="75"/>
      <c r="I49" s="72"/>
      <c r="J49" s="71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249"/>
      <c r="V49" s="71"/>
      <c r="W49" s="75"/>
      <c r="X49" s="79"/>
      <c r="Y49" s="79"/>
      <c r="Z49" s="79"/>
      <c r="AA49" s="79"/>
      <c r="AB49" s="79"/>
      <c r="AC49" s="85"/>
      <c r="AD49" s="55">
        <f>Z49*25</f>
        <v>0</v>
      </c>
      <c r="AE49" s="55" t="str">
        <f>IF(B49="","",C49+E49+G49+K49+N49+O49+Q49+R49+((D49+H49)/4)+((F49+I49+J49+T49)/2))</f>
        <v/>
      </c>
      <c r="AF49" s="56" t="str">
        <f>IF(B49="","",((AE49*50)/AD49))</f>
        <v/>
      </c>
      <c r="AG49" s="57" t="str">
        <f>IF(B49="","",((Z49)*25)/AD49)</f>
        <v/>
      </c>
      <c r="AH49" s="57" t="str">
        <f>IF(B49="","",(X49*25)/AD49)</f>
        <v/>
      </c>
      <c r="AI49" s="57" t="str">
        <f>IF(B49="","",(Y49*25)/AD49)</f>
        <v/>
      </c>
      <c r="AJ49" s="57" t="str">
        <f>IF(B49="","",(AA49*25)/AD49)</f>
        <v/>
      </c>
      <c r="AK49" s="58" t="str">
        <f>IF(B49="","",(AB49*40)/AD49)</f>
        <v/>
      </c>
      <c r="AL49" s="58" t="str">
        <f>IF(B49="","",(AC49*50)/AD49)</f>
        <v/>
      </c>
      <c r="AM49" s="59" t="str">
        <f>IF(B49="","",B49)</f>
        <v/>
      </c>
      <c r="AN49" s="81"/>
      <c r="AO49" s="94"/>
      <c r="AP49" s="83"/>
      <c r="AQ49" s="63" t="str">
        <f>IF(AN49="","",AN49/AO49)</f>
        <v/>
      </c>
      <c r="AR49" s="64" t="str">
        <f>IF(AN49="","",(AD49/AN49)/1000)</f>
        <v/>
      </c>
      <c r="AS49" s="64" t="str">
        <f>IF(AN49="","",AR49*24)</f>
        <v/>
      </c>
      <c r="AT49" s="65" t="str">
        <f>IF(AN49="","",(AD49/1000)*100%/AS49)</f>
        <v/>
      </c>
      <c r="AU49" s="64" t="str">
        <f>IF(AN49="","",(AE49/AN49))</f>
        <v/>
      </c>
      <c r="AV49" s="66" t="str">
        <f>IF(AN49="","",(AD49/AO49)/1000)</f>
        <v/>
      </c>
      <c r="AW49" s="394"/>
      <c r="AX49" s="92"/>
      <c r="AY49" s="92"/>
      <c r="AZ49" s="93"/>
      <c r="BA49" s="93"/>
      <c r="BB49" s="350"/>
      <c r="BC49" s="351"/>
      <c r="BD49" s="351"/>
      <c r="BE49" s="351"/>
      <c r="BF49" s="395"/>
    </row>
    <row r="50" spans="1:59">
      <c r="A50" s="130" t="s">
        <v>75</v>
      </c>
      <c r="B50" s="68"/>
      <c r="C50" s="131"/>
      <c r="D50" s="75"/>
      <c r="E50" s="75"/>
      <c r="F50" s="75"/>
      <c r="G50" s="75"/>
      <c r="H50" s="75"/>
      <c r="I50" s="72"/>
      <c r="J50" s="71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249"/>
      <c r="V50" s="71"/>
      <c r="W50" s="75"/>
      <c r="X50" s="79"/>
      <c r="Y50" s="79"/>
      <c r="Z50" s="595">
        <v>200</v>
      </c>
      <c r="AA50" s="79"/>
      <c r="AB50" s="79"/>
      <c r="AC50" s="85"/>
      <c r="AD50" s="55">
        <f>(Z50+AA50)*25.275</f>
        <v>5055</v>
      </c>
      <c r="AE50" s="55" t="str">
        <f>IF(B50="","",C50+E50+G50+K50+N50+O50+Q50+R50+((D50+H50)/4)+((F50+I50+J50+T50)/2))</f>
        <v/>
      </c>
      <c r="AF50" s="56" t="str">
        <f>IF(B50="","",((AE50*50)/AD50))</f>
        <v/>
      </c>
      <c r="AG50" s="57" t="str">
        <f>IF(B50="","",((Z50)*25)/AD50)</f>
        <v/>
      </c>
      <c r="AH50" s="57" t="str">
        <f>IF(B50="","",(X50*25)/AD50)</f>
        <v/>
      </c>
      <c r="AI50" s="57" t="str">
        <f>IF(B50="","",(Y50*25)/AD50)</f>
        <v/>
      </c>
      <c r="AJ50" s="57" t="str">
        <f>IF(B50="","",(AA50*25)/AD50)</f>
        <v/>
      </c>
      <c r="AK50" s="58" t="str">
        <f>IF(B50="","",(AB50*40)/AD50)</f>
        <v/>
      </c>
      <c r="AL50" s="58" t="str">
        <f>IF(B50="","",(AC50*50)/AD50)</f>
        <v/>
      </c>
      <c r="AM50" s="59" t="str">
        <f>IF(B50="","",B50)</f>
        <v/>
      </c>
      <c r="AN50" s="81"/>
      <c r="AO50" s="94"/>
      <c r="AP50" s="83"/>
      <c r="AQ50" s="63" t="str">
        <f>IF(AN50="","",AN50/AO50)</f>
        <v/>
      </c>
      <c r="AR50" s="64" t="str">
        <f>IF(AN50="","",(AD50/AN50)/1000)</f>
        <v/>
      </c>
      <c r="AS50" s="64" t="str">
        <f>IF(AN50="","",AR50*24)</f>
        <v/>
      </c>
      <c r="AT50" s="65" t="str">
        <f>IF(AN50="","",(AD50/1000)*100%/AS50)</f>
        <v/>
      </c>
      <c r="AU50" s="64" t="str">
        <f>IF(AN50="","",(AE50/AN50))</f>
        <v/>
      </c>
      <c r="AV50" s="66" t="str">
        <f>IF(AN50="","",(AD50/AO50)/1000)</f>
        <v/>
      </c>
      <c r="AW50" s="396"/>
      <c r="AX50" s="231"/>
      <c r="AY50" s="231"/>
      <c r="AZ50" s="232"/>
      <c r="BA50" s="232"/>
      <c r="BB50" s="397"/>
      <c r="BC50" s="398"/>
      <c r="BD50" s="398"/>
      <c r="BE50" s="398"/>
      <c r="BF50" s="399"/>
    </row>
    <row r="51" spans="1:59">
      <c r="B51" s="115"/>
      <c r="C51" s="116"/>
      <c r="D51" s="116"/>
      <c r="E51" s="116"/>
      <c r="F51" s="116"/>
      <c r="G51" s="116"/>
      <c r="H51" s="116"/>
      <c r="O51" s="116"/>
      <c r="P51" s="116"/>
      <c r="Q51" s="116"/>
      <c r="R51" s="116"/>
      <c r="S51" s="116"/>
      <c r="T51" s="116"/>
      <c r="U51" s="116"/>
      <c r="V51" s="116"/>
      <c r="W51" s="7"/>
      <c r="X51" s="7"/>
      <c r="AB51" s="6"/>
      <c r="AC51" s="6"/>
      <c r="AD51" s="55">
        <f>SUM(AD47:AD50)</f>
        <v>14807.39999999999964</v>
      </c>
      <c r="AE51" s="121"/>
      <c r="AF51" s="121"/>
      <c r="AG51" s="121"/>
      <c r="AH51" s="116"/>
      <c r="AI51" s="123"/>
      <c r="AJ51" s="123"/>
      <c r="AK51" s="116"/>
      <c r="AL51" s="121"/>
      <c r="AX51" s="1">
        <f>AX47/1000</f>
        <v>0</v>
      </c>
    </row>
    <row r="52" spans="1:59">
      <c r="B52" s="115"/>
      <c r="C52" s="116"/>
      <c r="D52" s="116"/>
      <c r="E52" s="116"/>
      <c r="F52" s="116"/>
      <c r="G52" s="116"/>
      <c r="H52" s="116"/>
      <c r="I52" s="116"/>
      <c r="Q52" s="116"/>
      <c r="R52" s="116"/>
      <c r="S52" s="116"/>
      <c r="T52" s="116"/>
      <c r="U52" s="116"/>
      <c r="V52" s="116"/>
      <c r="W52" s="116"/>
      <c r="X52" s="7"/>
      <c r="Y52" s="7"/>
      <c r="AC52" s="6"/>
      <c r="AD52" s="697" t="s">
        <v>70</v>
      </c>
      <c r="AE52" s="697"/>
      <c r="AF52" s="246" t="s">
        <v>71</v>
      </c>
      <c r="AG52" s="121"/>
      <c r="AH52" s="121"/>
      <c r="AI52" s="116"/>
      <c r="AJ52" s="123"/>
      <c r="AK52" s="123"/>
      <c r="AL52" s="116"/>
      <c r="AM52" s="121"/>
    </row>
    <row r="53" spans="1:59" customHeight="1" ht="13.9">
      <c r="B53" s="115"/>
      <c r="C53" s="116"/>
      <c r="D53" s="116"/>
      <c r="E53" s="116"/>
      <c r="F53" s="116"/>
      <c r="G53" s="116"/>
      <c r="H53" s="116"/>
      <c r="I53" s="117">
        <v>3.6</v>
      </c>
      <c r="J53" s="116"/>
      <c r="K53" s="516"/>
      <c r="L53" s="516"/>
      <c r="M53" s="516"/>
      <c r="N53" s="5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7"/>
      <c r="Z53" s="7"/>
      <c r="AD53" s="126">
        <f>AD51/1000</f>
        <v>14.8074</v>
      </c>
      <c r="AE53" s="246"/>
      <c r="AF53" s="597">
        <f>+AD53+AD37/1000</f>
        <v>2009.74939999999992</v>
      </c>
      <c r="AG53" s="121"/>
      <c r="AH53" s="121"/>
      <c r="AI53" s="121"/>
      <c r="AJ53" s="116"/>
      <c r="AK53" s="123"/>
      <c r="AL53" s="123"/>
      <c r="AM53" s="116"/>
      <c r="AN53" s="121"/>
    </row>
    <row r="54" spans="1:59" customHeight="1" ht="14.45">
      <c r="A54" s="676" t="s">
        <v>76</v>
      </c>
      <c r="B54" s="677"/>
      <c r="C54" s="678" t="s">
        <v>77</v>
      </c>
      <c r="D54" s="133"/>
      <c r="F54" s="655" t="s">
        <v>78</v>
      </c>
      <c r="G54" s="656"/>
      <c r="H54" s="657"/>
      <c r="I54" s="355" t="s">
        <v>79</v>
      </c>
      <c r="J54" s="136"/>
      <c r="K54" s="679" t="s">
        <v>80</v>
      </c>
      <c r="L54" s="679"/>
      <c r="M54" s="680"/>
      <c r="N54" s="515" t="s">
        <v>81</v>
      </c>
      <c r="O54" s="688" t="s">
        <v>82</v>
      </c>
      <c r="P54" s="689"/>
      <c r="Q54" s="690"/>
      <c r="R54" s="688" t="s">
        <v>83</v>
      </c>
      <c r="S54" s="689"/>
      <c r="T54" s="689"/>
      <c r="U54" s="690"/>
      <c r="V54" s="500" t="s">
        <v>84</v>
      </c>
      <c r="W54" s="488"/>
      <c r="X54" s="501"/>
      <c r="AB54" s="247"/>
      <c r="AE54" s="385"/>
      <c r="AG54" s="6"/>
      <c r="AH54" s="6"/>
      <c r="AI54" s="121"/>
      <c r="AJ54" s="121"/>
      <c r="AK54" s="116"/>
      <c r="AL54" s="123"/>
      <c r="AM54" s="123"/>
      <c r="AN54" s="116"/>
      <c r="AO54" s="121"/>
    </row>
    <row r="55" spans="1:59" customHeight="1" ht="15.6">
      <c r="A55" s="369" t="s">
        <v>85</v>
      </c>
      <c r="B55" s="482">
        <f>AD45+AD53</f>
        <v>2009.74939999999992</v>
      </c>
      <c r="C55" s="678"/>
      <c r="E55" s="137"/>
      <c r="F55" s="662" t="s">
        <v>86</v>
      </c>
      <c r="G55" s="663"/>
      <c r="H55" s="325">
        <f>IF(G58="",0,G61/G58)</f>
        <v>0</v>
      </c>
      <c r="I55" s="138">
        <f>IF(I58="",0,I61/I58)</f>
        <v>0</v>
      </c>
      <c r="J55" s="136"/>
      <c r="K55" s="681">
        <v>2753</v>
      </c>
      <c r="L55" s="681"/>
      <c r="M55" s="141">
        <f>IF(K55=0,"",+K55/$K$60)</f>
        <v>0.70753019789257</v>
      </c>
      <c r="N55" s="489">
        <v>1214</v>
      </c>
      <c r="O55" s="695">
        <v>1214</v>
      </c>
      <c r="P55" s="696"/>
      <c r="Q55" s="141">
        <f>+IF(O55=0,"",O55/$O$60)</f>
        <v>0.65198711063373</v>
      </c>
      <c r="R55" s="140" t="str">
        <f>D85</f>
        <v>CWRS</v>
      </c>
      <c r="S55" s="718">
        <f>+SUMPRODUCT(B87:B123,D87:D123)</f>
        <v>1434.22537813047097</v>
      </c>
      <c r="T55" s="718"/>
      <c r="U55" s="486">
        <f>+IF(S55=0,"",S55/$S$60)</f>
        <v>0.71364814143302</v>
      </c>
      <c r="V55" s="695">
        <f>+K55+O55-S55</f>
        <v>2532.77462186952926</v>
      </c>
      <c r="W55" s="696"/>
      <c r="X55" s="484">
        <f>+IF(V55=0,"",V55/$V$60)</f>
        <v>0.67661715119567</v>
      </c>
      <c r="AB55" s="157"/>
      <c r="AJ55" s="121"/>
      <c r="AK55" s="116"/>
      <c r="AL55" s="123"/>
      <c r="AM55" s="123"/>
      <c r="AN55" s="116"/>
      <c r="AO55" s="121"/>
    </row>
    <row r="56" spans="1:59" customHeight="1" ht="16.15">
      <c r="A56" s="326" t="s">
        <v>87</v>
      </c>
      <c r="B56" s="318">
        <f>AE37</f>
        <v>30856.54000000000087</v>
      </c>
      <c r="C56" s="377">
        <f>B55/(B65*120)</f>
        <v>1.046744479166667</v>
      </c>
      <c r="E56" s="137"/>
      <c r="F56" s="662" t="s">
        <v>88</v>
      </c>
      <c r="G56" s="663"/>
      <c r="H56" s="318">
        <f>IF(G58="",0,G58/B55)</f>
        <v>0</v>
      </c>
      <c r="I56" s="272"/>
      <c r="J56" s="136"/>
      <c r="K56" s="685">
        <v>0</v>
      </c>
      <c r="L56" s="685"/>
      <c r="M56" s="141" t="str">
        <f>IF(K56=0,"",+K56/$K$60)</f>
        <v/>
      </c>
      <c r="N56" s="489">
        <v>0</v>
      </c>
      <c r="O56" s="687">
        <v>0</v>
      </c>
      <c r="P56" s="681"/>
      <c r="Q56" s="141" t="str">
        <f>+IF(O56=0,"",O56/$O$60)</f>
        <v/>
      </c>
      <c r="R56" s="140" t="str">
        <f>IF(E85="","",E85)</f>
        <v>CPS</v>
      </c>
      <c r="S56" s="717">
        <f>SUMPRODUCT(B87:B123,E87:E123)</f>
        <v>0</v>
      </c>
      <c r="T56" s="717"/>
      <c r="U56" s="486" t="str">
        <f>+IF(S56=0,"",S56/$S$60)</f>
        <v/>
      </c>
      <c r="V56" s="695">
        <f>K56+O56-S56</f>
        <v>0</v>
      </c>
      <c r="W56" s="696"/>
      <c r="X56" s="141" t="str">
        <f>+IF(V56=0,"",V56/$V$60)</f>
        <v/>
      </c>
      <c r="AJ56" s="121"/>
      <c r="AK56" s="116"/>
      <c r="AL56" s="123"/>
      <c r="AM56" s="123"/>
      <c r="AN56" s="116"/>
      <c r="AO56" s="121"/>
    </row>
    <row r="57" spans="1:59" customHeight="1" ht="16.15">
      <c r="A57" s="326" t="s">
        <v>89</v>
      </c>
      <c r="B57" s="318">
        <f>(B56*50)/1000</f>
        <v>1542.827</v>
      </c>
      <c r="E57" s="120"/>
      <c r="F57" s="662" t="s">
        <v>90</v>
      </c>
      <c r="G57" s="663"/>
      <c r="H57" s="318">
        <f>IF(G58="",0,G58/((B56*50)/1000))</f>
        <v>0</v>
      </c>
      <c r="I57" s="272"/>
      <c r="J57" s="136"/>
      <c r="K57" s="685">
        <v>765</v>
      </c>
      <c r="L57" s="685"/>
      <c r="M57" s="141">
        <f>IF(K57=0,"",+K57/$K$60)</f>
        <v>0.19660755589823</v>
      </c>
      <c r="N57" s="489">
        <v>18</v>
      </c>
      <c r="O57" s="687">
        <v>18</v>
      </c>
      <c r="P57" s="681"/>
      <c r="Q57" s="141">
        <f>+IF(O57=0,"",O57/$O$60)</f>
        <v>0.0096670247046187</v>
      </c>
      <c r="R57" s="148" t="s">
        <v>91</v>
      </c>
      <c r="S57" s="717">
        <f>SUMPRODUCT(B87:B123,G87:G123)</f>
        <v>194.51603343243679</v>
      </c>
      <c r="T57" s="717"/>
      <c r="U57" s="486">
        <f>+IF(S57=0,"",S57/$S$60)</f>
        <v>0.096788139336183</v>
      </c>
      <c r="V57" s="695">
        <f>K57+O57-S57</f>
        <v>588.48396656756324</v>
      </c>
      <c r="W57" s="696"/>
      <c r="X57" s="141">
        <f>+IF(V57=0,"",V57/$V$60)</f>
        <v>0.15721033428918</v>
      </c>
      <c r="AJ57" s="121"/>
      <c r="AK57" s="116"/>
      <c r="AL57" s="123"/>
      <c r="AM57" s="123"/>
      <c r="AN57" s="116"/>
      <c r="AO57" s="121"/>
    </row>
    <row r="58" spans="1:59" customHeight="1" ht="16.15">
      <c r="A58" s="326" t="s">
        <v>92</v>
      </c>
      <c r="B58" s="580">
        <f>IF(AF37="",0,AF37)</f>
        <v>0.7733693510889</v>
      </c>
      <c r="E58" s="144"/>
      <c r="F58" s="326" t="s">
        <v>93</v>
      </c>
      <c r="G58" s="693"/>
      <c r="H58" s="694"/>
      <c r="I58" s="353"/>
      <c r="J58" s="136"/>
      <c r="K58" s="686">
        <v>373</v>
      </c>
      <c r="L58" s="686"/>
      <c r="M58" s="141">
        <f>IF(K58=0,"",+K58/$K$60)</f>
        <v>0.095862246209201</v>
      </c>
      <c r="N58" s="490">
        <v>630</v>
      </c>
      <c r="O58" s="687">
        <v>630</v>
      </c>
      <c r="P58" s="681"/>
      <c r="Q58" s="141">
        <f>+IF(O58=0,"",O58/$O$60)</f>
        <v>0.33834586466165</v>
      </c>
      <c r="R58" s="140" t="s">
        <v>94</v>
      </c>
      <c r="S58" s="717">
        <f>SUMPRODUCT(B87:B123,F87:F123)</f>
        <v>380.96798843709246</v>
      </c>
      <c r="T58" s="717"/>
      <c r="U58" s="486">
        <f>+IF(S58=0,"",S58/$S$60)</f>
        <v>0.1895637192308</v>
      </c>
      <c r="V58" s="695">
        <f>K58+O58-S58</f>
        <v>622.032011562907542</v>
      </c>
      <c r="W58" s="696"/>
      <c r="X58" s="141">
        <f>+IF(V58=0,"",V58/$V$60)</f>
        <v>0.16617251451515</v>
      </c>
      <c r="AG58" s="6"/>
      <c r="AH58" s="6"/>
      <c r="AI58" s="121"/>
      <c r="AJ58" s="121"/>
      <c r="AK58" s="116"/>
      <c r="AL58" s="123"/>
      <c r="AM58" s="123"/>
      <c r="AN58" s="116"/>
      <c r="AO58" s="121"/>
    </row>
    <row r="59" spans="1:59" customHeight="1" ht="16.15">
      <c r="A59" s="326" t="s">
        <v>95</v>
      </c>
      <c r="B59" s="319">
        <f>AN37</f>
        <v>395.029999999999973</v>
      </c>
      <c r="E59" s="146"/>
      <c r="F59" s="326" t="s">
        <v>96</v>
      </c>
      <c r="G59" s="682"/>
      <c r="H59" s="683"/>
      <c r="I59" s="684"/>
      <c r="J59" s="136"/>
      <c r="K59" s="686">
        <v>0</v>
      </c>
      <c r="L59" s="686"/>
      <c r="M59" s="141" t="str">
        <f>IF(K59=0,"",+K59/$K$60)</f>
        <v/>
      </c>
      <c r="N59" s="489"/>
      <c r="O59" s="691">
        <v>0</v>
      </c>
      <c r="P59" s="692"/>
      <c r="Q59" s="141" t="str">
        <f>+IF(O59=0,"",O59/$O$60)</f>
        <v/>
      </c>
      <c r="R59" s="480" t="s">
        <v>97</v>
      </c>
      <c r="S59" s="717">
        <f>IF(AD48="",0,AD48)</f>
        <v>0</v>
      </c>
      <c r="T59" s="717"/>
      <c r="U59" s="141" t="str">
        <f>+IF(S59=0,"",S59/$S$60)</f>
        <v/>
      </c>
      <c r="V59" s="695">
        <f>K59+O59-S59</f>
        <v>0</v>
      </c>
      <c r="W59" s="696"/>
      <c r="X59" s="141" t="str">
        <f>+IF(V59=0,"",V59/$V$60)</f>
        <v/>
      </c>
      <c r="AC59" s="598">
        <f>+S60-AF53</f>
        <v>-0.039999999999736</v>
      </c>
      <c r="AF59" s="6"/>
      <c r="AG59" s="6"/>
      <c r="AH59" s="6"/>
      <c r="AJ59" s="147"/>
      <c r="AK59" s="147"/>
      <c r="AL59" s="6"/>
      <c r="AM59" s="6"/>
      <c r="AN59" s="147"/>
      <c r="AO59" s="147"/>
    </row>
    <row r="60" spans="1:59" customHeight="1" ht="16.15">
      <c r="A60" s="326" t="s">
        <v>98</v>
      </c>
      <c r="B60" s="320">
        <f>IF(B55=0,0,AP37/AN37)</f>
        <v>0.016479761030808</v>
      </c>
      <c r="E60" s="146"/>
      <c r="F60" s="326" t="s">
        <v>99</v>
      </c>
      <c r="G60" s="660"/>
      <c r="H60" s="661"/>
      <c r="I60" s="149"/>
      <c r="J60" s="136"/>
      <c r="K60" s="671">
        <f>SUM(K55:K59)</f>
        <v>3891</v>
      </c>
      <c r="L60" s="670"/>
      <c r="M60" s="481"/>
      <c r="N60" s="487">
        <f>SUM(N55:N59)</f>
        <v>1862</v>
      </c>
      <c r="O60" s="671">
        <f>SUM(O55:O59)</f>
        <v>1862</v>
      </c>
      <c r="P60" s="670"/>
      <c r="Q60" s="481"/>
      <c r="R60" s="150"/>
      <c r="S60" s="670">
        <f>SUM(S55:T59)</f>
        <v>2009.70940000000019</v>
      </c>
      <c r="T60" s="670"/>
      <c r="U60" s="479"/>
      <c r="V60" s="671">
        <f>SUM(V55:V59)</f>
        <v>3743.29059999999981</v>
      </c>
      <c r="W60" s="670"/>
      <c r="X60" s="481"/>
      <c r="AH60" s="6"/>
      <c r="AJ60" s="147"/>
      <c r="AK60" s="147"/>
      <c r="AL60" s="6"/>
      <c r="AM60" s="6"/>
      <c r="AN60" s="147"/>
      <c r="AO60" s="147"/>
    </row>
    <row r="61" spans="1:59" customHeight="1" ht="14.45">
      <c r="A61" s="326" t="s">
        <v>100</v>
      </c>
      <c r="B61" s="321">
        <f>AT42</f>
        <v>0.96821078431373</v>
      </c>
      <c r="E61" s="146"/>
      <c r="F61" s="326" t="s">
        <v>101</v>
      </c>
      <c r="G61" s="672"/>
      <c r="H61" s="673"/>
      <c r="I61" s="153"/>
      <c r="K61" s="216"/>
      <c r="L61" s="216"/>
      <c r="M61" s="216"/>
      <c r="N61" s="216"/>
      <c r="O61" s="375"/>
      <c r="P61" s="517"/>
      <c r="Q61" s="517"/>
      <c r="AH61" s="6"/>
      <c r="AJ61" s="147"/>
      <c r="AK61" s="147"/>
      <c r="AL61" s="6"/>
      <c r="AM61" s="6"/>
      <c r="AN61" s="147"/>
      <c r="AO61" s="147"/>
    </row>
    <row r="62" spans="1:59" customHeight="1" ht="14.45">
      <c r="A62" s="326" t="s">
        <v>102</v>
      </c>
      <c r="B62" s="580">
        <f>+AT37</f>
        <v>0.6330608974359</v>
      </c>
      <c r="E62" s="137"/>
      <c r="F62" s="662" t="s">
        <v>103</v>
      </c>
      <c r="G62" s="663"/>
      <c r="H62" s="327">
        <v>60</v>
      </c>
      <c r="I62" s="155"/>
      <c r="K62" s="665" t="s">
        <v>104</v>
      </c>
      <c r="L62" s="666"/>
      <c r="M62" s="666"/>
      <c r="N62" s="666"/>
      <c r="O62" s="666"/>
      <c r="P62" s="518"/>
      <c r="Q62" s="246"/>
      <c r="X62" s="4"/>
      <c r="AD62" s="4"/>
      <c r="AH62" s="6"/>
      <c r="AJ62" s="147"/>
      <c r="AK62" s="147"/>
      <c r="AL62" s="6"/>
      <c r="AM62" s="6"/>
      <c r="AN62" s="147"/>
      <c r="AO62" s="147"/>
    </row>
    <row r="63" spans="1:59" customHeight="1" ht="14.45">
      <c r="A63" s="326" t="s">
        <v>105</v>
      </c>
      <c r="B63" s="322">
        <f>IF(AS37="",0,AS37)</f>
        <v>121.20246057261475</v>
      </c>
      <c r="E63" s="137"/>
      <c r="F63" s="326"/>
      <c r="G63" s="216"/>
      <c r="H63" s="323"/>
      <c r="K63" s="326" t="s">
        <v>106</v>
      </c>
      <c r="L63" s="216"/>
      <c r="M63" s="332">
        <f>AX37</f>
        <v>2031.48800000000006</v>
      </c>
      <c r="N63" s="332"/>
      <c r="O63" s="216" t="s">
        <v>107</v>
      </c>
      <c r="P63" s="140"/>
      <c r="S63" s="156"/>
      <c r="V63" s="142"/>
      <c r="X63" s="4"/>
      <c r="AB63" s="157"/>
      <c r="AD63" s="4"/>
      <c r="AH63" s="6"/>
      <c r="AJ63" s="147"/>
      <c r="AK63" s="147"/>
      <c r="AL63" s="6"/>
      <c r="AM63" s="6"/>
      <c r="AN63" s="147"/>
      <c r="AO63" s="147"/>
    </row>
    <row r="64" spans="1:59" customHeight="1" ht="14.45">
      <c r="A64" s="326" t="s">
        <v>108</v>
      </c>
      <c r="B64" s="322">
        <f>IF(AU37="",0,AU37)</f>
        <v>78.11189023618461</v>
      </c>
      <c r="E64" s="137"/>
      <c r="F64" s="328" t="s">
        <v>109</v>
      </c>
      <c r="G64" s="329">
        <v>12333</v>
      </c>
      <c r="H64" s="330" t="s">
        <v>110</v>
      </c>
      <c r="K64" s="326" t="s">
        <v>111</v>
      </c>
      <c r="L64" s="216"/>
      <c r="M64" s="332">
        <f>AY37</f>
        <v>1577.71199999999999</v>
      </c>
      <c r="N64" s="332"/>
      <c r="O64" s="323" t="s">
        <v>107</v>
      </c>
      <c r="S64" s="156"/>
      <c r="W64" s="156"/>
      <c r="AC64" s="247"/>
      <c r="AD64" s="157"/>
      <c r="AE64" s="157"/>
      <c r="AF64" s="157"/>
      <c r="AG64" s="6"/>
      <c r="AJ64" s="147"/>
      <c r="AK64" s="6"/>
      <c r="AL64" s="147"/>
      <c r="AM64" s="147"/>
      <c r="AN64" s="147"/>
    </row>
    <row r="65" spans="1:59" customHeight="1" ht="14.45">
      <c r="A65" s="326" t="s">
        <v>112</v>
      </c>
      <c r="B65" s="323">
        <f>31-COUNTBLANK(A5:A36)</f>
        <v>16</v>
      </c>
      <c r="F65" s="331" t="s">
        <v>113</v>
      </c>
      <c r="G65" s="664">
        <f>G64/(B55*1000)</f>
        <v>0.0061365859843023</v>
      </c>
      <c r="H65" s="664"/>
      <c r="I65" s="376"/>
      <c r="J65" s="136"/>
      <c r="K65" s="418" t="s">
        <v>92</v>
      </c>
      <c r="L65" s="483"/>
      <c r="M65" s="419">
        <f>M64/M63</f>
        <v>0.77662875685212</v>
      </c>
      <c r="N65" s="419"/>
      <c r="O65" s="420"/>
      <c r="S65" s="145"/>
      <c r="T65" s="665" t="s">
        <v>114</v>
      </c>
      <c r="U65" s="666"/>
      <c r="V65" s="667"/>
      <c r="X65" s="4"/>
      <c r="Y65" s="472" t="s">
        <v>115</v>
      </c>
      <c r="Z65" s="273" t="s">
        <v>116</v>
      </c>
      <c r="AA65" s="273">
        <v>900</v>
      </c>
      <c r="AB65" s="273" t="s">
        <v>117</v>
      </c>
      <c r="AC65" s="273">
        <v>7200</v>
      </c>
      <c r="AD65" s="273">
        <v>4200</v>
      </c>
      <c r="AE65" s="157"/>
      <c r="AF65" s="6"/>
      <c r="AI65" s="147"/>
      <c r="AJ65" s="6"/>
      <c r="AK65" s="147"/>
      <c r="AL65" s="147"/>
      <c r="AM65" s="147"/>
    </row>
    <row r="66" spans="1:59" customHeight="1" ht="14.45">
      <c r="A66" s="370" t="s">
        <v>118</v>
      </c>
      <c r="B66" s="324">
        <f>AD45+AD53</f>
        <v>2009.74939999999992</v>
      </c>
      <c r="G66" s="156" t="s">
        <v>119</v>
      </c>
      <c r="O66" s="4"/>
      <c r="P66" s="4"/>
      <c r="T66" s="354" t="s">
        <v>120</v>
      </c>
      <c r="U66" s="668"/>
      <c r="V66" s="669"/>
      <c r="X66" s="165" t="str">
        <f>C87</f>
        <v>Extrapan
 50</v>
      </c>
      <c r="Y66" s="531">
        <v>10</v>
      </c>
      <c r="Z66" s="531">
        <v>3</v>
      </c>
      <c r="AA66" s="531">
        <v>2.5</v>
      </c>
      <c r="AB66" s="531">
        <v>3</v>
      </c>
      <c r="AC66" s="531">
        <v>7</v>
      </c>
      <c r="AD66" s="531">
        <v>2</v>
      </c>
      <c r="AF66" s="147"/>
      <c r="AG66" s="147"/>
      <c r="AH66" s="6"/>
      <c r="AI66" s="6"/>
      <c r="AJ66" s="147"/>
      <c r="AK66" s="147"/>
      <c r="AL66" s="147"/>
    </row>
    <row r="67" spans="1:59" customHeight="1" ht="15">
      <c r="A67" s="259" t="s">
        <v>121</v>
      </c>
      <c r="B67" s="477">
        <f>B55/B72</f>
        <v>80.38997599999999</v>
      </c>
      <c r="E67" s="136"/>
      <c r="F67" s="655" t="s">
        <v>122</v>
      </c>
      <c r="G67" s="656"/>
      <c r="H67" s="657"/>
      <c r="K67" s="655" t="s">
        <v>123</v>
      </c>
      <c r="L67" s="656"/>
      <c r="M67" s="656"/>
      <c r="N67" s="656"/>
      <c r="O67" s="656"/>
      <c r="P67" s="519"/>
      <c r="Q67" s="133"/>
      <c r="R67" s="162"/>
      <c r="S67" s="162"/>
      <c r="T67" s="354" t="s">
        <v>124</v>
      </c>
      <c r="U67" s="658">
        <f>AZ5</f>
        <v>68862</v>
      </c>
      <c r="V67" s="659"/>
      <c r="W67" s="162"/>
      <c r="X67" s="165" t="str">
        <f>C91</f>
        <v>Extrapan
 25</v>
      </c>
      <c r="Y67" s="532">
        <f>+Y66/2</f>
        <v>5</v>
      </c>
      <c r="Z67" s="532">
        <f>+Z66/2</f>
        <v>1.5</v>
      </c>
      <c r="AA67" s="532">
        <f>+AA66/2</f>
        <v>1.25</v>
      </c>
      <c r="AB67" s="532">
        <f>+AB66/2</f>
        <v>1.5</v>
      </c>
      <c r="AC67" s="532">
        <f>+AC66/2</f>
        <v>3.5</v>
      </c>
      <c r="AD67" s="532">
        <f>+AD66/2</f>
        <v>1</v>
      </c>
      <c r="AF67" s="147"/>
      <c r="AG67" s="147"/>
      <c r="AH67" s="6"/>
      <c r="AI67" s="6"/>
      <c r="AJ67" s="147"/>
      <c r="AK67" s="147"/>
      <c r="AL67" s="147"/>
    </row>
    <row r="68" spans="1:59" customHeight="1" ht="15">
      <c r="A68" s="256" t="s">
        <v>125</v>
      </c>
      <c r="B68" s="502">
        <f>B80/B55</f>
        <v>31875.73286500297036</v>
      </c>
      <c r="F68" s="632" t="s">
        <v>126</v>
      </c>
      <c r="G68" s="633"/>
      <c r="H68" s="268">
        <v>20</v>
      </c>
      <c r="I68" s="140"/>
      <c r="J68" s="136"/>
      <c r="K68" s="1" t="s">
        <v>127</v>
      </c>
      <c r="O68" s="520">
        <f>+(R45+S45+T45)/1000</f>
        <v>747.10199999999998</v>
      </c>
      <c r="R68" s="162"/>
      <c r="S68" s="162"/>
      <c r="T68" s="162"/>
      <c r="U68" s="162"/>
      <c r="V68" s="162"/>
      <c r="W68" s="162"/>
      <c r="X68" s="165" t="str">
        <f>C95</f>
        <v>Extrapan
 10</v>
      </c>
      <c r="Y68" s="532">
        <f>+Y66/5</f>
        <v>2</v>
      </c>
      <c r="Z68" s="532">
        <f>+Z66/5</f>
        <v>0.6</v>
      </c>
      <c r="AA68" s="532">
        <f>+AA66/5</f>
        <v>0.5</v>
      </c>
      <c r="AB68" s="532">
        <f>+AB66/5</f>
        <v>0.6</v>
      </c>
      <c r="AC68" s="532">
        <f>+AC66/5</f>
        <v>1.4</v>
      </c>
      <c r="AD68" s="532">
        <f>+AD66/5</f>
        <v>0.4</v>
      </c>
      <c r="AF68" s="147"/>
      <c r="AG68" s="147"/>
      <c r="AH68" s="6"/>
      <c r="AI68" s="6"/>
      <c r="AJ68" s="147"/>
      <c r="AK68" s="147"/>
      <c r="AL68" s="147"/>
    </row>
    <row r="69" spans="1:59" customHeight="1" ht="15">
      <c r="A69" s="258" t="s">
        <v>128</v>
      </c>
      <c r="B69" s="503">
        <f>B81/B55</f>
        <v>3899.70610266135691</v>
      </c>
      <c r="F69" s="140" t="s">
        <v>129</v>
      </c>
      <c r="H69" s="474">
        <f>(H68*1)*2</f>
        <v>40</v>
      </c>
      <c r="I69" s="140"/>
      <c r="K69" s="140" t="s">
        <v>129</v>
      </c>
      <c r="O69" s="474">
        <v>40.18</v>
      </c>
      <c r="T69" s="634" t="s">
        <v>130</v>
      </c>
      <c r="U69" s="635"/>
      <c r="V69" s="636"/>
      <c r="X69" s="165" t="str">
        <f>C96</f>
        <v>Artesanal 
50</v>
      </c>
      <c r="Y69" s="531">
        <v>10</v>
      </c>
      <c r="Z69" s="531">
        <v>3</v>
      </c>
      <c r="AA69" s="531">
        <v>0</v>
      </c>
      <c r="AB69" s="531">
        <v>6</v>
      </c>
      <c r="AC69" s="531">
        <v>7</v>
      </c>
      <c r="AD69" s="531">
        <v>0</v>
      </c>
      <c r="AF69" s="147"/>
      <c r="AG69" s="147"/>
      <c r="AH69" s="6"/>
      <c r="AI69" s="6"/>
      <c r="AJ69" s="147"/>
      <c r="AK69" s="147"/>
      <c r="AL69" s="147"/>
    </row>
    <row r="70" spans="1:59" customHeight="1" ht="13.9">
      <c r="F70" s="637" t="s">
        <v>131</v>
      </c>
      <c r="G70" s="638"/>
      <c r="H70" s="639"/>
      <c r="I70" s="140"/>
      <c r="J70" s="136"/>
      <c r="K70" s="1" t="s">
        <v>132</v>
      </c>
      <c r="P70" s="140"/>
      <c r="T70" s="417" t="s">
        <v>133</v>
      </c>
      <c r="U70" s="643">
        <f>+BC37+BD37</f>
        <v>1541.66800000000012</v>
      </c>
      <c r="V70" s="644"/>
      <c r="X70" s="165" t="str">
        <f>C107</f>
        <v>Exclusiva 25</v>
      </c>
      <c r="Y70" s="531">
        <v>0</v>
      </c>
      <c r="Z70" s="531">
        <v>0</v>
      </c>
      <c r="AA70" s="531">
        <v>0</v>
      </c>
      <c r="AB70" s="531">
        <v>0</v>
      </c>
      <c r="AC70" s="531">
        <v>0</v>
      </c>
      <c r="AD70" s="531">
        <v>0</v>
      </c>
      <c r="AF70" s="147"/>
      <c r="AG70" s="147"/>
      <c r="AH70" s="6"/>
      <c r="AI70" s="6"/>
      <c r="AJ70" s="147"/>
      <c r="AK70" s="147"/>
      <c r="AL70" s="147"/>
    </row>
    <row r="71" spans="1:59" customHeight="1" ht="15">
      <c r="A71" s="371" t="s">
        <v>134</v>
      </c>
      <c r="B71" s="373"/>
      <c r="F71" s="630" t="s">
        <v>91</v>
      </c>
      <c r="G71" s="642"/>
      <c r="H71" s="270"/>
      <c r="I71" s="140"/>
      <c r="K71" s="159" t="s">
        <v>94</v>
      </c>
      <c r="L71" s="158"/>
      <c r="M71" s="158"/>
      <c r="N71" s="158"/>
      <c r="O71" s="478"/>
      <c r="P71" s="524"/>
      <c r="T71" s="417" t="s">
        <v>135</v>
      </c>
      <c r="U71" s="640">
        <f>+BF37</f>
        <v>245.84800000000001</v>
      </c>
      <c r="V71" s="641"/>
      <c r="X71" s="165" t="str">
        <f>C109</f>
        <v>Harina de alta proteina x 1
G</v>
      </c>
      <c r="Y71" s="532">
        <v>0</v>
      </c>
      <c r="Z71" s="532">
        <v>0</v>
      </c>
      <c r="AA71" s="532">
        <v>0</v>
      </c>
      <c r="AB71" s="532">
        <v>0</v>
      </c>
      <c r="AC71" s="532">
        <v>0</v>
      </c>
      <c r="AD71" s="532">
        <v>0</v>
      </c>
      <c r="AF71" s="147"/>
      <c r="AG71" s="147"/>
      <c r="AH71" s="147"/>
      <c r="AI71" s="147"/>
      <c r="AJ71" s="6"/>
      <c r="AK71" s="6"/>
      <c r="AL71" s="147"/>
      <c r="AM71" s="147"/>
    </row>
    <row r="72" spans="1:59" customHeight="1" ht="15">
      <c r="A72" s="255" t="s">
        <v>136</v>
      </c>
      <c r="B72" s="264">
        <v>25</v>
      </c>
      <c r="F72" s="140" t="s">
        <v>137</v>
      </c>
      <c r="G72" s="475">
        <v>50</v>
      </c>
      <c r="H72" s="267">
        <f>H69*G72</f>
        <v>2000</v>
      </c>
      <c r="K72" s="140" t="s">
        <v>137</v>
      </c>
      <c r="L72" s="475">
        <v>100</v>
      </c>
      <c r="M72" s="367">
        <f>(O69*L72)</f>
        <v>4018</v>
      </c>
      <c r="P72" s="524"/>
      <c r="Q72" s="521"/>
      <c r="T72" s="417" t="s">
        <v>94</v>
      </c>
      <c r="U72" s="647">
        <f>+BE37</f>
        <v>431.952</v>
      </c>
      <c r="V72" s="648"/>
      <c r="X72" s="165" t="s">
        <v>67</v>
      </c>
      <c r="Y72" s="533">
        <f>+SUM(Y66:Y71)</f>
        <v>27</v>
      </c>
      <c r="Z72" s="533">
        <f>+SUM(Z66:Z71)</f>
        <v>8.1</v>
      </c>
      <c r="AA72" s="533">
        <f>+SUM(AA66:AA71)</f>
        <v>4.25</v>
      </c>
      <c r="AB72" s="533">
        <f>+SUM(AB66:AB71)</f>
        <v>11.1</v>
      </c>
      <c r="AC72" s="533">
        <f>+SUM(AC66:AC71)</f>
        <v>18.9</v>
      </c>
      <c r="AD72" s="533">
        <f>+SUM(AD66:AD71)</f>
        <v>3.4</v>
      </c>
      <c r="AF72" s="147"/>
      <c r="AG72" s="147"/>
      <c r="AH72" s="6"/>
      <c r="AI72" s="6"/>
      <c r="AJ72" s="147"/>
      <c r="AK72" s="147"/>
      <c r="AL72" s="147"/>
    </row>
    <row r="73" spans="1:59" customHeight="1" ht="15">
      <c r="A73" s="255" t="s">
        <v>138</v>
      </c>
      <c r="B73" s="265">
        <v>28760</v>
      </c>
      <c r="F73" s="148" t="s">
        <v>139</v>
      </c>
      <c r="G73" s="649">
        <f>(G72*436*1.7321*0.96)/1000</f>
        <v>36.2493888</v>
      </c>
      <c r="H73" s="650">
        <f>(H72*436*1.7321*0.96)/1000</f>
        <v>1449.97555199999988</v>
      </c>
      <c r="K73" s="148" t="s">
        <v>139</v>
      </c>
      <c r="L73" s="271">
        <f>(L72*436*1.7321*0.96)/1000</f>
        <v>72.4987776</v>
      </c>
      <c r="M73" s="156"/>
      <c r="O73" s="525"/>
      <c r="P73" s="522"/>
      <c r="T73" s="354" t="s">
        <v>140</v>
      </c>
      <c r="U73" s="651">
        <v>0</v>
      </c>
      <c r="V73" s="652"/>
      <c r="X73" s="202" t="s">
        <v>141</v>
      </c>
      <c r="Y73" s="203"/>
      <c r="Z73" s="203"/>
      <c r="AA73" s="203"/>
      <c r="AB73" s="203"/>
      <c r="AC73" s="203"/>
      <c r="AF73" s="147"/>
      <c r="AG73" s="147"/>
      <c r="AH73" s="147"/>
      <c r="AI73" s="147"/>
      <c r="AJ73" s="6"/>
      <c r="AK73" s="6"/>
      <c r="AL73" s="147"/>
      <c r="AM73" s="147"/>
    </row>
    <row r="74" spans="1:59">
      <c r="A74" s="156" t="s">
        <v>142</v>
      </c>
      <c r="B74" s="424">
        <v>36087</v>
      </c>
      <c r="F74" s="140" t="s">
        <v>143</v>
      </c>
      <c r="G74" s="653">
        <f>G73*H68</f>
        <v>724.98777599999994</v>
      </c>
      <c r="H74" s="639"/>
      <c r="K74" s="140" t="s">
        <v>143</v>
      </c>
      <c r="M74" s="653">
        <f>L73*O69</f>
        <v>2913.00088396799992552</v>
      </c>
      <c r="N74" s="653"/>
      <c r="O74" s="654"/>
      <c r="X74" s="202"/>
      <c r="Y74" s="245"/>
      <c r="Z74" s="245"/>
      <c r="AA74" s="245"/>
      <c r="AB74" s="245"/>
      <c r="AC74" s="245"/>
      <c r="AE74" s="6"/>
      <c r="AG74" s="147"/>
      <c r="AH74" s="147"/>
      <c r="AI74" s="147"/>
      <c r="AJ74" s="147"/>
      <c r="AK74" s="6"/>
      <c r="AL74" s="6"/>
      <c r="AM74" s="147"/>
      <c r="AN74" s="147"/>
    </row>
    <row r="75" spans="1:59" customHeight="1" ht="14.45">
      <c r="A75" s="257" t="s">
        <v>144</v>
      </c>
      <c r="B75" s="266">
        <f>+B56/B73</f>
        <v>1.072897774687065</v>
      </c>
      <c r="F75" s="632" t="s">
        <v>86</v>
      </c>
      <c r="G75" s="633"/>
      <c r="H75" s="269">
        <f>G74*H55</f>
        <v>0</v>
      </c>
      <c r="K75" s="140" t="s">
        <v>86</v>
      </c>
      <c r="M75" s="352">
        <f>M74*H55</f>
        <v>0</v>
      </c>
      <c r="O75" s="136"/>
      <c r="P75" s="523"/>
      <c r="Q75" s="523"/>
      <c r="T75" s="374" t="s">
        <v>145</v>
      </c>
      <c r="U75" s="374"/>
      <c r="V75" s="374"/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9" customHeight="1" ht="22.5">
      <c r="A76" s="257" t="s">
        <v>146</v>
      </c>
      <c r="B76" s="266">
        <f>+B56/B74</f>
        <v>0.85505971679552</v>
      </c>
      <c r="F76" s="159"/>
      <c r="G76" s="158"/>
      <c r="H76" s="151"/>
      <c r="K76" s="159"/>
      <c r="L76" s="158"/>
      <c r="M76" s="158"/>
      <c r="N76" s="158"/>
      <c r="O76" s="151"/>
      <c r="T76" s="253" t="s">
        <v>147</v>
      </c>
      <c r="U76" s="254"/>
      <c r="V76" s="645">
        <f>AP37*(U76+U77)</f>
        <v>0</v>
      </c>
      <c r="Y76" s="156" t="s">
        <v>148</v>
      </c>
      <c r="Z76" s="1" t="s">
        <v>149</v>
      </c>
      <c r="AA76" s="1" t="s">
        <v>150</v>
      </c>
      <c r="AE76" s="6"/>
      <c r="AG76" s="6"/>
      <c r="AI76" s="147"/>
      <c r="AJ76" s="147"/>
      <c r="AK76" s="147"/>
      <c r="AL76" s="147"/>
      <c r="AM76" s="147"/>
      <c r="AN76" s="6"/>
      <c r="AO76" s="147"/>
      <c r="AP76" s="147"/>
    </row>
    <row r="77" spans="1:59">
      <c r="T77" s="253" t="s">
        <v>151</v>
      </c>
      <c r="U77" s="254"/>
      <c r="V77" s="646"/>
      <c r="Y77" s="209" t="s">
        <v>152</v>
      </c>
      <c r="Z77" s="7">
        <v>12.5</v>
      </c>
      <c r="AA77" s="7">
        <v>13.5</v>
      </c>
      <c r="AB77" s="7"/>
      <c r="AC77" s="1" t="s">
        <v>152</v>
      </c>
      <c r="AE77" s="6"/>
      <c r="AG77" s="6"/>
      <c r="AI77" s="147"/>
      <c r="AJ77" s="147"/>
      <c r="AK77" s="147"/>
      <c r="AL77" s="147"/>
      <c r="AM77" s="147"/>
      <c r="AN77" s="6"/>
      <c r="AO77" s="147"/>
      <c r="AP77" s="147"/>
    </row>
    <row r="78" spans="1:59" customHeight="1" ht="13.9">
      <c r="Y78" s="209" t="s">
        <v>67</v>
      </c>
      <c r="Z78" s="212">
        <f>SUM(A87+A90+A91+A94+A96+A99+A101+A105+A107+A109+A110+A115+A112+A117+A120+A122+A116+A88+A89+A97+A95+A98+A103+A104+A111+A113+A118)*Z77</f>
        <v>304407.5</v>
      </c>
      <c r="AA78" s="212">
        <f>(A102+A106)*AA77</f>
        <v>23078.25</v>
      </c>
      <c r="AB78" s="240"/>
      <c r="AC78" s="156" t="s">
        <v>153</v>
      </c>
      <c r="AE78" s="6"/>
      <c r="AG78" s="6"/>
      <c r="AI78" s="147"/>
      <c r="AJ78" s="147"/>
      <c r="AK78" s="147"/>
      <c r="AL78" s="147"/>
      <c r="AM78" s="147"/>
      <c r="AN78" s="6"/>
      <c r="AO78" s="147"/>
      <c r="AP78" s="147"/>
    </row>
    <row r="79" spans="1:59" customHeight="1" ht="15">
      <c r="A79" s="371" t="s">
        <v>154</v>
      </c>
      <c r="B79" s="372"/>
      <c r="C79" s="140"/>
      <c r="Y79" s="202" t="s">
        <v>141</v>
      </c>
      <c r="Z79" s="142"/>
      <c r="AA79" s="142"/>
      <c r="AB79" s="142"/>
      <c r="AC79" s="156" t="s">
        <v>153</v>
      </c>
      <c r="AE79" s="206"/>
      <c r="AG79" s="6"/>
      <c r="AI79" s="147"/>
      <c r="AJ79" s="147"/>
      <c r="AK79" s="147"/>
      <c r="AL79" s="147"/>
      <c r="AM79" s="147"/>
      <c r="AN79" s="6"/>
      <c r="AO79" s="147"/>
      <c r="AP79" s="147"/>
    </row>
    <row r="80" spans="1:59" customHeight="1" ht="14.45">
      <c r="A80" s="260" t="s">
        <v>155</v>
      </c>
      <c r="B80" s="262">
        <v>64062235</v>
      </c>
      <c r="X80" s="169"/>
      <c r="AE80" s="206"/>
      <c r="AG80" s="6"/>
      <c r="AI80" s="147"/>
      <c r="AJ80" s="147"/>
      <c r="AK80" s="147"/>
      <c r="AL80" s="147"/>
      <c r="AM80" s="147"/>
      <c r="AN80" s="6"/>
      <c r="AO80" s="147"/>
      <c r="AP80" s="147"/>
    </row>
    <row r="81" spans="1:59" customHeight="1" ht="14.45">
      <c r="A81" s="261" t="s">
        <v>156</v>
      </c>
      <c r="B81" s="263">
        <v>7837432</v>
      </c>
      <c r="X81" s="169"/>
      <c r="AK81" s="147"/>
      <c r="AL81" s="147"/>
      <c r="AM81" s="147"/>
      <c r="AN81" s="6"/>
      <c r="AO81" s="147"/>
      <c r="AP81" s="147"/>
    </row>
    <row r="82" spans="1:59">
      <c r="AE82" s="6"/>
      <c r="AK82" s="147"/>
      <c r="AL82" s="147"/>
      <c r="AM82" s="147"/>
      <c r="AN82" s="6"/>
      <c r="AO82" s="147"/>
      <c r="AP82" s="147"/>
      <c r="AQ82" s="147"/>
      <c r="AR82" s="147"/>
    </row>
    <row r="83" spans="1:59">
      <c r="AE83" s="6"/>
      <c r="AK83" s="147"/>
      <c r="AL83" s="147"/>
      <c r="AM83" s="147"/>
      <c r="AN83" s="6"/>
      <c r="AO83" s="147"/>
      <c r="AP83" s="147"/>
      <c r="AQ83" s="147"/>
      <c r="AR83" s="147"/>
    </row>
    <row r="84" spans="1:59">
      <c r="N84" s="4"/>
      <c r="Z84" s="213"/>
      <c r="AA84" s="213"/>
      <c r="AB84" s="213"/>
      <c r="AC84" s="213"/>
      <c r="AD84" s="213"/>
      <c r="AE84" s="6"/>
      <c r="AK84" s="147"/>
      <c r="AL84" s="147"/>
      <c r="AM84" s="147"/>
      <c r="AN84" s="6"/>
      <c r="AO84" s="147"/>
      <c r="AP84" s="147"/>
      <c r="AQ84" s="147"/>
      <c r="AR84" s="147"/>
    </row>
    <row r="85" spans="1:59" customHeight="1" ht="16.35">
      <c r="A85" s="170"/>
      <c r="C85" s="171"/>
      <c r="D85" s="423" t="s">
        <v>157</v>
      </c>
      <c r="E85" s="423" t="s">
        <v>158</v>
      </c>
      <c r="F85" s="423" t="s">
        <v>94</v>
      </c>
      <c r="G85" s="423" t="s">
        <v>91</v>
      </c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9" customHeight="1" ht="16.35">
      <c r="A86" s="356" t="s">
        <v>45</v>
      </c>
      <c r="B86" s="472" t="s">
        <v>159</v>
      </c>
      <c r="C86" s="176" t="s">
        <v>160</v>
      </c>
      <c r="D86" s="178" t="s">
        <v>161</v>
      </c>
      <c r="E86" s="178" t="s">
        <v>161</v>
      </c>
      <c r="F86" s="178" t="s">
        <v>161</v>
      </c>
      <c r="G86" s="178" t="s">
        <v>161</v>
      </c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9" customHeight="1" ht="16.35">
      <c r="A87" s="139">
        <f>C37</f>
        <v>3409</v>
      </c>
      <c r="B87" s="139">
        <f>IF(A87=0,0,A87*50/$B$58)/1000</f>
        <v>220.39921773471687</v>
      </c>
      <c r="C87" s="180" t="s">
        <v>16</v>
      </c>
      <c r="D87" s="587">
        <v>0.85</v>
      </c>
      <c r="E87" s="571">
        <v>0</v>
      </c>
      <c r="F87" s="571">
        <v>0.05</v>
      </c>
      <c r="G87" s="588">
        <v>0.1</v>
      </c>
      <c r="H87" s="152">
        <f>+SUM(D87:G87)</f>
        <v>1</v>
      </c>
      <c r="I87" s="638"/>
      <c r="J87" s="638"/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9" customHeight="1" ht="16.35">
      <c r="A88" s="139">
        <f>+C38</f>
        <v>505</v>
      </c>
      <c r="B88" s="139">
        <f>IF(A88=0,0,A88*50/$B$58)/1000</f>
        <v>32.64934143620769</v>
      </c>
      <c r="C88" s="180" t="s">
        <v>16</v>
      </c>
      <c r="D88" s="573">
        <v>0.85</v>
      </c>
      <c r="E88" s="186">
        <v>0</v>
      </c>
      <c r="F88" s="186">
        <v>0</v>
      </c>
      <c r="G88" s="589">
        <v>0.15</v>
      </c>
      <c r="H88" s="152">
        <f>+SUM(D88:G88)</f>
        <v>1</v>
      </c>
      <c r="I88" s="716">
        <v>46041</v>
      </c>
      <c r="J88" s="638"/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9" customHeight="1" ht="16.35">
      <c r="A89" s="139">
        <f>C39</f>
        <v>6275</v>
      </c>
      <c r="B89" s="139">
        <f>IF(A89=0,0,A89*50/$B$58)/1000</f>
        <v>405.69231190535299</v>
      </c>
      <c r="C89" s="180" t="s">
        <v>16</v>
      </c>
      <c r="D89" s="577">
        <v>0.8</v>
      </c>
      <c r="E89" s="578">
        <v>0</v>
      </c>
      <c r="F89" s="578">
        <v>0</v>
      </c>
      <c r="G89" s="590">
        <v>0.2</v>
      </c>
      <c r="H89" s="152">
        <f>+SUM(D89:G89)</f>
        <v>1</v>
      </c>
      <c r="I89" s="716">
        <v>46050</v>
      </c>
      <c r="J89" s="638"/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9" customHeight="1" ht="16.35">
      <c r="A90" s="139">
        <f>D37/2</f>
        <v>624</v>
      </c>
      <c r="B90" s="139">
        <f>IF(A90=0,0,A90*50/$B$58)/1000</f>
        <v>40.34294862612594</v>
      </c>
      <c r="C90" s="180" t="s">
        <v>162</v>
      </c>
      <c r="D90" s="587">
        <v>0.85</v>
      </c>
      <c r="E90" s="571">
        <v>0</v>
      </c>
      <c r="F90" s="571">
        <v>0.05</v>
      </c>
      <c r="G90" s="588">
        <v>0.1</v>
      </c>
      <c r="H90" s="152">
        <f>+SUM(D90:G90)</f>
        <v>1</v>
      </c>
      <c r="I90" s="638"/>
      <c r="J90" s="638"/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9" customHeight="1" ht="16.35">
      <c r="A91" s="139">
        <f>D38/2</f>
        <v>0</v>
      </c>
      <c r="B91" s="139">
        <f>IF(A91=0,0,A91*50/$B$58)/1000</f>
        <v>0</v>
      </c>
      <c r="C91" s="180" t="s">
        <v>162</v>
      </c>
      <c r="D91" s="573">
        <v>0.85</v>
      </c>
      <c r="E91" s="186">
        <v>0</v>
      </c>
      <c r="F91" s="186">
        <v>0</v>
      </c>
      <c r="G91" s="589">
        <v>0.15</v>
      </c>
      <c r="H91" s="152">
        <f>+SUM(D91:G91)</f>
        <v>1</v>
      </c>
      <c r="I91" s="716">
        <v>46041</v>
      </c>
      <c r="J91" s="638"/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9" customHeight="1" ht="16.35">
      <c r="A92" s="139">
        <f>D39/2</f>
        <v>0</v>
      </c>
      <c r="B92" s="139">
        <f>IF(A92=0,0,A92*50/$B$58)/1000</f>
        <v>0</v>
      </c>
      <c r="C92" s="180" t="s">
        <v>162</v>
      </c>
      <c r="D92" s="577">
        <v>0.8</v>
      </c>
      <c r="E92" s="578">
        <v>0</v>
      </c>
      <c r="F92" s="578">
        <v>0</v>
      </c>
      <c r="G92" s="590">
        <v>0.2</v>
      </c>
      <c r="H92" s="152">
        <f>+SUM(D92:G92)</f>
        <v>1</v>
      </c>
      <c r="I92" s="716">
        <v>46050</v>
      </c>
      <c r="J92" s="638"/>
      <c r="Z92" s="213"/>
      <c r="AA92" s="213"/>
      <c r="AB92" s="213"/>
      <c r="AC92" s="213"/>
      <c r="AD92" s="213"/>
      <c r="AE92" s="6"/>
      <c r="AK92" s="147"/>
      <c r="AL92" s="147"/>
      <c r="AM92" s="147"/>
    </row>
    <row r="93" spans="1:59" customHeight="1" ht="16.35">
      <c r="A93" s="139">
        <f>+E37/5</f>
        <v>0</v>
      </c>
      <c r="B93" s="139">
        <f>IF(A93=0,0,A93*50/$B$58)/1000</f>
        <v>0</v>
      </c>
      <c r="C93" s="180" t="s">
        <v>163</v>
      </c>
      <c r="D93" s="587">
        <v>0.85</v>
      </c>
      <c r="E93" s="571">
        <v>0</v>
      </c>
      <c r="F93" s="571">
        <v>0.05</v>
      </c>
      <c r="G93" s="588">
        <v>0.1</v>
      </c>
      <c r="H93" s="152">
        <f>+SUM(D93:G93)</f>
        <v>1</v>
      </c>
      <c r="I93" s="638"/>
      <c r="J93" s="638"/>
      <c r="Z93" s="213"/>
      <c r="AA93" s="213"/>
      <c r="AB93" s="213"/>
      <c r="AC93" s="213"/>
      <c r="AD93" s="213"/>
      <c r="AE93" s="6"/>
      <c r="AK93" s="147"/>
      <c r="AL93" s="147"/>
      <c r="AM93" s="147"/>
    </row>
    <row r="94" spans="1:59" customHeight="1" ht="16.35">
      <c r="A94" s="139">
        <f>E38/5</f>
        <v>0</v>
      </c>
      <c r="B94" s="139">
        <f>IF(A94=0,0,A94*50/$B$58)/1000</f>
        <v>0</v>
      </c>
      <c r="C94" s="180" t="s">
        <v>163</v>
      </c>
      <c r="D94" s="573">
        <v>0.85</v>
      </c>
      <c r="E94" s="186">
        <v>0</v>
      </c>
      <c r="F94" s="186">
        <v>0</v>
      </c>
      <c r="G94" s="589">
        <v>0.15</v>
      </c>
      <c r="H94" s="152">
        <f>+SUM(D94:G94)</f>
        <v>1</v>
      </c>
      <c r="I94" s="716">
        <v>46041</v>
      </c>
      <c r="J94" s="638"/>
      <c r="Z94" s="213"/>
      <c r="AA94" s="213"/>
      <c r="AB94" s="213"/>
      <c r="AC94" s="213"/>
      <c r="AD94" s="213"/>
      <c r="AE94" s="6"/>
      <c r="AK94" s="147"/>
      <c r="AL94" s="147"/>
      <c r="AM94" s="147"/>
    </row>
    <row r="95" spans="1:59" customHeight="1" ht="16.35">
      <c r="A95" s="139">
        <f>E39/5</f>
        <v>0</v>
      </c>
      <c r="B95" s="139">
        <f>IF(A95=0,0,A95*50/$B$58)/1000</f>
        <v>0</v>
      </c>
      <c r="C95" s="189" t="s">
        <v>163</v>
      </c>
      <c r="D95" s="577">
        <v>0.8</v>
      </c>
      <c r="E95" s="578">
        <v>0</v>
      </c>
      <c r="F95" s="578">
        <v>0</v>
      </c>
      <c r="G95" s="590">
        <v>0.2</v>
      </c>
      <c r="H95" s="152">
        <f>+SUM(D95:G95)</f>
        <v>1</v>
      </c>
      <c r="I95" s="716">
        <v>46050</v>
      </c>
      <c r="J95" s="638"/>
      <c r="Z95" s="213"/>
      <c r="AA95" s="213"/>
      <c r="AB95" s="213"/>
      <c r="AC95" s="213"/>
      <c r="AD95" s="213"/>
      <c r="AE95" s="6"/>
      <c r="AK95" s="147"/>
      <c r="AL95" s="147"/>
      <c r="AM95" s="147"/>
    </row>
    <row r="96" spans="1:59" customHeight="1" ht="16.35">
      <c r="A96" s="139">
        <f>F37</f>
        <v>495</v>
      </c>
      <c r="B96" s="139">
        <f>IF(A96=0,0,A96*50/$B$58)/1000</f>
        <v>32.0028198236095207</v>
      </c>
      <c r="C96" s="189" t="str">
        <f>F4</f>
        <v>Artesanal 
50</v>
      </c>
      <c r="D96" s="573">
        <v>0.75</v>
      </c>
      <c r="E96" s="186">
        <v>0</v>
      </c>
      <c r="F96" s="186">
        <v>0.25</v>
      </c>
      <c r="G96" s="576">
        <v>0</v>
      </c>
      <c r="H96" s="152">
        <f>+SUM(D96:G96)</f>
        <v>1</v>
      </c>
      <c r="I96" s="624">
        <v>46028</v>
      </c>
      <c r="J96" s="625"/>
      <c r="Z96" s="6"/>
      <c r="AA96" s="6"/>
      <c r="AB96" s="6"/>
      <c r="AC96" s="6"/>
      <c r="AD96" s="6"/>
      <c r="AE96" s="6"/>
      <c r="AK96" s="147"/>
      <c r="AL96" s="147"/>
      <c r="AM96" s="147"/>
    </row>
    <row r="97" spans="1:59" customHeight="1" ht="16.35">
      <c r="A97" s="139">
        <f>F38</f>
        <v>773</v>
      </c>
      <c r="B97" s="139">
        <f>IF(A97=0,0,A97*50/$B$58)/1000</f>
        <v>49.97612065383871</v>
      </c>
      <c r="C97" s="568" t="s">
        <v>19</v>
      </c>
      <c r="D97" s="573">
        <v>0.52</v>
      </c>
      <c r="E97" s="186">
        <v>0</v>
      </c>
      <c r="F97" s="186">
        <v>0.25</v>
      </c>
      <c r="G97" s="576">
        <v>0.23</v>
      </c>
      <c r="H97" s="152">
        <f>+SUM(D97:G97)</f>
        <v>1</v>
      </c>
      <c r="I97" s="624">
        <v>46043</v>
      </c>
      <c r="J97" s="625"/>
      <c r="Y97" s="213"/>
      <c r="Z97" s="6"/>
      <c r="AA97" s="6"/>
      <c r="AB97" s="6"/>
      <c r="AC97" s="6"/>
      <c r="AD97" s="6"/>
      <c r="AE97" s="6"/>
      <c r="AK97" s="147"/>
      <c r="AL97" s="147"/>
      <c r="AM97" s="147"/>
    </row>
    <row r="98" spans="1:59" customHeight="1" ht="16.35">
      <c r="A98" s="139">
        <f>G37/2</f>
        <v>91</v>
      </c>
      <c r="B98" s="139">
        <f>IF(A98=0,0,A98*50/$B$58)/1000</f>
        <v>5.88334667464337</v>
      </c>
      <c r="C98" s="568" t="s">
        <v>164</v>
      </c>
      <c r="D98" s="573">
        <v>0.75</v>
      </c>
      <c r="E98" s="186">
        <v>0</v>
      </c>
      <c r="F98" s="186">
        <v>0.25</v>
      </c>
      <c r="G98" s="576">
        <v>0</v>
      </c>
      <c r="H98" s="152">
        <v>1</v>
      </c>
      <c r="I98" s="624">
        <v>46028</v>
      </c>
      <c r="J98" s="625"/>
      <c r="Y98" s="213"/>
      <c r="Z98" s="6"/>
      <c r="AA98" s="6"/>
      <c r="AB98" s="6"/>
      <c r="AC98" s="6"/>
      <c r="AD98" s="6"/>
      <c r="AE98" s="6"/>
      <c r="AK98" s="147"/>
      <c r="AL98" s="147"/>
      <c r="AM98" s="147"/>
    </row>
    <row r="99" spans="1:59" customHeight="1" ht="16.35">
      <c r="A99" s="139">
        <f>G38/2</f>
        <v>400</v>
      </c>
      <c r="B99" s="139">
        <f>IF(A99=0,0,A99*50/$B$58)/1000</f>
        <v>25.86086450392688</v>
      </c>
      <c r="C99" s="568" t="s">
        <v>164</v>
      </c>
      <c r="D99" s="573">
        <v>0.52</v>
      </c>
      <c r="E99" s="186">
        <v>0</v>
      </c>
      <c r="F99" s="186">
        <v>0.25</v>
      </c>
      <c r="G99" s="576">
        <v>0.23</v>
      </c>
      <c r="H99" s="152">
        <v>1</v>
      </c>
      <c r="I99" s="624">
        <v>46043</v>
      </c>
      <c r="J99" s="625"/>
      <c r="V99" s="124"/>
      <c r="W99" s="124"/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9" customHeight="1" ht="16.35">
      <c r="A100" s="139">
        <f>+H37</f>
        <v>755</v>
      </c>
      <c r="B100" s="139">
        <f>IF(A100=0,0,A100*50/$B$58)/1000</f>
        <v>48.81238175116199</v>
      </c>
      <c r="C100" s="180" t="str">
        <f>H4</f>
        <v>Natural 
50</v>
      </c>
      <c r="D100" s="573">
        <v>0.63</v>
      </c>
      <c r="E100" s="186">
        <v>0</v>
      </c>
      <c r="F100" s="186">
        <v>0.23</v>
      </c>
      <c r="G100" s="576">
        <v>0.14</v>
      </c>
      <c r="H100" s="152">
        <f>+SUM(D100:G100)</f>
        <v>1</v>
      </c>
      <c r="V100" s="245"/>
      <c r="W100" s="245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9" customHeight="1" ht="16.15">
      <c r="A101" s="139"/>
      <c r="B101" s="139">
        <f>IF(A101=0,0,A101*50/$B$58)/1000</f>
        <v>0</v>
      </c>
      <c r="C101" s="548"/>
      <c r="D101" s="200"/>
      <c r="E101" s="200"/>
      <c r="F101" s="201"/>
      <c r="G101" s="201"/>
      <c r="H101" s="152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9" customHeight="1" ht="16.35">
      <c r="A102" s="139">
        <f>I37/2</f>
        <v>963.5</v>
      </c>
      <c r="B102" s="139">
        <f>IF(A102=0,0,A102*50/$B$58)/1000</f>
        <v>62.29235737383388</v>
      </c>
      <c r="C102" s="379" t="str">
        <f>I4</f>
        <v>Fuerte
25</v>
      </c>
      <c r="D102" s="463">
        <v>0.75</v>
      </c>
      <c r="E102" s="182">
        <v>0</v>
      </c>
      <c r="F102" s="182">
        <v>0.25</v>
      </c>
      <c r="G102" s="506">
        <v>0</v>
      </c>
      <c r="H102" s="152">
        <f>+SUM(D102:G102)</f>
        <v>1</v>
      </c>
      <c r="I102" s="628">
        <v>46027</v>
      </c>
      <c r="J102" s="629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9" customHeight="1" ht="16.35">
      <c r="A103" s="139">
        <f>J37/2</f>
        <v>40</v>
      </c>
      <c r="B103" s="139">
        <f>IF(A103=0,0,A103*50/$B$58)/1000</f>
        <v>2.58608645039269</v>
      </c>
      <c r="C103" s="448" t="str">
        <f>J4</f>
        <v>Fuerte exp
25</v>
      </c>
      <c r="D103" s="463">
        <v>0.75</v>
      </c>
      <c r="E103" s="182">
        <v>0</v>
      </c>
      <c r="F103" s="182">
        <v>0.25</v>
      </c>
      <c r="G103" s="506">
        <v>0</v>
      </c>
      <c r="H103" s="152">
        <f>+SUM(D103:G103)</f>
        <v>1</v>
      </c>
      <c r="I103" s="630"/>
      <c r="J103" s="631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9" customHeight="1" ht="16.35">
      <c r="A104" s="139">
        <f>I38/2</f>
        <v>413</v>
      </c>
      <c r="B104" s="139">
        <f>IF(A104=0,0,A104*50/$B$58)/1000</f>
        <v>26.70134260030451</v>
      </c>
      <c r="C104" s="379" t="s">
        <v>22</v>
      </c>
      <c r="D104" s="463">
        <v>0.52</v>
      </c>
      <c r="E104" s="182">
        <v>0</v>
      </c>
      <c r="F104" s="182">
        <v>0.23</v>
      </c>
      <c r="G104" s="506">
        <v>0.25</v>
      </c>
      <c r="H104" s="152">
        <f>+SUM(D104:G104)</f>
        <v>1</v>
      </c>
      <c r="I104" s="628">
        <v>46035</v>
      </c>
      <c r="J104" s="629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9" customHeight="1" ht="16.35">
      <c r="A105" s="139">
        <f>J38/2</f>
        <v>60</v>
      </c>
      <c r="B105" s="139">
        <f>IF(A105=0,0,A105*50/$B$58)/1000</f>
        <v>3.87912967558903</v>
      </c>
      <c r="C105" s="448" t="s">
        <v>23</v>
      </c>
      <c r="D105" s="463">
        <v>0.52</v>
      </c>
      <c r="E105" s="182">
        <v>0</v>
      </c>
      <c r="F105" s="182">
        <v>0.23</v>
      </c>
      <c r="G105" s="506">
        <v>0.25</v>
      </c>
      <c r="H105" s="152">
        <f>+SUM(D105:G105)</f>
        <v>1</v>
      </c>
      <c r="I105" s="630"/>
      <c r="J105" s="631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9" customHeight="1" ht="26.85">
      <c r="A106" s="139">
        <f>K37</f>
        <v>746</v>
      </c>
      <c r="B106" s="139">
        <f>IF(A106=0,0,A106*50/$B$58)/1000</f>
        <v>48.23051229982364</v>
      </c>
      <c r="C106" s="379" t="str">
        <f>K4</f>
        <v>Exclusiva
50</v>
      </c>
      <c r="D106" s="462">
        <v>0.52</v>
      </c>
      <c r="E106" s="186">
        <v>0</v>
      </c>
      <c r="F106" s="382">
        <v>0.23</v>
      </c>
      <c r="G106" s="504">
        <v>0.25</v>
      </c>
      <c r="H106" s="591">
        <f>+SUM(D106:G106)</f>
        <v>1</v>
      </c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9" customHeight="1" ht="29.25">
      <c r="A107" s="139">
        <f>L37/2</f>
        <v>0</v>
      </c>
      <c r="B107" s="139">
        <f>IF(A107=0,0,A107*50/$B$58)/1000</f>
        <v>0</v>
      </c>
      <c r="C107" s="379" t="s">
        <v>165</v>
      </c>
      <c r="D107" s="462">
        <v>0.52</v>
      </c>
      <c r="E107" s="186">
        <v>0</v>
      </c>
      <c r="F107" s="382">
        <v>0.23</v>
      </c>
      <c r="G107" s="504">
        <v>0.25</v>
      </c>
      <c r="H107" s="591">
        <f>+SUM(D107:G107)</f>
        <v>1</v>
      </c>
      <c r="K107" s="156"/>
      <c r="L107" s="156"/>
      <c r="M107" s="156"/>
      <c r="N107" s="156"/>
      <c r="O107" s="202"/>
      <c r="P107" s="202"/>
      <c r="Q107" s="214"/>
      <c r="R107" s="214"/>
      <c r="S107" s="214"/>
      <c r="T107" s="156"/>
      <c r="U107" s="156"/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9" customHeight="1" ht="29.25">
      <c r="A108" s="139">
        <f>Q37</f>
        <v>265</v>
      </c>
      <c r="B108" s="139">
        <f>IF(A108=0,0,A108*50/$B$58)/1000</f>
        <v>17.13282273385156</v>
      </c>
      <c r="C108" s="379" t="str">
        <f>Q4</f>
        <v>ESPECIAL
50</v>
      </c>
      <c r="D108" s="462">
        <v>0</v>
      </c>
      <c r="E108" s="186">
        <v>0</v>
      </c>
      <c r="F108" s="186">
        <v>1</v>
      </c>
      <c r="G108" s="505">
        <v>0</v>
      </c>
      <c r="H108" s="152">
        <f>+SUM(D108:G108)</f>
        <v>1</v>
      </c>
      <c r="I108" s="214"/>
      <c r="J108" s="214"/>
      <c r="K108" s="156"/>
      <c r="L108" s="156"/>
      <c r="M108" s="156"/>
      <c r="N108" s="156"/>
      <c r="O108" s="202"/>
      <c r="P108" s="202"/>
      <c r="Q108" s="214"/>
      <c r="R108" s="214"/>
      <c r="S108" s="214"/>
      <c r="T108" s="156"/>
      <c r="U108" s="156"/>
      <c r="X108" s="213"/>
      <c r="Y108" s="213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9" customHeight="1" ht="17.1">
      <c r="A109" s="139">
        <f>R37/50</f>
        <v>4565.35999999999967</v>
      </c>
      <c r="B109" s="139">
        <f>IF(A109=0,0,A109*50/$B$58)/1000</f>
        <v>295.1603909291191</v>
      </c>
      <c r="C109" s="379" t="str">
        <f>R4</f>
        <v>Harina de alta proteina x 1
G</v>
      </c>
      <c r="D109" s="462">
        <v>0.95</v>
      </c>
      <c r="E109" s="186">
        <v>0</v>
      </c>
      <c r="F109" s="186">
        <v>0.05</v>
      </c>
      <c r="G109" s="505">
        <v>0</v>
      </c>
      <c r="H109" s="152">
        <f>+SUM(D109:G109)</f>
        <v>1</v>
      </c>
      <c r="I109" s="626">
        <v>46030</v>
      </c>
      <c r="J109" s="627"/>
      <c r="X109" s="213"/>
      <c r="Y109" s="213"/>
      <c r="Z109" s="6"/>
      <c r="AA109" s="6"/>
      <c r="AB109" s="6"/>
      <c r="AC109" s="6"/>
      <c r="AD109" s="6"/>
      <c r="AE109" s="6"/>
      <c r="AH109" s="147"/>
      <c r="AI109" s="147"/>
      <c r="AJ109" s="147"/>
    </row>
    <row r="110" spans="1:59" customHeight="1" ht="31.5">
      <c r="A110" s="139">
        <f>R38/50</f>
        <v>2085.76000000000022</v>
      </c>
      <c r="B110" s="139">
        <f>IF(A110=0,0,A110*50/$B$58)/1000</f>
        <v>134.84889186927634</v>
      </c>
      <c r="C110" s="379" t="s">
        <v>31</v>
      </c>
      <c r="D110" s="381">
        <v>0.9</v>
      </c>
      <c r="E110" s="230">
        <v>0</v>
      </c>
      <c r="F110" s="230">
        <v>0</v>
      </c>
      <c r="G110" s="505">
        <v>0.1</v>
      </c>
      <c r="H110" s="152">
        <f>+SUM(D110:G110)</f>
        <v>1</v>
      </c>
      <c r="I110" s="626">
        <v>46032</v>
      </c>
      <c r="J110" s="627"/>
      <c r="X110" s="213"/>
      <c r="Y110" s="213"/>
      <c r="Z110" s="6"/>
      <c r="AA110" s="6"/>
      <c r="AB110" s="6"/>
      <c r="AC110" s="6"/>
      <c r="AD110" s="6"/>
      <c r="AE110" s="6"/>
      <c r="AH110" s="147"/>
      <c r="AI110" s="147"/>
      <c r="AJ110" s="147"/>
    </row>
    <row r="111" spans="1:59" customHeight="1" ht="16.35">
      <c r="A111" s="139">
        <f>R39/50</f>
        <v>2001.59999999999991</v>
      </c>
      <c r="B111" s="139">
        <f>IF(A111=0,0,A111*50/$B$58)/1000</f>
        <v>129.40776597765012</v>
      </c>
      <c r="C111" s="379" t="s">
        <v>31</v>
      </c>
      <c r="D111" s="381">
        <v>0.95</v>
      </c>
      <c r="E111" s="230">
        <v>0</v>
      </c>
      <c r="F111" s="230">
        <v>0</v>
      </c>
      <c r="G111" s="505">
        <v>0.05</v>
      </c>
      <c r="H111" s="152">
        <f>+SUM(D111:G111)</f>
        <v>1</v>
      </c>
      <c r="I111" s="626">
        <v>46037</v>
      </c>
      <c r="J111" s="627"/>
      <c r="X111" s="213"/>
      <c r="Y111" s="213"/>
      <c r="Z111" s="6"/>
      <c r="AA111" s="6"/>
      <c r="AB111" s="6"/>
      <c r="AC111" s="6"/>
      <c r="AD111" s="6"/>
      <c r="AE111" s="6"/>
      <c r="AH111" s="147"/>
      <c r="AI111" s="147"/>
      <c r="AJ111" s="147"/>
    </row>
    <row r="112" spans="1:59" customHeight="1" ht="27.6">
      <c r="A112" s="139">
        <f>R40/50</f>
        <v>1217.59999999999991</v>
      </c>
      <c r="B112" s="139">
        <f>IF(A112=0,0,A112*50/$B$58)/1000</f>
        <v>78.72047154995342</v>
      </c>
      <c r="C112" s="379" t="s">
        <v>31</v>
      </c>
      <c r="D112" s="381">
        <v>1</v>
      </c>
      <c r="E112" s="230">
        <v>0</v>
      </c>
      <c r="F112" s="230">
        <v>0</v>
      </c>
      <c r="G112" s="505">
        <v>0</v>
      </c>
      <c r="H112" s="152">
        <f>+SUM(D112:G112)</f>
        <v>1</v>
      </c>
      <c r="I112" s="626">
        <v>46041</v>
      </c>
      <c r="J112" s="627"/>
      <c r="X112" s="213"/>
      <c r="Y112" s="213"/>
      <c r="Z112" s="6"/>
      <c r="AA112" s="6"/>
      <c r="AB112" s="6"/>
      <c r="AC112" s="6"/>
      <c r="AD112" s="6"/>
      <c r="AE112" s="6"/>
      <c r="AH112" s="147"/>
      <c r="AI112" s="147"/>
      <c r="AJ112" s="147"/>
    </row>
    <row r="113" spans="1:59" customHeight="1" ht="16.35">
      <c r="A113" s="139">
        <f>R41/50</f>
        <v>884.48000000000002</v>
      </c>
      <c r="B113" s="139">
        <f>IF(A113=0,0,A113*50/$B$58)/1000</f>
        <v>57.18354359108312</v>
      </c>
      <c r="C113" s="379" t="s">
        <v>31</v>
      </c>
      <c r="D113" s="381">
        <v>0.85</v>
      </c>
      <c r="E113" s="230">
        <v>0</v>
      </c>
      <c r="F113" s="230">
        <v>0</v>
      </c>
      <c r="G113" s="505">
        <v>0.15</v>
      </c>
      <c r="H113" s="152">
        <f>+SUM(D113:G113)</f>
        <v>1</v>
      </c>
      <c r="I113" s="624">
        <v>46044</v>
      </c>
      <c r="J113" s="625"/>
      <c r="X113" s="213"/>
      <c r="Y113" s="213"/>
      <c r="Z113" s="6"/>
      <c r="AA113" s="6"/>
      <c r="AB113" s="6"/>
      <c r="AC113" s="6"/>
      <c r="AD113" s="6"/>
      <c r="AE113" s="6"/>
      <c r="AH113" s="147"/>
      <c r="AI113" s="147"/>
      <c r="AJ113" s="147"/>
    </row>
    <row r="114" spans="1:59" customHeight="1" ht="16.35">
      <c r="A114" s="139">
        <f>S37/50</f>
        <v>3774.44000000000005</v>
      </c>
      <c r="B114" s="139">
        <f>IF(A114=0,0,A114*50/$B$58)/1000</f>
        <v>244.025703545504456</v>
      </c>
      <c r="C114" s="379" t="str">
        <f>S4</f>
        <v>Harina de baja proteina x 1</v>
      </c>
      <c r="D114" s="381">
        <v>0</v>
      </c>
      <c r="E114" s="230">
        <v>0</v>
      </c>
      <c r="F114" s="230">
        <v>1</v>
      </c>
      <c r="G114" s="505">
        <v>0</v>
      </c>
      <c r="H114" s="152">
        <f>+SUM(D114:G114)</f>
        <v>1</v>
      </c>
      <c r="X114" s="213"/>
      <c r="Y114" s="213"/>
      <c r="Z114" s="6"/>
      <c r="AA114" s="6"/>
      <c r="AB114" s="6"/>
      <c r="AC114" s="6"/>
      <c r="AD114" s="6"/>
      <c r="AE114" s="6"/>
      <c r="AH114" s="147"/>
      <c r="AI114" s="147"/>
      <c r="AJ114" s="147"/>
    </row>
    <row r="115" spans="1:59" customHeight="1" ht="24">
      <c r="A115" s="139">
        <f>T37/50</f>
        <v>412.80000000000001</v>
      </c>
      <c r="B115" s="139">
        <f>IF(A115=0,0,A115*50/$B$58)/1000</f>
        <v>26.68841216805254</v>
      </c>
      <c r="C115" s="379" t="str">
        <f>T4</f>
        <v>ARTESANAL X 1
G</v>
      </c>
      <c r="D115" s="462">
        <v>0.75</v>
      </c>
      <c r="E115" s="186">
        <v>0</v>
      </c>
      <c r="F115" s="186">
        <v>0.25</v>
      </c>
      <c r="G115" s="505">
        <v>0</v>
      </c>
      <c r="H115" s="152">
        <f>+SUM(D115:G115)</f>
        <v>1</v>
      </c>
      <c r="I115" s="624">
        <v>46028</v>
      </c>
      <c r="J115" s="625"/>
      <c r="X115" s="213"/>
      <c r="Y115" s="213"/>
      <c r="Z115" s="6"/>
      <c r="AA115" s="6"/>
      <c r="AB115" s="6"/>
      <c r="AC115" s="6"/>
      <c r="AD115" s="6"/>
      <c r="AE115" s="6"/>
      <c r="AH115" s="147"/>
      <c r="AI115" s="147"/>
      <c r="AJ115" s="147"/>
    </row>
    <row r="116" spans="1:59" customHeight="1" ht="22.5">
      <c r="A116" s="139">
        <f>T43/38</f>
        <v>0</v>
      </c>
      <c r="B116" s="139">
        <f>IF(A116=0,0,A116*50/$B$58)/1000</f>
        <v>0</v>
      </c>
      <c r="C116" s="379" t="str">
        <f>T4</f>
        <v>ARTESANAL X 1
G</v>
      </c>
      <c r="D116" s="573">
        <v>0.52</v>
      </c>
      <c r="E116" s="186">
        <v>0</v>
      </c>
      <c r="F116" s="186">
        <v>0.25</v>
      </c>
      <c r="G116" s="576">
        <v>0.23</v>
      </c>
      <c r="H116" s="152">
        <f>+SUM(D116:G116)</f>
        <v>1</v>
      </c>
      <c r="I116" s="624">
        <v>46043</v>
      </c>
      <c r="J116" s="625"/>
      <c r="X116" s="213"/>
      <c r="Y116" s="213"/>
      <c r="Z116" s="6"/>
      <c r="AA116" s="6"/>
      <c r="AB116" s="6"/>
      <c r="AC116" s="6"/>
      <c r="AD116" s="6"/>
      <c r="AE116" s="6"/>
      <c r="AH116" s="147"/>
      <c r="AI116" s="147"/>
      <c r="AJ116" s="147"/>
    </row>
    <row r="117" spans="1:59" customHeight="1" ht="16.35">
      <c r="A117" s="139">
        <f>+U37/2</f>
        <v>100</v>
      </c>
      <c r="B117" s="139">
        <f>IF(A117=0,0,A117*50/$B$58)/1000</f>
        <v>6.46521612598172</v>
      </c>
      <c r="C117" s="379" t="str">
        <f>U4</f>
        <v>H. espcial x 25
</v>
      </c>
      <c r="D117" s="378">
        <v>0</v>
      </c>
      <c r="E117" s="251">
        <v>0</v>
      </c>
      <c r="F117" s="509">
        <v>1</v>
      </c>
      <c r="G117" s="510">
        <v>0</v>
      </c>
      <c r="H117" s="152">
        <f>+SUM(D117:G117)</f>
        <v>1</v>
      </c>
      <c r="X117" s="213"/>
      <c r="Y117" s="213"/>
      <c r="Z117" s="6"/>
      <c r="AA117" s="6"/>
      <c r="AB117" s="6"/>
      <c r="AC117" s="6"/>
      <c r="AD117" s="6"/>
      <c r="AE117" s="6"/>
      <c r="AH117" s="147"/>
      <c r="AI117" s="147"/>
      <c r="AJ117" s="147"/>
    </row>
    <row r="118" spans="1:59" customHeight="1" ht="16.35">
      <c r="A118" s="139"/>
      <c r="B118" s="139">
        <f>IF(A118=0,0,A118*50/$B$58)/1000</f>
        <v>0</v>
      </c>
      <c r="C118" s="216"/>
      <c r="D118" s="4"/>
      <c r="E118" s="4"/>
      <c r="F118" s="4"/>
      <c r="G118" s="464"/>
      <c r="H118" s="152">
        <f>+SUM(D118:G118)</f>
        <v>0</v>
      </c>
      <c r="X118" s="213"/>
      <c r="Y118" s="213"/>
      <c r="Z118" s="6"/>
      <c r="AA118" s="6"/>
      <c r="AB118" s="6"/>
      <c r="AC118" s="6"/>
      <c r="AD118" s="6"/>
      <c r="AE118" s="6"/>
      <c r="AH118" s="147"/>
      <c r="AI118" s="147"/>
      <c r="AJ118" s="147"/>
    </row>
    <row r="119" spans="1:59" customHeight="1" ht="16.35">
      <c r="A119" s="139">
        <f>Z47/2</f>
        <v>189</v>
      </c>
      <c r="B119" s="139">
        <f>IF(A119=0,0,A119*51.6)/1000</f>
        <v>9.7524</v>
      </c>
      <c r="C119" s="217" t="str">
        <f>A47</f>
        <v>Grano entero</v>
      </c>
      <c r="D119" s="182">
        <v>0</v>
      </c>
      <c r="E119" s="182">
        <v>0</v>
      </c>
      <c r="F119" s="512">
        <v>0.33</v>
      </c>
      <c r="G119" s="511">
        <v>0.67</v>
      </c>
      <c r="H119" s="152">
        <f>+SUM(D119:G119)</f>
        <v>1</v>
      </c>
      <c r="X119" s="213"/>
      <c r="Y119" s="213"/>
      <c r="Z119" s="6"/>
      <c r="AA119" s="6"/>
      <c r="AB119" s="6"/>
      <c r="AC119" s="6"/>
      <c r="AD119" s="6"/>
      <c r="AE119" s="6"/>
      <c r="AH119" s="147"/>
      <c r="AI119" s="147"/>
      <c r="AJ119" s="147"/>
    </row>
    <row r="120" spans="1:59" customHeight="1" ht="16.35">
      <c r="A120" s="139">
        <v>0</v>
      </c>
      <c r="B120" s="139">
        <f>IF(A120=0,0,A120*50/$B$58)/1000</f>
        <v>0</v>
      </c>
      <c r="C120" s="379" t="str">
        <f>A48</f>
        <v>Bio Convercion </v>
      </c>
      <c r="D120" s="462"/>
      <c r="E120" s="366"/>
      <c r="F120" s="186"/>
      <c r="G120" s="505"/>
      <c r="H120" s="152">
        <f>+SUM(D120:G120)</f>
        <v>0</v>
      </c>
      <c r="X120" s="213"/>
      <c r="Y120" s="213"/>
      <c r="Z120" s="6"/>
      <c r="AA120" s="6"/>
      <c r="AB120" s="6"/>
      <c r="AC120" s="6"/>
      <c r="AD120" s="6"/>
      <c r="AE120" s="6"/>
      <c r="AH120" s="147"/>
      <c r="AI120" s="147"/>
      <c r="AJ120" s="147"/>
    </row>
    <row r="121" spans="1:59" customHeight="1" ht="16.35">
      <c r="A121" s="139">
        <f>Z50/2</f>
        <v>100</v>
      </c>
      <c r="B121" s="139">
        <f>IF(A121=0,0,A121*50.15)/1000</f>
        <v>5.015</v>
      </c>
      <c r="C121" s="380" t="str">
        <f>A50</f>
        <v>Trigo entero </v>
      </c>
      <c r="D121" s="182">
        <v>0</v>
      </c>
      <c r="E121" s="182">
        <v>0</v>
      </c>
      <c r="F121" s="512">
        <v>0.33</v>
      </c>
      <c r="G121" s="511">
        <v>0.67</v>
      </c>
      <c r="H121" s="152">
        <f>+SUM(D121:G121)</f>
        <v>1</v>
      </c>
      <c r="X121" s="213"/>
      <c r="Y121" s="386"/>
      <c r="Z121" s="6"/>
      <c r="AA121" s="6"/>
      <c r="AB121" s="6"/>
      <c r="AC121" s="6"/>
      <c r="AD121" s="6"/>
      <c r="AE121" s="6"/>
      <c r="AH121" s="147"/>
      <c r="AI121" s="147"/>
      <c r="AJ121" s="147"/>
    </row>
    <row r="122" spans="1:59" customHeight="1" ht="16.35">
      <c r="A122" s="139"/>
      <c r="B122" s="139">
        <f>IF(A122=0,0,A122*50/$B$58)/1000</f>
        <v>0</v>
      </c>
      <c r="C122" s="380" t="str">
        <f>C121</f>
        <v>Trigo entero </v>
      </c>
      <c r="D122" s="378"/>
      <c r="E122" s="192"/>
      <c r="F122" s="192"/>
      <c r="G122" s="514"/>
      <c r="H122" s="152">
        <f>+SUM(D122:G122)</f>
        <v>0</v>
      </c>
      <c r="X122" s="213"/>
      <c r="Y122" s="4"/>
      <c r="Z122" s="4"/>
      <c r="AB122" s="384"/>
      <c r="AC122" s="385"/>
      <c r="AD122" s="4"/>
      <c r="AE122" s="6"/>
      <c r="AH122" s="147"/>
      <c r="AI122" s="147"/>
      <c r="AJ122" s="147"/>
    </row>
    <row r="123" spans="1:59" customHeight="1" ht="16.35">
      <c r="A123" s="139">
        <f>AA50/2</f>
        <v>0</v>
      </c>
      <c r="B123" s="139">
        <f>IF(A123=0,0,A123*50/$B$58)/1000</f>
        <v>0</v>
      </c>
      <c r="X123" s="213"/>
      <c r="Y123" s="4"/>
      <c r="Z123" s="4"/>
      <c r="AB123" s="4"/>
      <c r="AE123" s="213"/>
      <c r="AH123" s="147"/>
      <c r="AI123" s="147"/>
      <c r="AJ123" s="147"/>
    </row>
    <row r="124" spans="1:59" customHeight="1" ht="13.5">
      <c r="B124" s="139">
        <f>SUM(B87:B123)</f>
        <v>2009.70940000000019</v>
      </c>
      <c r="X124" s="213"/>
      <c r="Y124" s="213"/>
      <c r="Z124" s="4"/>
      <c r="AA124" s="4"/>
      <c r="AC124" s="4"/>
      <c r="AE124" s="213"/>
      <c r="AH124" s="147"/>
      <c r="AI124" s="147"/>
      <c r="AJ124" s="147"/>
      <c r="AO124" s="147"/>
      <c r="AP124" s="147"/>
    </row>
    <row r="125" spans="1:59" customHeight="1" ht="12.75">
      <c r="X125" s="213"/>
      <c r="Z125" s="4"/>
      <c r="AA125" s="4"/>
      <c r="AC125" s="4"/>
      <c r="AF125" s="213"/>
      <c r="AG125" s="6"/>
      <c r="AH125" s="6"/>
      <c r="AI125" s="6"/>
      <c r="AJ125" s="6"/>
      <c r="AK125" s="6"/>
      <c r="AL125" s="6"/>
      <c r="AM125" s="6"/>
      <c r="AP125" s="147"/>
      <c r="AQ125" s="147"/>
      <c r="AV125" s="147"/>
      <c r="AW125" s="147"/>
    </row>
    <row r="126" spans="1:59">
      <c r="X126" s="213"/>
      <c r="AA126" s="4"/>
      <c r="AC126" s="4"/>
      <c r="AF126" s="473"/>
      <c r="AG126" s="6"/>
      <c r="AH126" s="6"/>
      <c r="AI126" s="6"/>
      <c r="AJ126" s="6"/>
      <c r="AK126" s="6"/>
      <c r="AL126" s="6"/>
      <c r="AM126" s="6"/>
      <c r="AP126" s="147"/>
      <c r="AQ126" s="147"/>
      <c r="AV126" s="147"/>
      <c r="AW126" s="147"/>
    </row>
    <row r="127" spans="1:59">
      <c r="X127" s="213"/>
      <c r="Z127" s="6"/>
      <c r="AA127" s="6"/>
      <c r="AB127" s="6"/>
      <c r="AC127" s="6"/>
      <c r="AD127" s="6"/>
      <c r="AF127" s="213"/>
      <c r="AG127" s="213"/>
      <c r="AH127" s="6"/>
      <c r="AI127" s="6"/>
      <c r="AJ127" s="6"/>
      <c r="AK127" s="6"/>
      <c r="AL127" s="6"/>
      <c r="AM127" s="6"/>
      <c r="AN127" s="6"/>
      <c r="AQ127" s="147"/>
      <c r="AR127" s="147"/>
      <c r="AW127" s="147"/>
      <c r="AX127" s="147"/>
    </row>
    <row r="128" spans="1:59">
      <c r="X128" s="213"/>
      <c r="Z128" s="6"/>
      <c r="AA128" s="6"/>
      <c r="AB128" s="6"/>
      <c r="AC128" s="6"/>
      <c r="AD128" s="6"/>
      <c r="AE128" s="6"/>
      <c r="AF128" s="213"/>
      <c r="AG128" s="213"/>
      <c r="AH128" s="6"/>
      <c r="AI128" s="6"/>
      <c r="AJ128" s="6"/>
      <c r="AK128" s="6"/>
      <c r="AL128" s="6"/>
      <c r="AM128" s="6"/>
      <c r="AN128" s="6"/>
      <c r="AQ128" s="147"/>
      <c r="AR128" s="147"/>
      <c r="AW128" s="147"/>
      <c r="AX128" s="147"/>
    </row>
    <row r="129" spans="1:59">
      <c r="N129" s="4"/>
      <c r="X129" s="213"/>
      <c r="AD129" s="6"/>
      <c r="AE129" s="6"/>
      <c r="AF129" s="213"/>
      <c r="AG129" s="213"/>
      <c r="AH129" s="6"/>
      <c r="AI129" s="6"/>
      <c r="AJ129" s="6"/>
      <c r="AK129" s="6"/>
      <c r="AL129" s="6"/>
      <c r="AM129" s="6"/>
      <c r="AN129" s="6"/>
      <c r="AQ129" s="147"/>
      <c r="AR129" s="147"/>
      <c r="AW129" s="147"/>
      <c r="AX129" s="147"/>
    </row>
    <row r="130" spans="1:59">
      <c r="N130" s="4"/>
      <c r="X130" s="4"/>
      <c r="AE130" s="6"/>
      <c r="AH130" s="147"/>
      <c r="AI130" s="147"/>
      <c r="AJ130" s="147"/>
      <c r="AO130" s="147"/>
      <c r="AP130" s="147"/>
    </row>
    <row r="131" spans="1:59">
      <c r="N131" s="4"/>
      <c r="X131" s="4"/>
      <c r="AH131" s="147"/>
      <c r="AI131" s="147"/>
      <c r="AJ131" s="147"/>
      <c r="AO131" s="147"/>
      <c r="AP131" s="147"/>
    </row>
    <row r="132" spans="1:59">
      <c r="N132" s="4"/>
      <c r="AH132" s="147"/>
      <c r="AI132" s="147"/>
      <c r="AJ132" s="147"/>
      <c r="AO132" s="147"/>
      <c r="AP132" s="147"/>
    </row>
    <row r="133" spans="1:59">
      <c r="N133" s="4"/>
    </row>
    <row r="134" spans="1:59">
      <c r="N134" s="4"/>
    </row>
    <row r="135" spans="1:59">
      <c r="N135" s="4"/>
    </row>
    <row r="136" spans="1:59">
      <c r="N136" s="4"/>
      <c r="W136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62"/>
    <protectedRange name="Repaso y reproceso_2" sqref="V47:W50"/>
    <protectedRange name="Produccion Harinas_2" sqref="C47:U50"/>
    <protectedRange name="Produccion otros productos_2" sqref="X47:AC50"/>
    <protectedRange name="Datos basculas_2" sqref="AW47:BB50"/>
    <protectedRange name="Horas_2" sqref="AN47:AP50"/>
    <protectedRange name="Fecha_2" sqref="B47:B50"/>
    <protectedRange name="Produccion Harinas" sqref="T6:U9 D6:R9 C10:U36"/>
    <protectedRange name="Datos energia" sqref="H548 G60:H61"/>
    <protectedRange name="Formulas trigo" sqref="D101:F101 H87:J87 D118:F122 I100:J106 H100:H105 I113:J113 H108:H113 H114:J114 I115:J116 H96:J99 H115:H120 H88:H90 H94:H95 I88:J95"/>
    <protectedRange name="Produccion otros productos" sqref="X6:Z9 Z5 AC16 X10:AC14 AB17:AC36 X15:AA36 AB15:AC15"/>
    <protectedRange name="Formulas vitamina" sqref="Z77:AB77"/>
    <protectedRange name="Datos basculas" sqref="AW5:BB36"/>
    <protectedRange name="Horas" sqref="AN5:AP36"/>
    <protectedRange name="Datos Nomina" sqref="O61:Q61"/>
    <protectedRange name="Fecha" sqref="B25:B36"/>
    <protectedRange name="Trigos" sqref="D85:E85 H85:M85"/>
    <protectedRange name="Formulas trigo_3" sqref="I107:J107"/>
    <protectedRange name="Formulas trigo_5" sqref="H106:H107 I108:J112"/>
    <protectedRange name="Datos basculas_4_2_1_2" sqref="BD5:BE6 BC5:BC8"/>
    <protectedRange name="Datos energia_2" sqref="G59:H59"/>
    <protectedRange name="Repaso y reproceso_3" sqref="V5:W5"/>
    <protectedRange name="Produccion Harinas_4" sqref="D5:Q5"/>
    <protectedRange name="Produccion otros productos_3" sqref="X5:Y5"/>
    <protectedRange name="Produccion Harinas_3_1" sqref="R5 T5:U5"/>
    <protectedRange name="Formulas trigo_1" sqref="G118:G122 G87:G101 G115:G116"/>
    <protectedRange name="Produccion Harinas_3" sqref="C5:C9"/>
    <protectedRange name="Produccion Harinas_6" sqref="S5:S9"/>
    <protectedRange name="Produccion otros productos_4" sqref="AA5:AC9"/>
    <protectedRange name="Datos energia_1" sqref="G58:H58"/>
    <protectedRange name="Fecha_1" sqref="B5:B24"/>
    <protectedRange name="Formulas trigo_2" sqref="F87:F95 D96:F100 D115:F116"/>
    <protectedRange name="Formulas trigo_1_3_1" sqref="D87:D95"/>
    <protectedRange name="Formulas trigo_4" sqref="D117:F117 D108:F114"/>
    <protectedRange name="Formulas trigo_1_1" sqref="G102:G107 G117 G114"/>
    <protectedRange name="Formulas trigo_1_2_2_1_1" sqref="G108"/>
    <protectedRange name="Formulas trigo_1_2_4_1_1" sqref="G109:G113"/>
    <protectedRange name="Formulas trigo_2_1" sqref="D106:F107"/>
    <protectedRange name="Formulas trigo_4_1" sqref="D102:F105"/>
  </protectedRanges>
  <mergeCells>
    <mergeCell ref="V59:W59"/>
    <mergeCell ref="O55:P55"/>
    <mergeCell ref="I92:J92"/>
    <mergeCell ref="I93:J93"/>
    <mergeCell ref="I94:J94"/>
    <mergeCell ref="I95:J95"/>
    <mergeCell ref="S57:T57"/>
    <mergeCell ref="I87:J87"/>
    <mergeCell ref="I88:J88"/>
    <mergeCell ref="I89:J89"/>
    <mergeCell ref="I90:J90"/>
    <mergeCell ref="I91:J91"/>
    <mergeCell ref="S55:T55"/>
    <mergeCell ref="S56:T56"/>
    <mergeCell ref="S58:T58"/>
    <mergeCell ref="S59:T59"/>
    <mergeCell ref="V56:W56"/>
    <mergeCell ref="V57:W57"/>
    <mergeCell ref="V58:W58"/>
    <mergeCell ref="AD43:AE43"/>
    <mergeCell ref="AE44:AF44"/>
    <mergeCell ref="AD52:AE52"/>
    <mergeCell ref="B1:W1"/>
    <mergeCell ref="AH1:AM1"/>
    <mergeCell ref="AN1:AX1"/>
    <mergeCell ref="B3:Q3"/>
    <mergeCell ref="R3:T3"/>
    <mergeCell ref="V3:W3"/>
    <mergeCell ref="X3:Z3"/>
    <mergeCell ref="AA3:AC3"/>
    <mergeCell ref="AF3:AM3"/>
    <mergeCell ref="AN3:AP3"/>
    <mergeCell ref="AQ3:AU3"/>
    <mergeCell ref="AW3:BF3"/>
    <mergeCell ref="AW5:AW34"/>
    <mergeCell ref="AX5:AX34"/>
    <mergeCell ref="AY5:AY34"/>
    <mergeCell ref="AZ5:AZ34"/>
    <mergeCell ref="BA5:BA34"/>
    <mergeCell ref="BB5:BB34"/>
    <mergeCell ref="BC5:BC34"/>
    <mergeCell ref="BD5:BD34"/>
    <mergeCell ref="BE5:BE34"/>
    <mergeCell ref="BF5:BF34"/>
    <mergeCell ref="A54:B54"/>
    <mergeCell ref="C54:C55"/>
    <mergeCell ref="F54:H54"/>
    <mergeCell ref="F55:G55"/>
    <mergeCell ref="K54:M54"/>
    <mergeCell ref="K55:L55"/>
    <mergeCell ref="G59:I59"/>
    <mergeCell ref="O60:P60"/>
    <mergeCell ref="K56:L56"/>
    <mergeCell ref="K57:L57"/>
    <mergeCell ref="K58:L58"/>
    <mergeCell ref="K59:L59"/>
    <mergeCell ref="K60:L60"/>
    <mergeCell ref="O56:P56"/>
    <mergeCell ref="O57:P57"/>
    <mergeCell ref="O54:Q54"/>
    <mergeCell ref="O58:P58"/>
    <mergeCell ref="O59:P59"/>
    <mergeCell ref="R54:U54"/>
    <mergeCell ref="F57:G57"/>
    <mergeCell ref="F56:G56"/>
    <mergeCell ref="G58:H58"/>
    <mergeCell ref="V55:W55"/>
    <mergeCell ref="F67:H67"/>
    <mergeCell ref="U67:V67"/>
    <mergeCell ref="G60:H60"/>
    <mergeCell ref="F62:G62"/>
    <mergeCell ref="G65:H65"/>
    <mergeCell ref="T65:V65"/>
    <mergeCell ref="U66:V66"/>
    <mergeCell ref="S60:T60"/>
    <mergeCell ref="V60:W60"/>
    <mergeCell ref="K62:O62"/>
    <mergeCell ref="K67:O67"/>
    <mergeCell ref="G61:H61"/>
    <mergeCell ref="F68:G68"/>
    <mergeCell ref="T69:V69"/>
    <mergeCell ref="F70:H70"/>
    <mergeCell ref="U71:V71"/>
    <mergeCell ref="F71:G71"/>
    <mergeCell ref="U70:V70"/>
    <mergeCell ref="V76:V77"/>
    <mergeCell ref="U72:V72"/>
    <mergeCell ref="G73:H73"/>
    <mergeCell ref="U73:V73"/>
    <mergeCell ref="G74:H74"/>
    <mergeCell ref="F75:G75"/>
    <mergeCell ref="M74:O74"/>
    <mergeCell ref="I115:J115"/>
    <mergeCell ref="I116:J116"/>
    <mergeCell ref="I112:J112"/>
    <mergeCell ref="I113:J113"/>
    <mergeCell ref="I96:J96"/>
    <mergeCell ref="I97:J97"/>
    <mergeCell ref="I98:J98"/>
    <mergeCell ref="I99:J99"/>
    <mergeCell ref="I102:J103"/>
    <mergeCell ref="I104:J105"/>
    <mergeCell ref="I109:J109"/>
    <mergeCell ref="I110:J110"/>
    <mergeCell ref="I111:J111"/>
  </mergeCells>
  <conditionalFormatting sqref="I60">
    <cfRule type="cellIs" dxfId="0" priority="4" operator="lessThan" stopIfTrue="1">
      <formula>0.935</formula>
    </cfRule>
  </conditionalFormatting>
  <conditionalFormatting sqref="AF4">
    <cfRule type="cellIs" dxfId="1" priority="3" operator="lessThan" stopIfTrue="1">
      <formula>0.76</formula>
    </cfRule>
  </conditionalFormatting>
  <conditionalFormatting sqref="AF5:AF36">
    <cfRule type="cellIs" dxfId="2" priority="5" operator="lessThan" stopIfTrue="1">
      <formula>0.765</formula>
    </cfRule>
  </conditionalFormatting>
  <conditionalFormatting sqref="AF37:AF41 AE79:AE80 AE82:AE96 Z96:AC121 AG125:AI126 AK125:AK126 Z127:AC128 AH127:AI129 AK127:AL129">
    <cfRule type="cellIs" dxfId="1" priority="6" operator="lessThan" stopIfTrue="1">
      <formula>0.76</formula>
    </cfRule>
  </conditionalFormatting>
  <conditionalFormatting sqref="AF47:AF50">
    <cfRule type="cellIs" dxfId="2" priority="1" operator="lessThan" stopIfTrue="1">
      <formula>0.765</formula>
    </cfRule>
  </conditionalFormatting>
  <conditionalFormatting sqref="AH1:AI2 AJ125:AJ129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23"/>
  <sheetViews>
    <sheetView tabSelected="0" workbookViewId="0" zoomScale="85" zoomScaleNormal="85" showGridLines="true" showRowColHeaders="1">
      <pane xSplit="2" ySplit="3" activePane="bottomRight" state="frozen" topLeftCell="C4"/>
      <selection pane="bottomRight" activeCell="V54" sqref="V54:W54"/>
    </sheetView>
  </sheetViews>
  <sheetFormatPr defaultRowHeight="14.4" defaultColWidth="14.42578125" outlineLevelRow="0" outlineLevelCol="0"/>
  <cols>
    <col min="1" max="1" width="25.7109375" customWidth="true" style="1"/>
    <col min="2" max="2" width="17.7109375" customWidth="true" style="1"/>
    <col min="3" max="3" width="15.7109375" customWidth="true" style="1"/>
    <col min="4" max="4" width="10.570312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3.5703125" customWidth="true" style="1"/>
    <col min="10" max="10" width="9" customWidth="true" style="1"/>
    <col min="11" max="11" width="9" customWidth="true" style="1"/>
    <col min="12" max="12" width="5.42578125" customWidth="true" style="1"/>
    <col min="13" max="13" width="7.28515625" customWidth="true" style="1"/>
    <col min="14" max="14" width="12.42578125" customWidth="true" style="1"/>
    <col min="15" max="15" width="9" customWidth="true" style="1"/>
    <col min="16" max="16" width="9" customWidth="true" style="1"/>
    <col min="17" max="17" width="9" customWidth="true" style="1"/>
    <col min="18" max="18" width="13.42578125" customWidth="true" style="1"/>
    <col min="19" max="19" width="12.7109375" customWidth="true" style="1"/>
    <col min="20" max="20" width="12.7109375" customWidth="true" style="1"/>
    <col min="21" max="21" width="11.28515625" customWidth="true" style="1"/>
    <col min="22" max="22" width="7.7109375" customWidth="true" style="1"/>
    <col min="23" max="23" width="20.7109375" customWidth="true" style="1"/>
    <col min="24" max="24" width="23" customWidth="true" style="1"/>
    <col min="25" max="25" width="9.42578125" customWidth="true" style="1"/>
    <col min="26" max="26" width="7.5703125" customWidth="true" style="1"/>
    <col min="27" max="27" width="9.5703125" customWidth="true" style="1"/>
    <col min="28" max="28" width="9.5703125" customWidth="true" style="1"/>
    <col min="29" max="29" width="8.7109375" customWidth="true" style="1"/>
    <col min="30" max="30" width="13.28515625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2.7109375" customWidth="true" style="1"/>
    <col min="51" max="51" width="11.42578125" customWidth="true" style="1"/>
    <col min="52" max="52" width="8.28515625" customWidth="true" style="1"/>
    <col min="53" max="53" width="12" customWidth="true" style="1"/>
    <col min="54" max="54" width="12" customWidth="true" style="1"/>
    <col min="55" max="55" width="12" customWidth="true" style="1"/>
    <col min="56" max="56" width="14.42578125" style="1"/>
  </cols>
  <sheetData>
    <row r="1" spans="1:58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8" customHeight="1" ht="18.75">
      <c r="B2" s="701" t="s">
        <v>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2"/>
      <c r="Q2" s="703"/>
      <c r="R2" s="704" t="s">
        <v>4</v>
      </c>
      <c r="S2" s="705"/>
      <c r="T2" s="706"/>
      <c r="U2" s="416" t="s">
        <v>5</v>
      </c>
      <c r="V2" s="704" t="s">
        <v>6</v>
      </c>
      <c r="W2" s="707"/>
      <c r="X2" s="708" t="s">
        <v>7</v>
      </c>
      <c r="Y2" s="708"/>
      <c r="Z2" s="708"/>
      <c r="AA2" s="709" t="s">
        <v>8</v>
      </c>
      <c r="AB2" s="709"/>
      <c r="AC2" s="709"/>
      <c r="AD2" s="6"/>
      <c r="AE2" s="6"/>
      <c r="AF2" s="710" t="s">
        <v>9</v>
      </c>
      <c r="AG2" s="710"/>
      <c r="AH2" s="710"/>
      <c r="AI2" s="710"/>
      <c r="AJ2" s="710"/>
      <c r="AK2" s="710"/>
      <c r="AL2" s="710"/>
      <c r="AM2" s="710"/>
      <c r="AN2" s="711" t="s">
        <v>10</v>
      </c>
      <c r="AO2" s="711"/>
      <c r="AP2" s="711"/>
      <c r="AQ2" s="712" t="s">
        <v>11</v>
      </c>
      <c r="AR2" s="712"/>
      <c r="AS2" s="712"/>
      <c r="AT2" s="712"/>
      <c r="AU2" s="712"/>
      <c r="AV2" s="471" t="s">
        <v>12</v>
      </c>
      <c r="AW2" s="712" t="s">
        <v>13</v>
      </c>
      <c r="AX2" s="712"/>
      <c r="AY2" s="712"/>
      <c r="AZ2" s="712"/>
      <c r="BA2" s="712"/>
      <c r="BB2" s="712"/>
      <c r="BC2" s="712"/>
      <c r="BD2" s="712"/>
      <c r="BE2" s="712"/>
      <c r="BF2" s="712"/>
    </row>
    <row r="3" spans="1:58" customHeight="1" ht="53.25" s="40" customFormat="1">
      <c r="A3" s="8" t="s">
        <v>14</v>
      </c>
      <c r="B3" s="333" t="s">
        <v>15</v>
      </c>
      <c r="C3" s="566" t="s">
        <v>16</v>
      </c>
      <c r="D3" s="567" t="s">
        <v>17</v>
      </c>
      <c r="E3" s="549" t="s">
        <v>18</v>
      </c>
      <c r="F3" s="550" t="s">
        <v>19</v>
      </c>
      <c r="G3" s="551" t="s">
        <v>20</v>
      </c>
      <c r="H3" s="552" t="s">
        <v>21</v>
      </c>
      <c r="I3" s="553" t="s">
        <v>22</v>
      </c>
      <c r="J3" s="553" t="s">
        <v>23</v>
      </c>
      <c r="K3" s="554" t="s">
        <v>24</v>
      </c>
      <c r="L3" s="554" t="s">
        <v>25</v>
      </c>
      <c r="M3" s="555" t="s">
        <v>26</v>
      </c>
      <c r="N3" s="553" t="s">
        <v>27</v>
      </c>
      <c r="O3" s="553" t="s">
        <v>28</v>
      </c>
      <c r="P3" s="556" t="s">
        <v>29</v>
      </c>
      <c r="Q3" s="557" t="s">
        <v>30</v>
      </c>
      <c r="R3" s="409" t="s">
        <v>31</v>
      </c>
      <c r="S3" s="284" t="s">
        <v>32</v>
      </c>
      <c r="T3" s="559" t="s">
        <v>33</v>
      </c>
      <c r="U3" s="558" t="s">
        <v>34</v>
      </c>
      <c r="V3" s="405" t="s">
        <v>35</v>
      </c>
      <c r="W3" s="562" t="s">
        <v>36</v>
      </c>
      <c r="X3" s="560" t="s">
        <v>37</v>
      </c>
      <c r="Y3" s="561" t="s">
        <v>38</v>
      </c>
      <c r="Z3" s="565" t="s">
        <v>39</v>
      </c>
      <c r="AA3" s="563" t="s">
        <v>40</v>
      </c>
      <c r="AB3" s="334" t="s">
        <v>41</v>
      </c>
      <c r="AC3" s="564" t="s">
        <v>42</v>
      </c>
      <c r="AD3" s="27" t="s">
        <v>43</v>
      </c>
      <c r="AE3" s="27" t="s">
        <v>44</v>
      </c>
      <c r="AF3" s="335" t="s">
        <v>45</v>
      </c>
      <c r="AG3" s="336" t="s">
        <v>46</v>
      </c>
      <c r="AH3" s="337" t="str">
        <f>X3</f>
        <v>Germen 
25</v>
      </c>
      <c r="AI3" s="338" t="s">
        <v>47</v>
      </c>
      <c r="AJ3" s="337" t="str">
        <f>AA3</f>
        <v>Salvado 
25</v>
      </c>
      <c r="AK3" s="339" t="str">
        <f>AB3</f>
        <v>Mogolla 
40</v>
      </c>
      <c r="AL3" s="339" t="str">
        <f>AC3</f>
        <v>Segunda  
50</v>
      </c>
      <c r="AM3" s="340" t="str">
        <f>B3</f>
        <v>Fecha</v>
      </c>
      <c r="AN3" s="341" t="s">
        <v>48</v>
      </c>
      <c r="AO3" s="342" t="s">
        <v>49</v>
      </c>
      <c r="AP3" s="342" t="s">
        <v>50</v>
      </c>
      <c r="AQ3" s="343" t="s">
        <v>51</v>
      </c>
      <c r="AR3" s="344" t="s">
        <v>52</v>
      </c>
      <c r="AS3" s="344" t="s">
        <v>53</v>
      </c>
      <c r="AT3" s="344" t="s">
        <v>54</v>
      </c>
      <c r="AU3" s="344" t="s">
        <v>55</v>
      </c>
      <c r="AV3" s="343" t="s">
        <v>56</v>
      </c>
      <c r="AW3" s="345" t="s">
        <v>57</v>
      </c>
      <c r="AX3" s="345" t="s">
        <v>58</v>
      </c>
      <c r="AY3" s="345" t="s">
        <v>59</v>
      </c>
      <c r="AZ3" s="345" t="s">
        <v>60</v>
      </c>
      <c r="BA3" s="346" t="s">
        <v>61</v>
      </c>
      <c r="BB3" s="346" t="s">
        <v>62</v>
      </c>
      <c r="BC3" s="347" t="s">
        <v>63</v>
      </c>
      <c r="BD3" s="345" t="s">
        <v>64</v>
      </c>
      <c r="BE3" s="348" t="s">
        <v>65</v>
      </c>
      <c r="BF3" s="349" t="s">
        <v>66</v>
      </c>
    </row>
    <row r="4" spans="1:58" customHeight="1" ht="14.45">
      <c r="A4" s="485">
        <f>IF(B4="","",1)</f>
        <v>1</v>
      </c>
      <c r="B4" s="68">
        <v>46055</v>
      </c>
      <c r="C4" s="43"/>
      <c r="D4" s="526"/>
      <c r="E4" s="527"/>
      <c r="F4" s="241"/>
      <c r="G4" s="528"/>
      <c r="H4" s="44"/>
      <c r="I4" s="48"/>
      <c r="J4" s="48"/>
      <c r="K4" s="44"/>
      <c r="L4" s="493"/>
      <c r="M4" s="493"/>
      <c r="N4" s="244"/>
      <c r="O4" s="244"/>
      <c r="P4" s="465"/>
      <c r="Q4" s="529"/>
      <c r="R4" s="497">
        <v>85416</v>
      </c>
      <c r="S4" s="275"/>
      <c r="T4" s="241"/>
      <c r="U4" s="450"/>
      <c r="V4" s="621"/>
      <c r="W4" s="241"/>
      <c r="X4" s="451"/>
      <c r="Y4" s="52">
        <v>20</v>
      </c>
      <c r="Z4" s="530"/>
      <c r="AA4" s="280">
        <v>155</v>
      </c>
      <c r="AB4" s="53">
        <v>327</v>
      </c>
      <c r="AC4" s="54">
        <v>129</v>
      </c>
      <c r="AD4" s="592">
        <f>IF(B4="","",(((C4+F4+H4+K4+Q4+N4+O4)*50))+((E4*10))+(((I4+J4+D4+G4+L4+M4+U4)*25)+(X4*25)+(Y4*25)+(Z4*25)+(AA4*25)+(AB4*40)+(AC4*50)+(R4*1)+(S4*1)+(T4*1)))</f>
        <v>109321</v>
      </c>
      <c r="AE4" s="55">
        <f>IF(B4="","",C4+F4+H4+K4+Q4+N4+O4+((I4+J4+D4+G4)/2)+(R4/50)+(S4/50)+(T4/50)+(U4/2)+(E4/5))</f>
        <v>1708.31999999999994</v>
      </c>
      <c r="AF4" s="56">
        <f>IF(B4="","",((AE4*50)/AD4))</f>
        <v>0.78133204050457</v>
      </c>
      <c r="AG4" s="57" t="str">
        <f>IF(C4="","",((Z4)*25)/AD4)</f>
        <v/>
      </c>
      <c r="AH4" s="57">
        <f>IF(B4="","",(X4*25)/AD4)</f>
        <v>0</v>
      </c>
      <c r="AI4" s="57">
        <f>IF(B4="","",(Y4*25)/AD4)</f>
        <v>0.0045736866658739</v>
      </c>
      <c r="AJ4" s="57">
        <f>IF(B4="","",(AA4*25)/AD4)</f>
        <v>0.035446071660523</v>
      </c>
      <c r="AK4" s="58">
        <f>IF(B4="","",(AB4*40)/AD4)</f>
        <v>0.11964764317926</v>
      </c>
      <c r="AL4" s="58">
        <f>IF(B4="","",(AC4*50)/AD4)</f>
        <v>0.059000557989773</v>
      </c>
      <c r="AM4" s="59">
        <f>IF(B4="","",B4)</f>
        <v>46055</v>
      </c>
      <c r="AN4" s="235">
        <v>24</v>
      </c>
      <c r="AO4" s="61">
        <v>16.62</v>
      </c>
      <c r="AP4" s="599">
        <f>24-AN4</f>
        <v>0</v>
      </c>
      <c r="AQ4" s="63">
        <f>IF(AN4="","",AN4/AO4)</f>
        <v>1.44404332129964</v>
      </c>
      <c r="AR4" s="64">
        <f>IF(AN4="","",(AD4/AN4)/1000)</f>
        <v>4.55504166666667</v>
      </c>
      <c r="AS4" s="64">
        <f>IF(AN4="","",AR4*24)</f>
        <v>109.321</v>
      </c>
      <c r="AT4" s="65">
        <f>IF(AN4="","",(AD4/1000)*100%/AS4)</f>
        <v>1</v>
      </c>
      <c r="AU4" s="64">
        <f>IF(AN4="","",(AE4/AN4))</f>
        <v>71.17999999999999</v>
      </c>
      <c r="AV4" s="229">
        <f>IF(AN4="","",(AD4/AO4)/1000)</f>
        <v>6.57767749699158</v>
      </c>
      <c r="AW4" s="713"/>
      <c r="AX4" s="713">
        <v>2373408</v>
      </c>
      <c r="AY4" s="713">
        <v>1837104</v>
      </c>
      <c r="AZ4" s="722">
        <v>69185</v>
      </c>
      <c r="BA4" s="713">
        <v>580</v>
      </c>
      <c r="BB4" s="724">
        <v>354434</v>
      </c>
      <c r="BC4" s="726">
        <v>123963750</v>
      </c>
      <c r="BD4" s="726">
        <v>5884169</v>
      </c>
      <c r="BE4" s="726">
        <v>39502680</v>
      </c>
      <c r="BF4" s="728">
        <v>47025740</v>
      </c>
    </row>
    <row r="5" spans="1:58" customHeight="1" ht="13.9">
      <c r="A5" s="485">
        <f>IF(B5="","",1+A4)</f>
        <v>2</v>
      </c>
      <c r="B5" s="68">
        <v>46056</v>
      </c>
      <c r="C5" s="69">
        <v>1009</v>
      </c>
      <c r="D5" s="70"/>
      <c r="E5" s="76"/>
      <c r="F5" s="70"/>
      <c r="G5" s="76"/>
      <c r="H5" s="70"/>
      <c r="I5" s="75">
        <v>882</v>
      </c>
      <c r="J5" s="75">
        <v>80</v>
      </c>
      <c r="K5" s="70"/>
      <c r="L5" s="494"/>
      <c r="M5" s="494"/>
      <c r="N5" s="76"/>
      <c r="O5" s="248"/>
      <c r="P5" s="466"/>
      <c r="Q5" s="412"/>
      <c r="R5" s="410">
        <v>16192</v>
      </c>
      <c r="S5" s="277"/>
      <c r="T5" s="401"/>
      <c r="U5" s="407"/>
      <c r="V5" s="249"/>
      <c r="W5" s="401"/>
      <c r="X5" s="278"/>
      <c r="Y5" s="78"/>
      <c r="Z5" s="403"/>
      <c r="AA5" s="281">
        <v>153</v>
      </c>
      <c r="AB5" s="79">
        <v>381</v>
      </c>
      <c r="AC5" s="80">
        <v>64</v>
      </c>
      <c r="AD5" s="592">
        <f>IF(B5="","",(((C5+F5+H5+K5+Q5+N5+O5)*50))+((E5*10))+(((I5+J5+D5+G5+L5+M5+U5)*25)+(X5*25)+(Y5*25)+(Z5*25)+(AA5*25)+(AB5*40)+(AC5*50)+(R5*1)+(S5*1)+(T5*1)))</f>
        <v>112957</v>
      </c>
      <c r="AE5" s="55">
        <f>IF(B5="","",C5+F5+H5+K5+Q5+N5+O5+((I5+J5+D5+G5)/2)+(R5/50)+(S5/50)+(T5/50)+(U5/2)+(E5/5))</f>
        <v>1813.83999999999992</v>
      </c>
      <c r="AF5" s="56">
        <f>IF(B5="","",((AE5*50)/AD5))</f>
        <v>0.80288959515568</v>
      </c>
      <c r="AG5" s="57">
        <f>IF(C5="","",((Z5)*25)/AD5)</f>
        <v>0</v>
      </c>
      <c r="AH5" s="57">
        <f>IF(B5="","",(X5*25)/AD5)</f>
        <v>0</v>
      </c>
      <c r="AI5" s="57">
        <f>IF(B5="","",(Y5*25)/AD5)</f>
        <v>0</v>
      </c>
      <c r="AJ5" s="57">
        <f>IF(B5="","",(AA5*25)/AD5)</f>
        <v>0.03386244323061</v>
      </c>
      <c r="AK5" s="58">
        <f>IF(B5="","",(AB5*40)/AD5)</f>
        <v>0.13491859734235</v>
      </c>
      <c r="AL5" s="58">
        <f>IF(B5="","",(AC5*50)/AD5)</f>
        <v>0.02832936427136</v>
      </c>
      <c r="AM5" s="59">
        <f>IF(B5="","",B5)</f>
        <v>46056</v>
      </c>
      <c r="AN5" s="233">
        <v>23.75</v>
      </c>
      <c r="AO5" s="82">
        <v>19.12</v>
      </c>
      <c r="AP5" s="600">
        <f>24-AN5</f>
        <v>0.25</v>
      </c>
      <c r="AQ5" s="63">
        <f>IF(AN5="","",AN5/AO5)</f>
        <v>1.24215481171548</v>
      </c>
      <c r="AR5" s="64">
        <f>IF(AN5="","",(AD5/AN5)/1000)</f>
        <v>4.75608421052632</v>
      </c>
      <c r="AS5" s="64">
        <f>IF(AN5="","",AR5*24)</f>
        <v>114.14602105263158</v>
      </c>
      <c r="AT5" s="65">
        <f>IF(AN5="","",(AD5/1000)*100%/AS5)</f>
        <v>0.98958333333333</v>
      </c>
      <c r="AU5" s="64">
        <f>IF(AN5="","",(AE5/AN5))</f>
        <v>76.37221052631578</v>
      </c>
      <c r="AV5" s="229">
        <f>IF(AN5="","",(AD5/AO5)/1000)</f>
        <v>5.90779288702929</v>
      </c>
      <c r="AW5" s="714"/>
      <c r="AX5" s="714"/>
      <c r="AY5" s="714"/>
      <c r="AZ5" s="723"/>
      <c r="BA5" s="714"/>
      <c r="BB5" s="725"/>
      <c r="BC5" s="727"/>
      <c r="BD5" s="727"/>
      <c r="BE5" s="727"/>
      <c r="BF5" s="729"/>
    </row>
    <row r="6" spans="1:58" customHeight="1" ht="13.9">
      <c r="A6" s="485">
        <f>IF(B6="","",1+A5)</f>
        <v>3</v>
      </c>
      <c r="B6" s="68">
        <v>46057</v>
      </c>
      <c r="C6" s="69">
        <v>720</v>
      </c>
      <c r="D6" s="70">
        <v>1542</v>
      </c>
      <c r="E6" s="76">
        <v>199</v>
      </c>
      <c r="F6" s="70"/>
      <c r="G6" s="76"/>
      <c r="H6" s="70"/>
      <c r="I6" s="491"/>
      <c r="J6" s="491"/>
      <c r="K6" s="70"/>
      <c r="L6" s="494"/>
      <c r="M6" s="494"/>
      <c r="N6" s="76"/>
      <c r="O6" s="76"/>
      <c r="P6" s="467"/>
      <c r="Q6" s="412"/>
      <c r="R6" s="410">
        <v>14128</v>
      </c>
      <c r="S6" s="276"/>
      <c r="T6" s="401"/>
      <c r="U6" s="407"/>
      <c r="V6" s="249"/>
      <c r="W6" s="401"/>
      <c r="X6" s="278"/>
      <c r="Y6" s="78"/>
      <c r="Z6" s="403"/>
      <c r="AA6" s="281">
        <v>172</v>
      </c>
      <c r="AB6" s="79">
        <v>439</v>
      </c>
      <c r="AC6" s="85">
        <v>49</v>
      </c>
      <c r="AD6" s="592">
        <f>IF(B6="","",(((C6+F6+H6+K6+Q6+N6+O6)*50))+((E6*10))+(((I6+J6+D6+G6+L6+M6+U6)*25)+(X6*25)+(Y6*25)+(Z6*25)+(AA6*25)+(AB6*40)+(AC6*50)+(R6*1)+(S6*1)+(T6*1)))</f>
        <v>114978</v>
      </c>
      <c r="AE6" s="55">
        <f>IF(B6="","",C6+F6+H6+K6+Q6+N6+O6+((I6+J6+D6+G6)/2)+(R6/50)+(S6/50)+(T6/50)+(U6/2)+(E6/5))</f>
        <v>1813.3599999999999</v>
      </c>
      <c r="AF6" s="56">
        <f>IF(B6="","",((AE6*50)/AD6))</f>
        <v>0.78856824783872</v>
      </c>
      <c r="AG6" s="57">
        <f>IF(C6="","",((Z6)*25)/AD6)</f>
        <v>0</v>
      </c>
      <c r="AH6" s="57">
        <f>IF(B6="","",(X6*25)/AD6)</f>
        <v>0</v>
      </c>
      <c r="AI6" s="57">
        <f>IF(B6="","",(Y6*25)/AD6)</f>
        <v>0</v>
      </c>
      <c r="AJ6" s="57">
        <f>IF(B6="","",(AA6*25)/AD6)</f>
        <v>0.037398458835603</v>
      </c>
      <c r="AK6" s="58">
        <f>IF(B6="","",(AB6*40)/AD6)</f>
        <v>0.15272486910539</v>
      </c>
      <c r="AL6" s="58">
        <f>IF(B6="","",(AC6*50)/AD6)</f>
        <v>0.021308424220286</v>
      </c>
      <c r="AM6" s="59">
        <f>IF(B6="","",B6)</f>
        <v>46057</v>
      </c>
      <c r="AN6" s="233">
        <v>23.41</v>
      </c>
      <c r="AO6" s="82">
        <v>14.48</v>
      </c>
      <c r="AP6" s="600">
        <f>24-AN6</f>
        <v>0.59</v>
      </c>
      <c r="AQ6" s="63">
        <f>IF(AN6="","",AN6/AO6)</f>
        <v>1.61671270718232</v>
      </c>
      <c r="AR6" s="64">
        <f>IF(AN6="","",(AD6/AN6)/1000)</f>
        <v>4.91149081589064</v>
      </c>
      <c r="AS6" s="64">
        <f>IF(AN6="","",AR6*24)</f>
        <v>117.87577958137547</v>
      </c>
      <c r="AT6" s="65">
        <f>IF(AN6="","",(AD6/1000)*100%/AS6)</f>
        <v>0.97541666666667</v>
      </c>
      <c r="AU6" s="64">
        <f>IF(AN6="","",(AE6/AN6))</f>
        <v>77.46091413925673</v>
      </c>
      <c r="AV6" s="229">
        <f>IF(AN6="","",(AD6/AO6)/1000)</f>
        <v>7.94046961325967</v>
      </c>
      <c r="AW6" s="714"/>
      <c r="AX6" s="714"/>
      <c r="AY6" s="714"/>
      <c r="AZ6" s="723"/>
      <c r="BA6" s="714"/>
      <c r="BB6" s="725"/>
      <c r="BC6" s="727"/>
      <c r="BD6" s="727"/>
      <c r="BE6" s="727"/>
      <c r="BF6" s="729"/>
    </row>
    <row r="7" spans="1:58" customHeight="1" ht="13.9">
      <c r="A7" s="485">
        <f>IF(B7="","",1+A6)</f>
        <v>4</v>
      </c>
      <c r="B7" s="68">
        <v>46058</v>
      </c>
      <c r="C7" s="69"/>
      <c r="D7" s="70"/>
      <c r="E7" s="76"/>
      <c r="F7" s="70">
        <v>490</v>
      </c>
      <c r="G7" s="76"/>
      <c r="H7" s="70">
        <v>513</v>
      </c>
      <c r="I7" s="414"/>
      <c r="J7" s="414"/>
      <c r="K7" s="70"/>
      <c r="L7" s="494"/>
      <c r="M7" s="494"/>
      <c r="N7" s="76"/>
      <c r="O7" s="76"/>
      <c r="P7" s="467"/>
      <c r="Q7" s="412"/>
      <c r="R7" s="410">
        <v>12144</v>
      </c>
      <c r="S7" s="274">
        <v>24880</v>
      </c>
      <c r="T7" s="401"/>
      <c r="U7" s="407">
        <v>200</v>
      </c>
      <c r="V7" s="249"/>
      <c r="W7" s="401"/>
      <c r="X7" s="278"/>
      <c r="Y7" s="78"/>
      <c r="Z7" s="403"/>
      <c r="AA7" s="281">
        <v>111</v>
      </c>
      <c r="AB7" s="79">
        <v>432</v>
      </c>
      <c r="AC7" s="85">
        <v>159</v>
      </c>
      <c r="AD7" s="592">
        <f>IF(B7="","",(((C7+F7+H7+K7+Q7+N7+O7)*50))+((E7*10))+(((I7+J7+D7+G7+L7+M7+U7)*25)+(X7*25)+(Y7*25)+(Z7*25)+(AA7*25)+(AB7*40)+(AC7*50)+(R7*1)+(S7*1)+(T7*1)))</f>
        <v>120179</v>
      </c>
      <c r="AE7" s="55">
        <f>IF(B7="","",C7+F7+H7+K7+Q7+N7+O7+((I7+J7+D7+G7)/2)+(R7/50)+(S7/50)+(T7/50)+(U7/2)+(E7/5))</f>
        <v>1843.48000000000002</v>
      </c>
      <c r="AF7" s="56">
        <f>IF(B7="","",((AE7*50)/AD7))</f>
        <v>0.76697259920618</v>
      </c>
      <c r="AG7" s="57" t="str">
        <f>IF(C7="","",((Z7)*25)/AD7)</f>
        <v/>
      </c>
      <c r="AH7" s="57">
        <f>IF(B7="","",(X7*25)/AD7)</f>
        <v>0</v>
      </c>
      <c r="AI7" s="57">
        <f>IF(B7="","",(Y7*25)/AD7)</f>
        <v>0</v>
      </c>
      <c r="AJ7" s="57">
        <f>IF(B7="","",(AA7*25)/AD7)</f>
        <v>0.023090556586425</v>
      </c>
      <c r="AK7" s="58">
        <f>IF(B7="","",(AB7*40)/AD7)</f>
        <v>0.14378551993277</v>
      </c>
      <c r="AL7" s="58">
        <f>IF(B7="","",(AC7*50)/AD7)</f>
        <v>0.066151324274624</v>
      </c>
      <c r="AM7" s="59">
        <f>IF(B7="","",B7)</f>
        <v>46058</v>
      </c>
      <c r="AN7" s="233">
        <v>24</v>
      </c>
      <c r="AO7" s="82">
        <v>18.87</v>
      </c>
      <c r="AP7" s="600">
        <f>24-AN7</f>
        <v>0</v>
      </c>
      <c r="AQ7" s="63">
        <f>IF(AN7="","",AN7/AO7)</f>
        <v>1.27186009538951</v>
      </c>
      <c r="AR7" s="64">
        <f>IF(AN7="","",(AD7/AN7)/1000)</f>
        <v>5.0074583333333331</v>
      </c>
      <c r="AS7" s="64">
        <f>IF(AN7="","",AR7*24)</f>
        <v>120.179</v>
      </c>
      <c r="AT7" s="65">
        <f>IF(AN7="","",(AD7/1000)*100%/AS7)</f>
        <v>1</v>
      </c>
      <c r="AU7" s="64">
        <f>IF(AN7="","",(AE7/AN7))</f>
        <v>76.81166666666667</v>
      </c>
      <c r="AV7" s="229">
        <f>IF(AN7="","",(AD7/AO7)/1000)</f>
        <v>6.36878643349231</v>
      </c>
      <c r="AW7" s="714"/>
      <c r="AX7" s="714"/>
      <c r="AY7" s="714"/>
      <c r="AZ7" s="723"/>
      <c r="BA7" s="714"/>
      <c r="BB7" s="725"/>
      <c r="BC7" s="727"/>
      <c r="BD7" s="727"/>
      <c r="BE7" s="727"/>
      <c r="BF7" s="729"/>
    </row>
    <row r="8" spans="1:58" customHeight="1" ht="13.9">
      <c r="A8" s="485">
        <f>IF(B8="","",1+A7)</f>
        <v>5</v>
      </c>
      <c r="B8" s="68">
        <v>46059</v>
      </c>
      <c r="C8" s="69"/>
      <c r="D8" s="70"/>
      <c r="E8" s="76"/>
      <c r="F8" s="70"/>
      <c r="G8" s="76"/>
      <c r="H8" s="70"/>
      <c r="I8" s="491"/>
      <c r="J8" s="491"/>
      <c r="K8" s="70"/>
      <c r="L8" s="494"/>
      <c r="M8" s="494"/>
      <c r="N8" s="76"/>
      <c r="O8" s="76"/>
      <c r="P8" s="467"/>
      <c r="Q8" s="412"/>
      <c r="R8" s="422">
        <v>73336</v>
      </c>
      <c r="S8" s="274"/>
      <c r="T8" s="401"/>
      <c r="U8" s="407"/>
      <c r="V8" s="249"/>
      <c r="W8" s="401"/>
      <c r="X8" s="278"/>
      <c r="Y8" s="78"/>
      <c r="Z8" s="403"/>
      <c r="AA8" s="281">
        <v>174</v>
      </c>
      <c r="AB8" s="79">
        <v>329</v>
      </c>
      <c r="AC8" s="85">
        <v>144</v>
      </c>
      <c r="AD8" s="592">
        <f>IF(B8="","",(((C8+F8+H8+K8+Q8+N8+O8)*50))+((E8*10))+(((I8+J8+D8+G8+L8+M8+U8)*25)+(X8*25)+(Y8*25)+(Z8*25)+(AA8*25)+(AB8*40)+(AC8*50)+(R8*1)+(S8*1)+(T8*1)))</f>
        <v>98046</v>
      </c>
      <c r="AE8" s="55">
        <f>IF(B8="","",C8+F8+H8+K8+Q8+N8+O8+((I8+J8+D8+G8)/2)+(R8/50)+(S8/50)+(T8/50)+(U8/2)+(E8/5))</f>
        <v>1466.72000000000003</v>
      </c>
      <c r="AF8" s="56">
        <f>IF(B8="","",((AE8*50)/AD8))</f>
        <v>0.74797544009955</v>
      </c>
      <c r="AG8" s="57" t="str">
        <f>IF(C8="","",((Z8)*25)/AD8)</f>
        <v/>
      </c>
      <c r="AH8" s="57">
        <f>IF(B8="","",(X8*25)/AD8)</f>
        <v>0</v>
      </c>
      <c r="AI8" s="57">
        <f>IF(B8="","",(Y8*25)/AD8)</f>
        <v>0</v>
      </c>
      <c r="AJ8" s="57">
        <f>IF(B8="","",(AA8*25)/AD8)</f>
        <v>0.044366929808457</v>
      </c>
      <c r="AK8" s="58">
        <f>IF(B8="","",(AB8*40)/AD8)</f>
        <v>0.13422271178834</v>
      </c>
      <c r="AL8" s="58">
        <f>IF(B8="","",(AC8*50)/AD8)</f>
        <v>0.073434918303653</v>
      </c>
      <c r="AM8" s="59">
        <f>IF(B8="","",B8)</f>
        <v>46059</v>
      </c>
      <c r="AN8" s="233">
        <v>22.25</v>
      </c>
      <c r="AO8" s="82">
        <f>4.48+9.25</f>
        <v>13.73</v>
      </c>
      <c r="AP8" s="600">
        <f>24-AN8</f>
        <v>1.75</v>
      </c>
      <c r="AQ8" s="63">
        <f>IF(AN8="","",AN8/AO8)</f>
        <v>1.62053896576839</v>
      </c>
      <c r="AR8" s="64">
        <f>IF(AN8="","",(AD8/AN8)/1000)</f>
        <v>4.40656179775281</v>
      </c>
      <c r="AS8" s="64">
        <f>IF(AN8="","",AR8*24)</f>
        <v>105.75748314606741</v>
      </c>
      <c r="AT8" s="65">
        <f>IF(AN8="","",(AD8/1000)*100%/AS8)</f>
        <v>0.92708333333333</v>
      </c>
      <c r="AU8" s="64">
        <f>IF(AN8="","",(AE8/AN8))</f>
        <v>65.92</v>
      </c>
      <c r="AV8" s="229">
        <f>IF(AN8="","",(AD8/AO8)/1000)</f>
        <v>7.14100509832484</v>
      </c>
      <c r="AW8" s="714"/>
      <c r="AX8" s="714"/>
      <c r="AY8" s="714"/>
      <c r="AZ8" s="723"/>
      <c r="BA8" s="714"/>
      <c r="BB8" s="725"/>
      <c r="BC8" s="727"/>
      <c r="BD8" s="727"/>
      <c r="BE8" s="727"/>
      <c r="BF8" s="729"/>
    </row>
    <row r="9" spans="1:58" customHeight="1" ht="15">
      <c r="A9" s="485">
        <f>IF(B9="","",1+A8)</f>
        <v>6</v>
      </c>
      <c r="B9" s="68">
        <v>46062</v>
      </c>
      <c r="C9" s="69">
        <f>281+30</f>
        <v>311</v>
      </c>
      <c r="D9" s="70"/>
      <c r="E9" s="76"/>
      <c r="F9" s="70"/>
      <c r="G9" s="76">
        <v>161</v>
      </c>
      <c r="H9" s="70"/>
      <c r="I9" s="491">
        <f>92+1248+35+161+415</f>
        <v>1951</v>
      </c>
      <c r="J9" s="491"/>
      <c r="K9" s="70"/>
      <c r="L9" s="494"/>
      <c r="M9" s="494"/>
      <c r="N9" s="76"/>
      <c r="O9" s="76"/>
      <c r="P9" s="467"/>
      <c r="Q9" s="412"/>
      <c r="R9" s="410"/>
      <c r="S9" s="242"/>
      <c r="T9" s="401">
        <v>20360</v>
      </c>
      <c r="U9" s="407"/>
      <c r="V9" s="249"/>
      <c r="W9" s="401"/>
      <c r="X9" s="278"/>
      <c r="Y9" s="78"/>
      <c r="Z9" s="403"/>
      <c r="AA9" s="281">
        <f>44+30+18+75</f>
        <v>167</v>
      </c>
      <c r="AB9" s="79">
        <f>103+40+67+145</f>
        <v>355</v>
      </c>
      <c r="AC9" s="85">
        <v>12</v>
      </c>
      <c r="AD9" s="592">
        <f>IF(B9="","",(((C9+F9+H9+K9+Q9+N9+O9)*50))+((E9*10))+(((I9+J9+D9+G9+L9+M9+U9)*25)+(X9*25)+(Y9*25)+(Z9*25)+(AA9*25)+(AB9*40)+(AC9*50)+(R9*1)+(S9*1)+(T9*1)))</f>
        <v>107685</v>
      </c>
      <c r="AE9" s="55">
        <f>IF(B9="","",C9+F9+H9+K9+Q9+N9+O9+((I9+J9+D9+G9)/2)+(R9/50)+(S9/50)+(T9/50)+(U9/2)+(E9/5))</f>
        <v>1774.20000000000005</v>
      </c>
      <c r="AF9" s="56">
        <f>IF(B9="","",((AE9*50)/AD9))</f>
        <v>0.82379161443098</v>
      </c>
      <c r="AG9" s="57">
        <f>IF(C9="","",((Z9)*25)/AD9)</f>
        <v>0</v>
      </c>
      <c r="AH9" s="57">
        <f>IF(B9="","",(X9*25)/AD9)</f>
        <v>0</v>
      </c>
      <c r="AI9" s="57">
        <f>IF(B9="","",(Y9*25)/AD9)</f>
        <v>0</v>
      </c>
      <c r="AJ9" s="57">
        <f>IF(B9="","",(AA9*25)/AD9)</f>
        <v>0.0387704879974</v>
      </c>
      <c r="AK9" s="58">
        <f>IF(B9="","",(AB9*40)/AD9)</f>
        <v>0.13186609091331</v>
      </c>
      <c r="AL9" s="58">
        <f>IF(B9="","",(AC9*50)/AD9)</f>
        <v>0.005571806658309</v>
      </c>
      <c r="AM9" s="59">
        <f>IF(B9="","",B9)</f>
        <v>46062</v>
      </c>
      <c r="AN9" s="233">
        <v>24</v>
      </c>
      <c r="AO9" s="82">
        <v>15.77</v>
      </c>
      <c r="AP9" s="600">
        <f>24-AN9</f>
        <v>0</v>
      </c>
      <c r="AQ9" s="63">
        <f>IF(AN9="","",AN9/AO9)</f>
        <v>1.52187698161065</v>
      </c>
      <c r="AR9" s="64">
        <f>IF(AN9="","",(AD9/AN9)/1000)</f>
        <v>4.486875</v>
      </c>
      <c r="AS9" s="64">
        <f>IF(AN9="","",AR9*24)</f>
        <v>107.685</v>
      </c>
      <c r="AT9" s="65">
        <f>IF(AN9="","",(AD9/1000)*100%/AS9)</f>
        <v>1</v>
      </c>
      <c r="AU9" s="64">
        <f>IF(AN9="","",(AE9/AN9))</f>
        <v>73.925</v>
      </c>
      <c r="AV9" s="229">
        <f>IF(AN9="","",(AD9/AO9)/1000)</f>
        <v>6.8284717818643</v>
      </c>
      <c r="AW9" s="714"/>
      <c r="AX9" s="714"/>
      <c r="AY9" s="714"/>
      <c r="AZ9" s="723"/>
      <c r="BA9" s="714"/>
      <c r="BB9" s="725"/>
      <c r="BC9" s="727"/>
      <c r="BD9" s="727"/>
      <c r="BE9" s="727"/>
      <c r="BF9" s="729"/>
    </row>
    <row r="10" spans="1:58" customHeight="1" ht="13.9">
      <c r="A10" s="485">
        <f>IF(B10="","",1+A9)</f>
        <v>7</v>
      </c>
      <c r="B10" s="68">
        <v>46063</v>
      </c>
      <c r="C10" s="69">
        <f>86500/50</f>
        <v>1730</v>
      </c>
      <c r="D10" s="70"/>
      <c r="E10" s="76"/>
      <c r="F10" s="70"/>
      <c r="G10" s="76"/>
      <c r="H10" s="70"/>
      <c r="I10" s="491"/>
      <c r="J10" s="491"/>
      <c r="K10" s="70"/>
      <c r="L10" s="494"/>
      <c r="M10" s="494"/>
      <c r="N10" s="76"/>
      <c r="O10" s="76"/>
      <c r="P10" s="467"/>
      <c r="Q10" s="412"/>
      <c r="R10" s="410"/>
      <c r="S10" s="242"/>
      <c r="T10" s="401"/>
      <c r="U10" s="407"/>
      <c r="V10" s="249"/>
      <c r="W10" s="401"/>
      <c r="X10" s="278"/>
      <c r="Y10" s="78">
        <f>17+5+5</f>
        <v>27</v>
      </c>
      <c r="Z10" s="403"/>
      <c r="AA10" s="281">
        <f>44+50+59</f>
        <v>153</v>
      </c>
      <c r="AB10" s="79">
        <f>154*2+132</f>
        <v>440</v>
      </c>
      <c r="AC10" s="85">
        <v>70</v>
      </c>
      <c r="AD10" s="592">
        <f>IF(B10="","",(((C10+F10+H10+K10+Q10+N10+O10)*50))+((E10*10))+(((I10+J10+D10+G10+L10+M10+U10)*25)+(X10*25)+(Y10*25)+(Z10*25)+(AA10*25)+(AB10*40)+(AC10*50)+(R10*1)+(S10*1)+(T10*1)))</f>
        <v>112100</v>
      </c>
      <c r="AE10" s="55">
        <f>IF(B10="","",C10+F10+H10+K10+Q10+N10+O10+((I10+J10+D10+G10)/2)+(R10/50)+(S10/50)+(T10/50)+(U10/2)+(E10/5))</f>
        <v>1730</v>
      </c>
      <c r="AF10" s="56">
        <f>IF(B10="","",((AE10*50)/AD10))</f>
        <v>0.77163247100803</v>
      </c>
      <c r="AG10" s="57">
        <f>IF(C10="","",((Z10)*25)/AD10)</f>
        <v>0</v>
      </c>
      <c r="AH10" s="57">
        <f>IF(B10="","",(X10*25)/AD10)</f>
        <v>0</v>
      </c>
      <c r="AI10" s="57">
        <f>IF(B10="","",(Y10*25)/AD10)</f>
        <v>0.006021409455843</v>
      </c>
      <c r="AJ10" s="57">
        <f>IF(B10="","",(AA10*25)/AD10)</f>
        <v>0.034121320249777</v>
      </c>
      <c r="AK10" s="58">
        <f>IF(B10="","",(AB10*40)/AD10)</f>
        <v>0.15700267618198</v>
      </c>
      <c r="AL10" s="58">
        <f>IF(B10="","",(AC10*50)/AD10)</f>
        <v>0.031222123104371</v>
      </c>
      <c r="AM10" s="59">
        <f>IF(B10="","",B10)</f>
        <v>46063</v>
      </c>
      <c r="AN10" s="233">
        <v>22.25</v>
      </c>
      <c r="AO10" s="82">
        <v>18.25</v>
      </c>
      <c r="AP10" s="600">
        <f>24-AN10</f>
        <v>1.75</v>
      </c>
      <c r="AQ10" s="63">
        <f>IF(AN10="","",AN10/AO10)</f>
        <v>1.21917808219178</v>
      </c>
      <c r="AR10" s="64">
        <f>IF(AN10="","",(AD10/AN10)/1000)</f>
        <v>5.038202247191012</v>
      </c>
      <c r="AS10" s="64">
        <f>IF(AN10="","",AR10*24)</f>
        <v>120.91685393258427</v>
      </c>
      <c r="AT10" s="65">
        <f>IF(AN10="","",(AD10/1000)*100%/AS10)</f>
        <v>0.92708333333333</v>
      </c>
      <c r="AU10" s="64">
        <f>IF(AN10="","",(AE10/AN10))</f>
        <v>77.75280898876404</v>
      </c>
      <c r="AV10" s="229">
        <f>IF(AN10="","",(AD10/AO10)/1000)</f>
        <v>6.14246575342466</v>
      </c>
      <c r="AW10" s="714"/>
      <c r="AX10" s="714"/>
      <c r="AY10" s="714"/>
      <c r="AZ10" s="723"/>
      <c r="BA10" s="714"/>
      <c r="BB10" s="725"/>
      <c r="BC10" s="727"/>
      <c r="BD10" s="727"/>
      <c r="BE10" s="727"/>
      <c r="BF10" s="729"/>
    </row>
    <row r="11" spans="1:58" customHeight="1" ht="13.9">
      <c r="A11" s="485">
        <f>IF(B11="","",1+A10)</f>
        <v>8</v>
      </c>
      <c r="B11" s="226">
        <v>46064</v>
      </c>
      <c r="C11" s="73">
        <v>1862</v>
      </c>
      <c r="D11" s="70"/>
      <c r="E11" s="76"/>
      <c r="F11" s="70"/>
      <c r="G11" s="76"/>
      <c r="H11" s="70"/>
      <c r="I11" s="491"/>
      <c r="J11" s="491"/>
      <c r="K11" s="70"/>
      <c r="L11" s="494"/>
      <c r="M11" s="494"/>
      <c r="N11" s="76"/>
      <c r="O11" s="76"/>
      <c r="P11" s="467"/>
      <c r="Q11" s="412"/>
      <c r="R11" s="410"/>
      <c r="S11" s="242"/>
      <c r="T11" s="401"/>
      <c r="U11" s="407"/>
      <c r="V11" s="249"/>
      <c r="W11" s="401"/>
      <c r="X11" s="278"/>
      <c r="Y11" s="278"/>
      <c r="Z11" s="403"/>
      <c r="AA11" s="281">
        <v>160</v>
      </c>
      <c r="AB11" s="79">
        <v>396</v>
      </c>
      <c r="AC11" s="85">
        <v>70</v>
      </c>
      <c r="AD11" s="592">
        <f>IF(B11="","",(((C11+F11+H11+K11+Q11+N11+O11)*50))+((E11*10))+(((I11+J11+D11+G11+L11+M11+U11)*25)+(X11*25)+(Y11*25)+(Z11*25)+(AA11*25)+(AB11*40)+(AC11*50)+(R11*1)+(S11*1)+(T11*1)))</f>
        <v>116440</v>
      </c>
      <c r="AE11" s="55">
        <f>IF(B11="","",C11+F11+H11+K11+Q11+N11+O11+((I11+J11+D11+G11)/2)+(R11/50)+(S11/50)+(T11/50)+(U11/2)+(E11/5))</f>
        <v>1862</v>
      </c>
      <c r="AF11" s="56">
        <f>IF(B11="","",((AE11*50)/AD11))</f>
        <v>0.79955341806939</v>
      </c>
      <c r="AG11" s="57">
        <f>IF(C11="","",((Z11)*25)/AD11)</f>
        <v>0</v>
      </c>
      <c r="AH11" s="57">
        <f>IF(B11="","",(X11*25)/AD11)</f>
        <v>0</v>
      </c>
      <c r="AI11" s="57">
        <f>IF(B11="","",(Y11*25)/AD11)</f>
        <v>0</v>
      </c>
      <c r="AJ11" s="57">
        <f>IF(B11="","",(AA11*25)/AD11)</f>
        <v>0.034352456200618</v>
      </c>
      <c r="AK11" s="58">
        <f>IF(B11="","",(AB11*40)/AD11)</f>
        <v>0.13603572655445</v>
      </c>
      <c r="AL11" s="58">
        <f>IF(B11="","",(AC11*50)/AD11)</f>
        <v>0.030058399175541</v>
      </c>
      <c r="AM11" s="59">
        <f>IF(B11="","",B11)</f>
        <v>46064</v>
      </c>
      <c r="AN11" s="233">
        <v>22.5</v>
      </c>
      <c r="AO11" s="82">
        <v>14.07</v>
      </c>
      <c r="AP11" s="600">
        <f>24-AN11</f>
        <v>1.5</v>
      </c>
      <c r="AQ11" s="63">
        <f>IF(AN11="","",AN11/AO11)</f>
        <v>1.59914712153518</v>
      </c>
      <c r="AR11" s="64">
        <f>IF(AN11="","",(AD11/AN11)/1000)</f>
        <v>5.17511111111111</v>
      </c>
      <c r="AS11" s="64">
        <f>IF(AN11="","",AR11*24)</f>
        <v>124.20266666666669</v>
      </c>
      <c r="AT11" s="65">
        <f>IF(AN11="","",(AD11/1000)*100%/AS11)</f>
        <v>0.9375</v>
      </c>
      <c r="AU11" s="64">
        <f>IF(AN11="","",(AE11/AN11))</f>
        <v>82.75555555555556</v>
      </c>
      <c r="AV11" s="229">
        <f>IF(AN11="","",(AD11/AO11)/1000)</f>
        <v>8.27576403695807</v>
      </c>
      <c r="AW11" s="714"/>
      <c r="AX11" s="714"/>
      <c r="AY11" s="714"/>
      <c r="AZ11" s="723"/>
      <c r="BA11" s="714"/>
      <c r="BB11" s="725"/>
      <c r="BC11" s="727"/>
      <c r="BD11" s="727"/>
      <c r="BE11" s="727"/>
      <c r="BF11" s="729"/>
    </row>
    <row r="12" spans="1:58" customHeight="1" ht="13.9">
      <c r="A12" s="485">
        <f>IF(B12="","",1+A11)</f>
        <v>9</v>
      </c>
      <c r="B12" s="226">
        <v>46065</v>
      </c>
      <c r="C12" s="69">
        <v>149</v>
      </c>
      <c r="D12" s="70"/>
      <c r="E12" s="76"/>
      <c r="F12" s="70"/>
      <c r="G12" s="76"/>
      <c r="H12" s="70"/>
      <c r="I12" s="491"/>
      <c r="J12" s="491"/>
      <c r="K12" s="70"/>
      <c r="L12" s="494"/>
      <c r="M12" s="494"/>
      <c r="N12" s="76"/>
      <c r="O12" s="76"/>
      <c r="P12" s="467"/>
      <c r="Q12" s="412"/>
      <c r="R12" s="410">
        <v>81024</v>
      </c>
      <c r="S12" s="242"/>
      <c r="T12" s="401"/>
      <c r="U12" s="407"/>
      <c r="V12" s="249"/>
      <c r="W12" s="401"/>
      <c r="X12" s="278"/>
      <c r="Y12" s="78"/>
      <c r="Z12" s="403"/>
      <c r="AA12" s="281">
        <v>172</v>
      </c>
      <c r="AB12" s="79">
        <v>385</v>
      </c>
      <c r="AC12" s="85">
        <v>196</v>
      </c>
      <c r="AD12" s="592">
        <f>IF(B12="","",(((C12+F12+H12+K12+Q12+N12+O12)*50))+((E12*10))+(((I12+J12+D12+G12+L12+M12+U12)*25)+(X12*25)+(Y12*25)+(Z12*25)+(AA12*25)+(AB12*40)+(AC12*50)+(R12*1)+(S12*1)+(T12*1)))</f>
        <v>117974</v>
      </c>
      <c r="AE12" s="55">
        <f>IF(B12="","",C12+F12+H12+K12+Q12+N12+O12+((I12+J12+D12+G12)/2)+(R12/50)+(S12/50)+(T12/50)+(U12/2)+(E12/5))</f>
        <v>1769.48000000000002</v>
      </c>
      <c r="AF12" s="56">
        <f>IF(B12="","",((AE12*50)/AD12))</f>
        <v>0.74994490311425</v>
      </c>
      <c r="AG12" s="57">
        <f>IF(C12="","",((Z12)*25)/AD12)</f>
        <v>0</v>
      </c>
      <c r="AH12" s="57">
        <f>IF(B12="","",(X12*25)/AD12)</f>
        <v>0</v>
      </c>
      <c r="AI12" s="57">
        <f>IF(B12="","",(Y12*25)/AD12)</f>
        <v>0</v>
      </c>
      <c r="AJ12" s="57">
        <f>IF(B12="","",(AA12*25)/AD12)</f>
        <v>0.036448709037585</v>
      </c>
      <c r="AK12" s="58">
        <f>IF(B12="","",(AB12*40)/AD12)</f>
        <v>0.13053723701833</v>
      </c>
      <c r="AL12" s="58">
        <f>IF(B12="","",(AC12*50)/AD12)</f>
        <v>0.083069150829844</v>
      </c>
      <c r="AM12" s="59">
        <f>IF(B12="","",B12)</f>
        <v>46065</v>
      </c>
      <c r="AN12" s="233">
        <v>23.3</v>
      </c>
      <c r="AO12" s="82">
        <v>22.3</v>
      </c>
      <c r="AP12" s="600">
        <f>24-AN12</f>
        <v>0.7</v>
      </c>
      <c r="AQ12" s="63">
        <f>IF(AN12="","",AN12/AO12)</f>
        <v>1.044843049327354</v>
      </c>
      <c r="AR12" s="64">
        <f>IF(AN12="","",(AD12/AN12)/1000)</f>
        <v>5.063261802575107</v>
      </c>
      <c r="AS12" s="64">
        <f>IF(AN12="","",AR12*24)</f>
        <v>121.51828326180258</v>
      </c>
      <c r="AT12" s="65">
        <f>IF(AN12="","",(AD12/1000)*100%/AS12)</f>
        <v>0.97083333333333</v>
      </c>
      <c r="AU12" s="64">
        <f>IF(AN12="","",(AE12/AN12))</f>
        <v>75.94334763948498</v>
      </c>
      <c r="AV12" s="229">
        <f>IF(AN12="","",(AD12/AO12)/1000)</f>
        <v>5.29031390134529</v>
      </c>
      <c r="AW12" s="714"/>
      <c r="AX12" s="714"/>
      <c r="AY12" s="714"/>
      <c r="AZ12" s="723"/>
      <c r="BA12" s="714"/>
      <c r="BB12" s="725"/>
      <c r="BC12" s="727"/>
      <c r="BD12" s="727"/>
      <c r="BE12" s="727"/>
      <c r="BF12" s="729"/>
    </row>
    <row r="13" spans="1:58" customHeight="1" ht="13.9">
      <c r="A13" s="485">
        <f>IF(B13="","",1+A12)</f>
        <v>10</v>
      </c>
      <c r="B13" s="226">
        <v>46066</v>
      </c>
      <c r="C13" s="69"/>
      <c r="D13" s="70"/>
      <c r="E13" s="76"/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>
        <v>82608</v>
      </c>
      <c r="S13" s="242"/>
      <c r="T13" s="401"/>
      <c r="U13" s="407"/>
      <c r="V13" s="249"/>
      <c r="W13" s="401"/>
      <c r="X13" s="278"/>
      <c r="Y13" s="78"/>
      <c r="Z13" s="403"/>
      <c r="AA13" s="281">
        <v>142</v>
      </c>
      <c r="AB13" s="79">
        <v>366</v>
      </c>
      <c r="AC13" s="85">
        <v>189</v>
      </c>
      <c r="AD13" s="592">
        <f>IF(B13="","",(((C13+F13+H13+K13+Q13+N13+O13)*50))+((E13*10))+(((I13+J13+D13+G13+L13+M13+U13)*25)+(X13*25)+(Y13*25)+(Z13*25)+(AA13*25)+(AB13*40)+(AC13*50)+(R13*1)+(S13*1)+(T13*1)))</f>
        <v>110248</v>
      </c>
      <c r="AE13" s="55">
        <f>IF(B13="","",C13+F13+H13+K13+Q13+N13+O13+((I13+J13+D13+G13)/2)+(R13/50)+(S13/50)+(T13/50)+(U13/2)+(E13/5))</f>
        <v>1652.16000000000008</v>
      </c>
      <c r="AF13" s="56">
        <f>IF(B13="","",((AE13*50)/AD13))</f>
        <v>0.74929250417241</v>
      </c>
      <c r="AG13" s="57" t="str">
        <f>IF(C13="","",((Z13)*25)/AD13)</f>
        <v/>
      </c>
      <c r="AH13" s="57">
        <f>IF(B13="","",(X13*25)/AD13)</f>
        <v>0</v>
      </c>
      <c r="AI13" s="57">
        <f>IF(B13="","",(Y13*25)/AD13)</f>
        <v>0</v>
      </c>
      <c r="AJ13" s="57">
        <f>IF(B13="","",(AA13*25)/AD13)</f>
        <v>0.032200130614614</v>
      </c>
      <c r="AK13" s="58">
        <f>IF(B13="","",(AB13*40)/AD13)</f>
        <v>0.1327915245628</v>
      </c>
      <c r="AL13" s="58">
        <f>IF(B13="","",(AC13*50)/AD13)</f>
        <v>0.085715840650171</v>
      </c>
      <c r="AM13" s="59">
        <f>IF(B13="","",B13)</f>
        <v>46066</v>
      </c>
      <c r="AN13" s="233">
        <v>24</v>
      </c>
      <c r="AO13" s="82">
        <f>8.43+10.14</f>
        <v>18.57</v>
      </c>
      <c r="AP13" s="600">
        <f>24-AN13</f>
        <v>0</v>
      </c>
      <c r="AQ13" s="63">
        <f>IF(AN13="","",AN13/AO13)</f>
        <v>1.2924071082391</v>
      </c>
      <c r="AR13" s="64">
        <f>IF(AN13="","",(AD13/AN13)/1000)</f>
        <v>4.59366666666667</v>
      </c>
      <c r="AS13" s="64">
        <f>IF(AN13="","",AR13*24)</f>
        <v>110.24799999999999</v>
      </c>
      <c r="AT13" s="65">
        <f>IF(AN13="","",(AD13/1000)*100%/AS13)</f>
        <v>1</v>
      </c>
      <c r="AU13" s="64">
        <f>IF(AN13="","",(AE13/AN13))</f>
        <v>68.84</v>
      </c>
      <c r="AV13" s="229">
        <f>IF(AN13="","",(AD13/AO13)/1000)</f>
        <v>5.93688745288099</v>
      </c>
      <c r="AW13" s="714"/>
      <c r="AX13" s="714"/>
      <c r="AY13" s="714"/>
      <c r="AZ13" s="723"/>
      <c r="BA13" s="714"/>
      <c r="BB13" s="725"/>
      <c r="BC13" s="727"/>
      <c r="BD13" s="727"/>
      <c r="BE13" s="727"/>
      <c r="BF13" s="729"/>
    </row>
    <row r="14" spans="1:58" customHeight="1" ht="13.9">
      <c r="A14" s="485">
        <f>IF(B14="","",1+A13)</f>
        <v>11</v>
      </c>
      <c r="B14" s="226">
        <v>46069</v>
      </c>
      <c r="C14" s="69"/>
      <c r="D14" s="70"/>
      <c r="E14" s="76"/>
      <c r="F14" s="70"/>
      <c r="G14" s="76"/>
      <c r="H14" s="70"/>
      <c r="I14" s="491"/>
      <c r="J14" s="491"/>
      <c r="K14" s="70"/>
      <c r="L14" s="494"/>
      <c r="M14" s="494"/>
      <c r="N14" s="76"/>
      <c r="O14" s="76"/>
      <c r="P14" s="467"/>
      <c r="Q14" s="412"/>
      <c r="R14" s="410">
        <f>50352+28912+2120+6592</f>
        <v>87976</v>
      </c>
      <c r="S14" s="242"/>
      <c r="T14" s="401"/>
      <c r="U14" s="407"/>
      <c r="V14" s="249"/>
      <c r="W14" s="401"/>
      <c r="X14" s="278"/>
      <c r="Y14" s="78">
        <f>15+23</f>
        <v>38</v>
      </c>
      <c r="Z14" s="403"/>
      <c r="AA14" s="281">
        <f>100+63+59</f>
        <v>222</v>
      </c>
      <c r="AB14" s="79">
        <f>150+80+131+125</f>
        <v>486</v>
      </c>
      <c r="AC14" s="85">
        <f>73+40</f>
        <v>113</v>
      </c>
      <c r="AD14" s="592">
        <f>IF(B14="","",(((C14+F14+H14+K14+Q14+N14+O14)*50))+((E14*10))+(((I14+J14+D14+G14+L14+M14+U14)*25)+(X14*25)+(Y14*25)+(Z14*25)+(AA14*25)+(AB14*40)+(AC14*50)+(R14*1)+(S14*1)+(T14*1)))</f>
        <v>119566</v>
      </c>
      <c r="AE14" s="55">
        <f>IF(B14="","",C14+F14+H14+K14+Q14+N14+O14+((I14+J14+D14+G14)/2)+(R14/50)+(S14/50)+(T14/50)+(U14/2)+(E14/5))</f>
        <v>1759.51999999999998</v>
      </c>
      <c r="AF14" s="56">
        <f>IF(B14="","",((AE14*50)/AD14))</f>
        <v>0.7357944566181</v>
      </c>
      <c r="AG14" s="57" t="str">
        <f>IF(C14="","",((Z14)*25)/AD14)</f>
        <v/>
      </c>
      <c r="AH14" s="57">
        <f>IF(B14="","",(X14*25)/AD14)</f>
        <v>0</v>
      </c>
      <c r="AI14" s="57">
        <f>IF(B14="","",(Y14*25)/AD14)</f>
        <v>0.0079454025391834</v>
      </c>
      <c r="AJ14" s="57">
        <f>IF(B14="","",(AA14*25)/AD14)</f>
        <v>0.046417877992071</v>
      </c>
      <c r="AK14" s="58">
        <f>IF(B14="","",(AB14*40)/AD14)</f>
        <v>0.16258802669655</v>
      </c>
      <c r="AL14" s="58">
        <f>IF(B14="","",(AC14*50)/AD14)</f>
        <v>0.047254236154091</v>
      </c>
      <c r="AM14" s="59">
        <f>IF(B14="","",B14)</f>
        <v>46069</v>
      </c>
      <c r="AN14" s="233">
        <v>24</v>
      </c>
      <c r="AO14" s="82">
        <v>20.38</v>
      </c>
      <c r="AP14" s="600">
        <f>24-AN14</f>
        <v>0</v>
      </c>
      <c r="AQ14" s="63">
        <f>IF(AN14="","",AN14/AO14)</f>
        <v>1.17762512266928</v>
      </c>
      <c r="AR14" s="64">
        <f>IF(AN14="","",(AD14/AN14)/1000)</f>
        <v>4.98191666666667</v>
      </c>
      <c r="AS14" s="64">
        <f>IF(AN14="","",AR14*24)</f>
        <v>119.566</v>
      </c>
      <c r="AT14" s="65">
        <f>IF(AN14="","",(AD14/1000)*100%/AS14)</f>
        <v>1</v>
      </c>
      <c r="AU14" s="64">
        <f>IF(AN14="","",(AE14/AN14))</f>
        <v>73.31333333333333</v>
      </c>
      <c r="AV14" s="229">
        <f>IF(AN14="","",(AD14/AO14)/1000)</f>
        <v>5.86683022571148</v>
      </c>
      <c r="AW14" s="714"/>
      <c r="AX14" s="714"/>
      <c r="AY14" s="714"/>
      <c r="AZ14" s="723"/>
      <c r="BA14" s="714"/>
      <c r="BB14" s="725"/>
      <c r="BC14" s="727"/>
      <c r="BD14" s="727"/>
      <c r="BE14" s="727"/>
      <c r="BF14" s="729"/>
    </row>
    <row r="15" spans="1:58" customHeight="1" ht="13.9">
      <c r="A15" s="485">
        <f>IF(B15="","",1+A14)</f>
        <v>12</v>
      </c>
      <c r="B15" s="226">
        <v>46070</v>
      </c>
      <c r="C15" s="69">
        <v>62</v>
      </c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>
        <f>14112+30016</f>
        <v>44128</v>
      </c>
      <c r="S15" s="242"/>
      <c r="T15" s="401">
        <v>24400</v>
      </c>
      <c r="U15" s="407"/>
      <c r="V15" s="249"/>
      <c r="W15" s="401"/>
      <c r="X15" s="278"/>
      <c r="Y15" s="78">
        <v>2</v>
      </c>
      <c r="Z15" s="403"/>
      <c r="AA15" s="281">
        <f>30+59+35</f>
        <v>124</v>
      </c>
      <c r="AB15" s="1">
        <f>66+125+170</f>
        <v>361</v>
      </c>
      <c r="AC15" s="85">
        <f>34+67</f>
        <v>101</v>
      </c>
      <c r="AD15" s="592">
        <f>IF(B15="","",(((C15+F15+H15+K15+Q15+N15+O15)*50))+((E15*10))+(((I15+J15+D15+G15+L15+M15+U15)*25)+(X15*25)+(Y15*25)+(Z15*25)+(AA15*25)+(AB15*40)+(AC15*50)+(R15*1)+(S15*1)+(T15*1)))</f>
        <v>94268</v>
      </c>
      <c r="AE15" s="55">
        <f>IF(B15="","",C15+F15+H15+K15+Q15+N15+O15+((I15+J15+D15+G15)/2)+(R15/50)+(S15/50)+(T15/50)+(U15/2)+(E15/5))</f>
        <v>1432.55999999999995</v>
      </c>
      <c r="AF15" s="56">
        <f>IF(B15="","",((AE15*50)/AD15))</f>
        <v>0.75983366571901</v>
      </c>
      <c r="AG15" s="57">
        <f>IF(C15="","",((Z15)*25)/AD15)</f>
        <v>0</v>
      </c>
      <c r="AH15" s="57">
        <f>IF(B15="","",(X15*25)/AD15)</f>
        <v>0</v>
      </c>
      <c r="AI15" s="57">
        <f>IF(B15="","",(Y15*25)/AD15)</f>
        <v>0.00053040268171596</v>
      </c>
      <c r="AJ15" s="57">
        <f>IF(B15="","",(AA15*25)/AD15)</f>
        <v>0.032884966266389</v>
      </c>
      <c r="AK15" s="58">
        <f>IF(B15="","",(AB15*40)/AD15)</f>
        <v>0.15318029447957</v>
      </c>
      <c r="AL15" s="58">
        <f>IF(B15="","",(AC15*50)/AD15)</f>
        <v>0.053570670853312</v>
      </c>
      <c r="AM15" s="59">
        <f>IF(B15="","",B15)</f>
        <v>46070</v>
      </c>
      <c r="AN15" s="233">
        <v>23.41</v>
      </c>
      <c r="AO15" s="82">
        <v>14.22</v>
      </c>
      <c r="AP15" s="600">
        <f>24-AN15</f>
        <v>0.59</v>
      </c>
      <c r="AQ15" s="63">
        <f>IF(AN15="","",AN15/AO15)</f>
        <v>1.64627285513361</v>
      </c>
      <c r="AR15" s="64">
        <f>IF(AN15="","",(AD15/AN15)/1000)</f>
        <v>4.026826142674071</v>
      </c>
      <c r="AS15" s="64">
        <f>IF(AN15="","",AR15*24)</f>
        <v>96.64382742417769</v>
      </c>
      <c r="AT15" s="65">
        <f>IF(AN15="","",(AD15/1000)*100%/AS15)</f>
        <v>0.97541666666667</v>
      </c>
      <c r="AU15" s="64">
        <f>IF(AN15="","",(AE15/AN15))</f>
        <v>61.19436138402392</v>
      </c>
      <c r="AV15" s="229">
        <f>IF(AN15="","",(AD15/AO15)/1000)</f>
        <v>6.62925457102672</v>
      </c>
      <c r="AW15" s="714"/>
      <c r="AX15" s="714"/>
      <c r="AY15" s="714"/>
      <c r="AZ15" s="723"/>
      <c r="BA15" s="714"/>
      <c r="BB15" s="725"/>
      <c r="BC15" s="727"/>
      <c r="BD15" s="727"/>
      <c r="BE15" s="727"/>
      <c r="BF15" s="729"/>
    </row>
    <row r="16" spans="1:58" customHeight="1" ht="13.9">
      <c r="A16" s="485">
        <f>IF(B16="","",1+A15)</f>
        <v>13</v>
      </c>
      <c r="B16" s="226">
        <v>46071</v>
      </c>
      <c r="C16" s="69">
        <f>68+568+210+426+355+271</f>
        <v>1898</v>
      </c>
      <c r="D16" s="70"/>
      <c r="E16" s="76"/>
      <c r="F16" s="70"/>
      <c r="G16" s="76"/>
      <c r="H16" s="70"/>
      <c r="I16" s="491"/>
      <c r="J16" s="491"/>
      <c r="K16" s="70"/>
      <c r="L16" s="494"/>
      <c r="M16" s="494"/>
      <c r="N16" s="76"/>
      <c r="O16" s="76"/>
      <c r="P16" s="467"/>
      <c r="Q16" s="412"/>
      <c r="R16" s="410"/>
      <c r="S16" s="242"/>
      <c r="T16" s="401"/>
      <c r="U16" s="407"/>
      <c r="V16" s="249"/>
      <c r="W16" s="401"/>
      <c r="X16" s="278"/>
      <c r="Y16" s="78"/>
      <c r="Z16" s="403"/>
      <c r="AA16" s="281">
        <f>59+61</f>
        <v>120</v>
      </c>
      <c r="AB16" s="79">
        <f>135+132+123</f>
        <v>390</v>
      </c>
      <c r="AC16" s="85">
        <v>56</v>
      </c>
      <c r="AD16" s="592">
        <f>IF(B16="","",(((C16+F16+H16+K16+Q16+N16+O16)*50))+((E16*10))+(((I16+J16+D16+G16+L16+M16+U16)*25)+(X16*25)+(Y16*25)+(Z16*25)+(AA16*25)+(AB16*40)+(AC16*50)+(R16*1)+(S16*1)+(T16*1)))</f>
        <v>116300</v>
      </c>
      <c r="AE16" s="55">
        <f>IF(B16="","",C16+F16+H16+K16+Q16+N16+O16+((I16+J16+D16+G16)/2)+(R16/50)+(S16/50)+(T16/50)+(U16/2)+(E16/5))</f>
        <v>1898</v>
      </c>
      <c r="AF16" s="56">
        <f>IF(B16="","",((AE16*50)/AD16))</f>
        <v>0.81599312123818</v>
      </c>
      <c r="AG16" s="57">
        <f>IF(C16="","",((Z16)*25)/AD16)</f>
        <v>0</v>
      </c>
      <c r="AH16" s="57">
        <f>IF(B16="","",(X16*25)/AD16)</f>
        <v>0</v>
      </c>
      <c r="AI16" s="57">
        <f>IF(B16="","",(Y16*25)/AD16)</f>
        <v>0</v>
      </c>
      <c r="AJ16" s="57">
        <f>IF(B16="","",(AA16*25)/AD16)</f>
        <v>0.02579535683577</v>
      </c>
      <c r="AK16" s="58">
        <f>IF(B16="","",(AB16*40)/AD16)</f>
        <v>0.134135855546</v>
      </c>
      <c r="AL16" s="58">
        <f>IF(B16="","",(AC16*50)/AD16)</f>
        <v>0.024075666380052</v>
      </c>
      <c r="AM16" s="59">
        <f>IF(B16="","",B16)</f>
        <v>46071</v>
      </c>
      <c r="AN16" s="233">
        <v>23.83</v>
      </c>
      <c r="AO16" s="82">
        <v>13.87</v>
      </c>
      <c r="AP16" s="600">
        <f>24-AN16</f>
        <v>0.17</v>
      </c>
      <c r="AQ16" s="63">
        <f>IF(AN16="","",AN16/AO16)</f>
        <v>1.71809661139149</v>
      </c>
      <c r="AR16" s="64">
        <f>IF(AN16="","",(AD16/AN16)/1000)</f>
        <v>4.88040285354595</v>
      </c>
      <c r="AS16" s="64">
        <f>IF(AN16="","",AR16*24)</f>
        <v>117.12966848510283</v>
      </c>
      <c r="AT16" s="65">
        <f>IF(AN16="","",(AD16/1000)*100%/AS16)</f>
        <v>0.99291666666667</v>
      </c>
      <c r="AU16" s="64">
        <f>IF(AN16="","",(AE16/AN16))</f>
        <v>79.64750314729334</v>
      </c>
      <c r="AV16" s="229">
        <f>IF(AN16="","",(AD16/AO16)/1000)</f>
        <v>8.38500360490267</v>
      </c>
      <c r="AW16" s="714"/>
      <c r="AX16" s="714"/>
      <c r="AY16" s="714"/>
      <c r="AZ16" s="723"/>
      <c r="BA16" s="714"/>
      <c r="BB16" s="725"/>
      <c r="BC16" s="727"/>
      <c r="BD16" s="727"/>
      <c r="BE16" s="727"/>
      <c r="BF16" s="729"/>
    </row>
    <row r="17" spans="1:58" customHeight="1" ht="13.9">
      <c r="A17" s="485">
        <f>IF(B17="","",1+A16)</f>
        <v>14</v>
      </c>
      <c r="B17" s="226">
        <v>46072</v>
      </c>
      <c r="C17" s="69">
        <f>509+117+474</f>
        <v>1100</v>
      </c>
      <c r="D17" s="70"/>
      <c r="E17" s="76"/>
      <c r="F17" s="70"/>
      <c r="G17" s="76"/>
      <c r="H17" s="70"/>
      <c r="I17" s="491"/>
      <c r="J17" s="491"/>
      <c r="K17" s="70"/>
      <c r="L17" s="494"/>
      <c r="M17" s="494"/>
      <c r="N17" s="76"/>
      <c r="O17" s="76"/>
      <c r="P17" s="467"/>
      <c r="Q17" s="412"/>
      <c r="R17" s="410">
        <f>6912+29024</f>
        <v>35936</v>
      </c>
      <c r="S17" s="242"/>
      <c r="T17" s="401"/>
      <c r="U17" s="407"/>
      <c r="V17" s="249"/>
      <c r="W17" s="401"/>
      <c r="X17" s="278"/>
      <c r="Y17" s="78"/>
      <c r="Z17" s="403"/>
      <c r="AA17" s="281">
        <f>90+84+62</f>
        <v>236</v>
      </c>
      <c r="AB17" s="79">
        <f>63+167+134</f>
        <v>364</v>
      </c>
      <c r="AC17" s="85">
        <v>130</v>
      </c>
      <c r="AD17" s="592">
        <f>IF(B17="","",(((C17+F17+H17+K17+Q17+N17+O17)*50))+((E17*10))+(((I17+J17+D17+G17+L17+M17+U17)*25)+(X17*25)+(Y17*25)+(Z17*25)+(AA17*25)+(AB17*40)+(AC17*50)+(R17*1)+(S17*1)+(T17*1)))</f>
        <v>117896</v>
      </c>
      <c r="AE17" s="55">
        <f>IF(B17="","",C17+F17+H17+K17+Q17+N17+O17+((I17+J17+D17+G17)/2)+(R17/50)+(S17/50)+(T17/50)+(U17/2)+(E17/5))</f>
        <v>1818.72000000000003</v>
      </c>
      <c r="AF17" s="56">
        <f>IF(B17="","",((AE17*50)/AD17))</f>
        <v>0.77132387867273</v>
      </c>
      <c r="AG17" s="57">
        <f>IF(C17="","",((Z17)*25)/AD17)</f>
        <v>0</v>
      </c>
      <c r="AH17" s="57">
        <f>IF(B17="","",(X17*25)/AD17)</f>
        <v>0</v>
      </c>
      <c r="AI17" s="57">
        <f>IF(B17="","",(Y17*25)/AD17)</f>
        <v>0</v>
      </c>
      <c r="AJ17" s="57">
        <f>IF(B17="","",(AA17*25)/AD17)</f>
        <v>0.050044106670286</v>
      </c>
      <c r="AK17" s="58">
        <f>IF(B17="","",(AB17*40)/AD17)</f>
        <v>0.12349867679989</v>
      </c>
      <c r="AL17" s="58">
        <f>IF(B17="","",(AC17*50)/AD17)</f>
        <v>0.055133337857094</v>
      </c>
      <c r="AM17" s="59">
        <f>IF(B17="","",B17)</f>
        <v>46072</v>
      </c>
      <c r="AN17" s="233">
        <v>19.58</v>
      </c>
      <c r="AO17" s="82">
        <v>14.72</v>
      </c>
      <c r="AP17" s="600">
        <f>24-AN17</f>
        <v>4.42</v>
      </c>
      <c r="AQ17" s="63">
        <f>IF(AN17="","",AN17/AO17)</f>
        <v>1.33016304347826</v>
      </c>
      <c r="AR17" s="64">
        <f>IF(AN17="","",(AD17/AN17)/1000)</f>
        <v>6.021246169560778</v>
      </c>
      <c r="AS17" s="64">
        <f>IF(AN17="","",AR17*24)</f>
        <v>144.50990806945867</v>
      </c>
      <c r="AT17" s="65">
        <f>IF(AN17="","",(AD17/1000)*100%/AS17)</f>
        <v>0.81583333333333</v>
      </c>
      <c r="AU17" s="64">
        <f>IF(AN17="","",(AE17/AN17))</f>
        <v>92.88661899897856</v>
      </c>
      <c r="AV17" s="229">
        <f>IF(AN17="","",(AD17/AO17)/1000)</f>
        <v>8.0092391304347821</v>
      </c>
      <c r="AW17" s="714"/>
      <c r="AX17" s="714"/>
      <c r="AY17" s="714"/>
      <c r="AZ17" s="723"/>
      <c r="BA17" s="714"/>
      <c r="BB17" s="725"/>
      <c r="BC17" s="727"/>
      <c r="BD17" s="727"/>
      <c r="BE17" s="727"/>
      <c r="BF17" s="729"/>
    </row>
    <row r="18" spans="1:58" customHeight="1" ht="13.9">
      <c r="A18" s="485">
        <f>IF(B18="","",1+A17)</f>
        <v>15</v>
      </c>
      <c r="B18" s="226">
        <v>46073</v>
      </c>
      <c r="C18" s="69"/>
      <c r="D18" s="70"/>
      <c r="E18" s="76"/>
      <c r="F18" s="70"/>
      <c r="G18" s="76"/>
      <c r="H18" s="70"/>
      <c r="I18" s="491"/>
      <c r="J18" s="491"/>
      <c r="K18" s="70"/>
      <c r="L18" s="494"/>
      <c r="M18" s="494"/>
      <c r="N18" s="76"/>
      <c r="O18" s="76"/>
      <c r="P18" s="467"/>
      <c r="Q18" s="412"/>
      <c r="R18" s="410">
        <f>24656+15024</f>
        <v>39680</v>
      </c>
      <c r="S18" s="242">
        <f>9296+39984</f>
        <v>49280</v>
      </c>
      <c r="T18" s="401"/>
      <c r="U18" s="407"/>
      <c r="V18" s="249"/>
      <c r="W18" s="401"/>
      <c r="X18" s="278"/>
      <c r="Y18" s="78"/>
      <c r="Z18" s="403"/>
      <c r="AA18" s="281">
        <v>163</v>
      </c>
      <c r="AB18" s="79">
        <f>118+110+246</f>
        <v>474</v>
      </c>
      <c r="AC18" s="85">
        <f>42+11+88</f>
        <v>141</v>
      </c>
      <c r="AD18" s="592">
        <f>IF(B18="","",(((C18+F18+H18+K18+Q18+N18+O18)*50))+((E18*10))+(((I18+J18+D18+G18+L18+M18+U18)*25)+(X18*25)+(Y18*25)+(Z18*25)+(AA18*25)+(AB18*40)+(AC18*50)+(R18*1)+(S18*1)+(T18*1)))</f>
        <v>119045</v>
      </c>
      <c r="AE18" s="55">
        <f>IF(B18="","",C18+F18+H18+K18+Q18+N18+O18+((I18+J18+D18+G18)/2)+(R18/50)+(S18/50)+(T18/50)+(U18/2)+(E18/5))</f>
        <v>1779.20000000000005</v>
      </c>
      <c r="AF18" s="56">
        <f>IF(B18="","",((AE18*50)/AD18))</f>
        <v>0.74728044016968</v>
      </c>
      <c r="AG18" s="57" t="str">
        <f>IF(C18="","",((Z18)*25)/AD18)</f>
        <v/>
      </c>
      <c r="AH18" s="57">
        <f>IF(B18="","",(X18*25)/AD18)</f>
        <v>0</v>
      </c>
      <c r="AI18" s="57">
        <f>IF(B18="","",(Y18*25)/AD18)</f>
        <v>0</v>
      </c>
      <c r="AJ18" s="57">
        <f>IF(B18="","",(AA18*25)/AD18)</f>
        <v>0.034230753076568</v>
      </c>
      <c r="AK18" s="58">
        <f>IF(B18="","",(AB18*40)/AD18)</f>
        <v>0.15926750388509</v>
      </c>
      <c r="AL18" s="58">
        <f>IF(B18="","",(AC18*50)/AD18)</f>
        <v>0.059221302868663</v>
      </c>
      <c r="AM18" s="59">
        <f>IF(B18="","",B18)</f>
        <v>46073</v>
      </c>
      <c r="AN18" s="233">
        <v>24</v>
      </c>
      <c r="AO18" s="82">
        <f>9.17+9.65</f>
        <v>18.82</v>
      </c>
      <c r="AP18" s="600">
        <f>24-AN18</f>
        <v>0</v>
      </c>
      <c r="AQ18" s="63">
        <f>IF(AN18="","",AN18/AO18)</f>
        <v>1.27523910733262</v>
      </c>
      <c r="AR18" s="64">
        <f>IF(AN18="","",(AD18/AN18)/1000)</f>
        <v>4.96020833333333</v>
      </c>
      <c r="AS18" s="64">
        <f>IF(AN18="","",AR18*24)</f>
        <v>119.044999999999987</v>
      </c>
      <c r="AT18" s="65">
        <f>IF(AN18="","",(AD18/1000)*100%/AS18)</f>
        <v>1</v>
      </c>
      <c r="AU18" s="64">
        <f>IF(AN18="","",(AE18/AN18))</f>
        <v>74.13333333333334</v>
      </c>
      <c r="AV18" s="229">
        <f>IF(AN18="","",(AD18/AO18)/1000)</f>
        <v>6.32545164718385</v>
      </c>
      <c r="AW18" s="714"/>
      <c r="AX18" s="714"/>
      <c r="AY18" s="714"/>
      <c r="AZ18" s="723"/>
      <c r="BA18" s="714"/>
      <c r="BB18" s="725"/>
      <c r="BC18" s="727"/>
      <c r="BD18" s="727"/>
      <c r="BE18" s="727"/>
      <c r="BF18" s="729"/>
    </row>
    <row r="19" spans="1:58" customHeight="1" ht="13.9">
      <c r="A19" s="485">
        <f>IF(B19="","",1+A18)</f>
        <v>16</v>
      </c>
      <c r="B19" s="68">
        <v>46075</v>
      </c>
      <c r="C19" s="69"/>
      <c r="D19" s="70"/>
      <c r="E19" s="76"/>
      <c r="F19" s="70"/>
      <c r="G19" s="76"/>
      <c r="H19" s="70"/>
      <c r="I19" s="491"/>
      <c r="J19" s="491"/>
      <c r="K19" s="70"/>
      <c r="L19" s="494"/>
      <c r="M19" s="494"/>
      <c r="N19" s="76"/>
      <c r="O19" s="76"/>
      <c r="P19" s="467"/>
      <c r="Q19" s="412"/>
      <c r="R19" s="410">
        <v>55504</v>
      </c>
      <c r="S19" s="242"/>
      <c r="T19" s="401"/>
      <c r="U19" s="407"/>
      <c r="V19" s="249"/>
      <c r="W19" s="401"/>
      <c r="X19" s="278"/>
      <c r="Y19" s="78"/>
      <c r="Z19" s="403"/>
      <c r="AA19" s="281">
        <v>92</v>
      </c>
      <c r="AB19" s="79">
        <v>245</v>
      </c>
      <c r="AC19" s="85">
        <v>0</v>
      </c>
      <c r="AD19" s="592">
        <f>IF(B19="","",(((C19+F19+H19+K19+Q19+N19+O19)*50))+((E19*10))+(((I19+J19+D19+G19+L19+M19+U19)*25)+(X19*25)+(Y19*25)+(Z19*25)+(AA19*25)+(AB19*40)+(AC19*50)+(R19*1)+(S19*1)+(T19*1)))</f>
        <v>67604</v>
      </c>
      <c r="AE19" s="55">
        <f>IF(B19="","",C19+F19+H19+K19+Q19+N19+O19+((I19+J19+D19+G19)/2)+(R19/50)+(S19/50)+(T19/50)+(U19/2)+(E19/5))</f>
        <v>1110.079999999999927</v>
      </c>
      <c r="AF19" s="56">
        <f>IF(B19="","",((AE19*50)/AD19))</f>
        <v>0.82101650789894</v>
      </c>
      <c r="AG19" s="57" t="str">
        <f>IF(C19="","",((Z19)*25)/AD19)</f>
        <v/>
      </c>
      <c r="AH19" s="57">
        <f>IF(B19="","",(X19*25)/AD19)</f>
        <v>0</v>
      </c>
      <c r="AI19" s="57">
        <f>IF(B19="","",(Y19*25)/AD19)</f>
        <v>0</v>
      </c>
      <c r="AJ19" s="57">
        <f>IF(B19="","",(AA19*25)/AD19)</f>
        <v>0.034021655523342</v>
      </c>
      <c r="AK19" s="58">
        <f>IF(B19="","",(AB19*40)/AD19)</f>
        <v>0.14496183657772</v>
      </c>
      <c r="AL19" s="58">
        <f>IF(B19="","",(AC19*50)/AD19)</f>
        <v>0</v>
      </c>
      <c r="AM19" s="59">
        <f>IF(B19="","",B19)</f>
        <v>46075</v>
      </c>
      <c r="AN19" s="233">
        <v>24</v>
      </c>
      <c r="AO19" s="82">
        <v>15.7</v>
      </c>
      <c r="AP19" s="600">
        <f>24-AN19</f>
        <v>0</v>
      </c>
      <c r="AQ19" s="63">
        <f>IF(AN19="","",AN19/AO19)</f>
        <v>1.52866242038217</v>
      </c>
      <c r="AR19" s="64">
        <f>IF(AN19="","",(AD19/AN19)/1000)</f>
        <v>2.81683333333333</v>
      </c>
      <c r="AS19" s="64">
        <f>IF(AN19="","",AR19*24)</f>
        <v>67.604</v>
      </c>
      <c r="AT19" s="65">
        <f>IF(AN19="","",(AD19/1000)*100%/AS19)</f>
        <v>1</v>
      </c>
      <c r="AU19" s="64">
        <f>IF(AN19="","",(AE19/AN19))</f>
        <v>46.25333333333333</v>
      </c>
      <c r="AV19" s="229">
        <f>IF(AN19="","",(AD19/AO19)/1000)</f>
        <v>4.3059872611465</v>
      </c>
      <c r="AW19" s="714"/>
      <c r="AX19" s="714"/>
      <c r="AY19" s="714"/>
      <c r="AZ19" s="723"/>
      <c r="BA19" s="714"/>
      <c r="BB19" s="725"/>
      <c r="BC19" s="727"/>
      <c r="BD19" s="727"/>
      <c r="BE19" s="727"/>
      <c r="BF19" s="729"/>
    </row>
    <row r="20" spans="1:58" customHeight="1" ht="13.9">
      <c r="A20" s="485">
        <f>IF(B20="","",1+A19)</f>
        <v>17</v>
      </c>
      <c r="B20" s="68">
        <v>46076</v>
      </c>
      <c r="C20" s="69"/>
      <c r="D20" s="70"/>
      <c r="E20" s="76"/>
      <c r="F20" s="70"/>
      <c r="G20" s="76"/>
      <c r="H20" s="70"/>
      <c r="I20" s="491">
        <f>320+880+85+584</f>
        <v>1869</v>
      </c>
      <c r="J20" s="491"/>
      <c r="K20" s="70"/>
      <c r="L20" s="494"/>
      <c r="M20" s="494"/>
      <c r="N20" s="76"/>
      <c r="O20" s="76"/>
      <c r="P20" s="467"/>
      <c r="Q20" s="412"/>
      <c r="R20" s="410">
        <v>35760</v>
      </c>
      <c r="S20" s="242"/>
      <c r="T20" s="401"/>
      <c r="U20" s="407">
        <v>275</v>
      </c>
      <c r="V20" s="249"/>
      <c r="W20" s="401"/>
      <c r="X20" s="278"/>
      <c r="Y20" s="78"/>
      <c r="Z20" s="403"/>
      <c r="AA20" s="281">
        <f>55+25+77</f>
        <v>157</v>
      </c>
      <c r="AB20" s="79">
        <f>134+126+147</f>
        <v>407</v>
      </c>
      <c r="AC20" s="85">
        <v>173</v>
      </c>
      <c r="AD20" s="592">
        <f>IF(B20="","",(((C20+F20+H20+K20+Q20+N20+O20)*50))+((E20*10))+(((I20+J20+D20+G20+L20+M20+U20)*25)+(X20*25)+(Y20*25)+(Z20*25)+(AA20*25)+(AB20*40)+(AC20*50)+(R20*1)+(S20*1)+(T20*1)))</f>
        <v>118215</v>
      </c>
      <c r="AE20" s="55">
        <f>IF(B20="","",C20+F20+H20+K20+Q20+N20+O20+((I20+J20+D20+G20+U20)/2)+(R20/50)+(S20/50)+(T20/50)+(E20/5))</f>
        <v>1787.20000000000005</v>
      </c>
      <c r="AF20" s="56">
        <f>IF(B20="","",((AE20*50)/AD20))</f>
        <v>0.75591084041788</v>
      </c>
      <c r="AG20" s="57" t="str">
        <f>IF(C20="","",((Z20)*25)/AD20)</f>
        <v/>
      </c>
      <c r="AH20" s="57">
        <f>IF(B20="","",(X20*25)/AD20)</f>
        <v>0</v>
      </c>
      <c r="AI20" s="57">
        <f>IF(B20="","",(Y20*25)/AD20)</f>
        <v>0</v>
      </c>
      <c r="AJ20" s="57">
        <f>IF(B20="","",(AA20*25)/AD20)</f>
        <v>0.033202216300808</v>
      </c>
      <c r="AK20" s="58">
        <f>IF(B20="","",(AB20*40)/AD20)</f>
        <v>0.1377151799687</v>
      </c>
      <c r="AL20" s="58">
        <f>IF(B20="","",(AC20*50)/AD20)</f>
        <v>0.073171763312608</v>
      </c>
      <c r="AM20" s="59">
        <f>IF(B20="","",B20)</f>
        <v>46076</v>
      </c>
      <c r="AN20" s="233">
        <v>21.83</v>
      </c>
      <c r="AO20" s="82">
        <v>20.98</v>
      </c>
      <c r="AP20" s="600">
        <f>24-AN20</f>
        <v>2.17</v>
      </c>
      <c r="AQ20" s="63">
        <f>IF(AN20="","",AN20/AO20)</f>
        <v>1.040514775977121</v>
      </c>
      <c r="AR20" s="64">
        <f>IF(AN20="","",(AD20/AN20)/1000)</f>
        <v>5.41525423728814</v>
      </c>
      <c r="AS20" s="64">
        <f>IF(AN20="","",AR20*24)</f>
        <v>129.96610169491527</v>
      </c>
      <c r="AT20" s="65">
        <f>IF(AN20="","",(AD20/1000)*100%/AS20)</f>
        <v>0.90958333333333</v>
      </c>
      <c r="AU20" s="64">
        <f>IF(AN20="","",(AE20/AN20))</f>
        <v>81.86898763169951</v>
      </c>
      <c r="AV20" s="229">
        <f>IF(AN20="","",(AD20/AO20)/1000)</f>
        <v>5.63465204957102</v>
      </c>
      <c r="AW20" s="714"/>
      <c r="AX20" s="714"/>
      <c r="AY20" s="714"/>
      <c r="AZ20" s="723"/>
      <c r="BA20" s="714"/>
      <c r="BB20" s="725"/>
      <c r="BC20" s="727"/>
      <c r="BD20" s="727"/>
      <c r="BE20" s="727"/>
      <c r="BF20" s="729"/>
    </row>
    <row r="21" spans="1:58" customHeight="1" ht="13.9">
      <c r="A21" s="485">
        <f>IF(B21="","",1+A20)</f>
        <v>18</v>
      </c>
      <c r="B21" s="68">
        <v>46077</v>
      </c>
      <c r="C21" s="69"/>
      <c r="D21" s="70"/>
      <c r="E21" s="76"/>
      <c r="F21" s="70"/>
      <c r="G21" s="76"/>
      <c r="H21" s="70"/>
      <c r="I21" s="76">
        <v>40</v>
      </c>
      <c r="J21" s="76"/>
      <c r="K21" s="70"/>
      <c r="L21" s="494"/>
      <c r="M21" s="494"/>
      <c r="N21" s="76"/>
      <c r="O21" s="76"/>
      <c r="P21" s="467"/>
      <c r="Q21" s="412"/>
      <c r="R21" s="410">
        <v>86766</v>
      </c>
      <c r="S21" s="242"/>
      <c r="T21" s="401"/>
      <c r="U21" s="407"/>
      <c r="V21" s="249"/>
      <c r="W21" s="401"/>
      <c r="X21" s="278"/>
      <c r="Y21" s="78"/>
      <c r="Z21" s="403"/>
      <c r="AA21" s="281">
        <f>4550/25</f>
        <v>182</v>
      </c>
      <c r="AB21" s="79">
        <f>14880/40</f>
        <v>372</v>
      </c>
      <c r="AC21" s="85">
        <f>5200/50</f>
        <v>104</v>
      </c>
      <c r="AD21" s="592">
        <f>IF(B21="","",(((C21+F21+H21+K21+Q21+N21+O21)*50))+((E21*10))+(((I21+J21+D21+G21+L21+M21+U21)*25)+(X21*25)+(Y21*25)+(Z21*25)+(AA21*25)+(AB21*40)+(AC21*50)+(R21*1)+(S21*1)+(T21*1)))</f>
        <v>112396</v>
      </c>
      <c r="AE21" s="55">
        <f>IF(B21="","",C21+F21+H21+K21+Q21+N21+O21+((I21+J21+D21+G21+U21)/2)+(R21/50)+(S21/50)+(T21/50)+(E21/5))</f>
        <v>1755.31999999999994</v>
      </c>
      <c r="AF21" s="56">
        <f>IF(B21="","",((AE21*50)/AD21))</f>
        <v>0.78086408768995</v>
      </c>
      <c r="AG21" s="57" t="str">
        <f>IF(C21="","",((Z21)*25)/AD21)</f>
        <v/>
      </c>
      <c r="AH21" s="57">
        <f>IF(B21="","",(X21*25)/AD21)</f>
        <v>0</v>
      </c>
      <c r="AI21" s="57">
        <f>IF(B21="","",(Y21*25)/AD21)</f>
        <v>0</v>
      </c>
      <c r="AJ21" s="57">
        <f>IF(B21="","",(AA21*25)/AD21)</f>
        <v>0.040481867682124</v>
      </c>
      <c r="AK21" s="58">
        <f>IF(B21="","",(AB21*40)/AD21)</f>
        <v>0.13238905299121</v>
      </c>
      <c r="AL21" s="58">
        <f>IF(B21="","",(AC21*50)/AD21)</f>
        <v>0.046264991636713</v>
      </c>
      <c r="AM21" s="59">
        <f>IF(B21="","",B21)</f>
        <v>46077</v>
      </c>
      <c r="AN21" s="233">
        <v>24</v>
      </c>
      <c r="AO21" s="82">
        <v>14.38</v>
      </c>
      <c r="AP21" s="600">
        <f>24-AN21</f>
        <v>0</v>
      </c>
      <c r="AQ21" s="63">
        <f>IF(AN21="","",AN21/AO21)</f>
        <v>1.66898470097357</v>
      </c>
      <c r="AR21" s="64">
        <f>IF(AN21="","",(AD21/AN21)/1000)</f>
        <v>4.68316666666667</v>
      </c>
      <c r="AS21" s="64">
        <f>IF(AN21="","",AR21*24)</f>
        <v>112.396</v>
      </c>
      <c r="AT21" s="65">
        <f>IF(AN21="","",(AD21/1000)*100%/AS21)</f>
        <v>1</v>
      </c>
      <c r="AU21" s="64">
        <f>IF(AN21="","",(AE21/AN21))</f>
        <v>73.13833333333334</v>
      </c>
      <c r="AV21" s="229">
        <f>IF(AN21="","",(AD21/AO21)/1000)</f>
        <v>7.81613351877608</v>
      </c>
      <c r="AW21" s="714"/>
      <c r="AX21" s="714"/>
      <c r="AY21" s="714"/>
      <c r="AZ21" s="723"/>
      <c r="BA21" s="714"/>
      <c r="BB21" s="725"/>
      <c r="BC21" s="727"/>
      <c r="BD21" s="727"/>
      <c r="BE21" s="727"/>
      <c r="BF21" s="729"/>
    </row>
    <row r="22" spans="1:58" customHeight="1" ht="13.9">
      <c r="A22" s="485">
        <f>IF(B22="","",1+A21)</f>
        <v>19</v>
      </c>
      <c r="B22" s="68">
        <v>46078</v>
      </c>
      <c r="C22" s="69">
        <f>46100/50</f>
        <v>922</v>
      </c>
      <c r="D22" s="70"/>
      <c r="E22" s="76"/>
      <c r="F22" s="70">
        <f>115+250</f>
        <v>365</v>
      </c>
      <c r="G22" s="76">
        <f>39+198</f>
        <v>237</v>
      </c>
      <c r="H22" s="70"/>
      <c r="I22" s="76">
        <f>96+871</f>
        <v>967</v>
      </c>
      <c r="J22" s="76"/>
      <c r="K22" s="70"/>
      <c r="L22" s="494"/>
      <c r="M22" s="494"/>
      <c r="N22" s="76"/>
      <c r="O22" s="76"/>
      <c r="P22" s="467"/>
      <c r="Q22" s="412"/>
      <c r="R22" s="410"/>
      <c r="S22" s="242"/>
      <c r="T22" s="401"/>
      <c r="U22" s="407"/>
      <c r="V22" s="249"/>
      <c r="W22" s="401"/>
      <c r="X22" s="278"/>
      <c r="Y22" s="78"/>
      <c r="Z22" s="403"/>
      <c r="AA22" s="281">
        <f>52+60+47</f>
        <v>159</v>
      </c>
      <c r="AB22" s="79">
        <f>135+126+126</f>
        <v>387</v>
      </c>
      <c r="AC22" s="85">
        <f>18+35</f>
        <v>53</v>
      </c>
      <c r="AD22" s="592">
        <f>IF(B22="","",(((C22+F22+H22+K22+Q22+N22+O22)*50))+((E22*10))+(((I22+J22+D22+G22+L22+M22+U22)*25)+(X22*25)+(Y22*25)+(Z22*25)+(AA22*25)+(AB22*40)+(AC22*50)+(R22*1)+(S22*1)+(T22*1)))</f>
        <v>116555</v>
      </c>
      <c r="AE22" s="55">
        <f>IF(B22="","",C22+F22+H22+K22+Q22+N22+O22+((I22+J22+D22+G22+U22)/2)+(R22/50)+(S22/50)+(T22/50)+(E22/5))</f>
        <v>1889</v>
      </c>
      <c r="AF22" s="56">
        <f>IF(B22="","",((AE22*50)/AD22))</f>
        <v>0.81034704645875</v>
      </c>
      <c r="AG22" s="57">
        <f>IF(C22="","",((Z22)*25)/AD22)</f>
        <v>0</v>
      </c>
      <c r="AH22" s="57">
        <f>IF(B22="","",(X22*25)/AD22)</f>
        <v>0</v>
      </c>
      <c r="AI22" s="57">
        <f>IF(B22="","",(Y22*25)/AD22)</f>
        <v>0</v>
      </c>
      <c r="AJ22" s="57">
        <f>IF(B22="","",(AA22*25)/AD22)</f>
        <v>0.034104071039423</v>
      </c>
      <c r="AK22" s="58">
        <f>IF(B22="","",(AB22*40)/AD22)</f>
        <v>0.13281283514221</v>
      </c>
      <c r="AL22" s="58">
        <f>IF(B22="","",(AC22*50)/AD22)</f>
        <v>0.022736047359616</v>
      </c>
      <c r="AM22" s="59">
        <f>IF(B22="","",B22)</f>
        <v>46078</v>
      </c>
      <c r="AN22" s="233">
        <v>24</v>
      </c>
      <c r="AO22" s="82">
        <v>16.92</v>
      </c>
      <c r="AP22" s="600">
        <f>24-AN22</f>
        <v>0</v>
      </c>
      <c r="AQ22" s="63">
        <f>IF(AN22="","",AN22/AO22)</f>
        <v>1.41843971631206</v>
      </c>
      <c r="AR22" s="64">
        <f>IF(AN22="","",(AD22/AN22)/1000)</f>
        <v>4.85645833333333</v>
      </c>
      <c r="AS22" s="64">
        <f>IF(AN22="","",AR22*24)</f>
        <v>116.55500000000001</v>
      </c>
      <c r="AT22" s="65">
        <f>IF(AN22="","",(AD22/1000)*100%/AS22)</f>
        <v>1</v>
      </c>
      <c r="AU22" s="64">
        <f>IF(AN22="","",(AE22/AN22))</f>
        <v>78.70833333333333</v>
      </c>
      <c r="AV22" s="229">
        <f>IF(AN22="","",(AD22/AO22)/1000)</f>
        <v>6.88859338061466</v>
      </c>
      <c r="AW22" s="714"/>
      <c r="AX22" s="714"/>
      <c r="AY22" s="714"/>
      <c r="AZ22" s="723"/>
      <c r="BA22" s="714"/>
      <c r="BB22" s="725"/>
      <c r="BC22" s="727"/>
      <c r="BD22" s="727"/>
      <c r="BE22" s="727"/>
      <c r="BF22" s="729"/>
    </row>
    <row r="23" spans="1:58" customHeight="1" ht="13.9">
      <c r="A23" s="485">
        <f>IF(B23="","",1+A22)</f>
        <v>20</v>
      </c>
      <c r="B23" s="68">
        <v>46079</v>
      </c>
      <c r="C23" s="69">
        <f>68+45</f>
        <v>113</v>
      </c>
      <c r="D23" s="70"/>
      <c r="E23" s="76"/>
      <c r="F23" s="70"/>
      <c r="G23" s="76"/>
      <c r="H23" s="70"/>
      <c r="I23" s="76">
        <f>35+983</f>
        <v>1018</v>
      </c>
      <c r="J23" s="76"/>
      <c r="K23" s="70"/>
      <c r="L23" s="494"/>
      <c r="M23" s="494"/>
      <c r="N23" s="76"/>
      <c r="O23" s="76"/>
      <c r="P23" s="467"/>
      <c r="Q23" s="412"/>
      <c r="R23" s="410">
        <v>31424</v>
      </c>
      <c r="S23" s="242">
        <v>25536</v>
      </c>
      <c r="T23" s="401"/>
      <c r="U23" s="407"/>
      <c r="V23" s="249"/>
      <c r="W23" s="401"/>
      <c r="X23" s="278"/>
      <c r="Y23" s="78"/>
      <c r="Z23" s="403"/>
      <c r="AA23" s="281">
        <f>48+71+62</f>
        <v>181</v>
      </c>
      <c r="AB23" s="79">
        <f>160+176+134</f>
        <v>470</v>
      </c>
      <c r="AC23" s="85">
        <f>11+90</f>
        <v>101</v>
      </c>
      <c r="AD23" s="592">
        <f>IF(B23="","",(((C23+F23+H23+K23+Q23+N23+O23)*50))+((E23*10))+(((I23+J23+D23+G23+L23+M23+U23)*25)+(X23*25)+(Y23*25)+(Z23*25)+(AA23*25)+(AB23*40)+(AC23*50)+(R23*1)+(S23*1)+(T23*1)))</f>
        <v>116435</v>
      </c>
      <c r="AE23" s="55">
        <f>IF(B23="","",C23+F23+H23+K23+Q23+N23+O23+((I23+J23+D23+G23+U23)/2)+(R23/50)+(S23/50)+(T23/50)+(E23/5))</f>
        <v>1761.20000000000005</v>
      </c>
      <c r="AF23" s="56">
        <f>IF(B23="","",((AE23*50)/AD23))</f>
        <v>0.75630179928716</v>
      </c>
      <c r="AG23" s="57">
        <f>IF(C23="","",((Z23)*25)/AD23)</f>
        <v>0</v>
      </c>
      <c r="AH23" s="57">
        <f>IF(B23="","",(X23*25)/AD23)</f>
        <v>0</v>
      </c>
      <c r="AI23" s="57">
        <f>IF(B23="","",(Y23*25)/AD23)</f>
        <v>0</v>
      </c>
      <c r="AJ23" s="57">
        <f>IF(B23="","",(AA23*25)/AD23)</f>
        <v>0.038862884871387</v>
      </c>
      <c r="AK23" s="58">
        <f>IF(B23="","",(AB23*40)/AD23)</f>
        <v>0.1614634774767</v>
      </c>
      <c r="AL23" s="58">
        <f>IF(B23="","",(AC23*50)/AD23)</f>
        <v>0.043371838364753</v>
      </c>
      <c r="AM23" s="59">
        <f>IF(B23="","",B23)</f>
        <v>46079</v>
      </c>
      <c r="AN23" s="233">
        <v>24</v>
      </c>
      <c r="AO23" s="82">
        <f>9.8+9.48</f>
        <v>19.28</v>
      </c>
      <c r="AP23" s="600">
        <f>24-AN23</f>
        <v>0</v>
      </c>
      <c r="AQ23" s="63">
        <f>IF(AN23="","",AN23/AO23)</f>
        <v>1.2448132780083</v>
      </c>
      <c r="AR23" s="64">
        <f>IF(AN23="","",(AD23/AN23)/1000)</f>
        <v>4.85145833333333</v>
      </c>
      <c r="AS23" s="64">
        <f>IF(AN23="","",AR23*24)</f>
        <v>116.435</v>
      </c>
      <c r="AT23" s="65">
        <f>IF(AN23="","",(AD23/1000)*100%/AS23)</f>
        <v>1</v>
      </c>
      <c r="AU23" s="64">
        <f>IF(AN23="","",(AE23/AN23))</f>
        <v>73.38333333333334</v>
      </c>
      <c r="AV23" s="229">
        <f>IF(AN23="","",(AD23/AO23)/1000)</f>
        <v>6.039159751037344</v>
      </c>
      <c r="AW23" s="714"/>
      <c r="AX23" s="714"/>
      <c r="AY23" s="714"/>
      <c r="AZ23" s="723"/>
      <c r="BA23" s="714"/>
      <c r="BB23" s="725"/>
      <c r="BC23" s="727"/>
      <c r="BD23" s="727"/>
      <c r="BE23" s="727"/>
      <c r="BF23" s="729"/>
    </row>
    <row r="24" spans="1:58" customHeight="1" ht="13.9">
      <c r="A24" s="485">
        <f>IF(B24="","",1+A23)</f>
        <v>21</v>
      </c>
      <c r="B24" s="68">
        <v>46080</v>
      </c>
      <c r="C24" s="69">
        <v>233</v>
      </c>
      <c r="D24" s="70"/>
      <c r="E24" s="76"/>
      <c r="F24" s="70"/>
      <c r="G24" s="76"/>
      <c r="H24" s="70"/>
      <c r="I24" s="76"/>
      <c r="J24" s="76"/>
      <c r="K24" s="70"/>
      <c r="L24" s="494"/>
      <c r="M24" s="494"/>
      <c r="N24" s="76"/>
      <c r="O24" s="76"/>
      <c r="P24" s="467"/>
      <c r="Q24" s="412"/>
      <c r="R24" s="410">
        <v>43760</v>
      </c>
      <c r="S24" s="242">
        <v>24928</v>
      </c>
      <c r="T24" s="401"/>
      <c r="U24" s="407"/>
      <c r="V24" s="249"/>
      <c r="W24" s="401"/>
      <c r="X24" s="278"/>
      <c r="Y24" s="78"/>
      <c r="Z24" s="403"/>
      <c r="AA24" s="281">
        <f>61+65+76</f>
        <v>202</v>
      </c>
      <c r="AB24" s="79">
        <f>125+165+152</f>
        <v>442</v>
      </c>
      <c r="AC24" s="85">
        <f>23+152</f>
        <v>175</v>
      </c>
      <c r="AD24" s="592">
        <f>IF(B24="","",(((C24+F24+H24+K24+Q24+N24+O24)*50))+((E24*10))+(((I24+J24+D24+G24+L24+M24+U24)*25)+(X24*25)+(Y24*25)+(Z24*25)+(AA24*25)+(AB24*40)+(AC24*50)+(R24*1)+(S24*1)+(T24*1)))</f>
        <v>111818</v>
      </c>
      <c r="AE24" s="55">
        <f>IF(B24="","",C24+F24+H24+K24+Q24+N24+O24+((I24+J24+D24+G24+U24)/2)+(R24/50)+(S24/50)+(T24/50)+(E24/5))</f>
        <v>1606.75999999999999</v>
      </c>
      <c r="AF24" s="56">
        <f>IF(B24="","",((AE24*50)/AD24))</f>
        <v>0.71847108694486</v>
      </c>
      <c r="AG24" s="57">
        <f>IF(C24="","",((Z24)*25)/AD24)</f>
        <v>0</v>
      </c>
      <c r="AH24" s="57">
        <f>IF(B24="","",(X24*25)/AD24)</f>
        <v>0</v>
      </c>
      <c r="AI24" s="57">
        <f>IF(B24="","",(Y24*25)/AD24)</f>
        <v>0</v>
      </c>
      <c r="AJ24" s="57">
        <f>IF(B24="","",(AA24*25)/AD24)</f>
        <v>0.04516267506126</v>
      </c>
      <c r="AK24" s="58">
        <f>IF(B24="","",(AB24*40)/AD24)</f>
        <v>0.15811407823427</v>
      </c>
      <c r="AL24" s="58">
        <f>IF(B24="","",(AC24*50)/AD24)</f>
        <v>0.078252159759609</v>
      </c>
      <c r="AM24" s="59">
        <f>IF(B24="","",B24)</f>
        <v>46080</v>
      </c>
      <c r="AN24" s="233">
        <v>23.5</v>
      </c>
      <c r="AO24" s="82">
        <f>+AD24/7500</f>
        <v>14.90906666666667</v>
      </c>
      <c r="AP24" s="600">
        <f>24-AN24</f>
        <v>0.5</v>
      </c>
      <c r="AQ24" s="63">
        <f>IF(AN24="","",AN24/AO24)</f>
        <v>1.57622207515785</v>
      </c>
      <c r="AR24" s="64">
        <f>IF(AN24="","",(AD24/AN24)/1000)</f>
        <v>4.75821276595745</v>
      </c>
      <c r="AS24" s="64">
        <f>IF(AN24="","",AR24*24)</f>
        <v>114.19710638297873</v>
      </c>
      <c r="AT24" s="65">
        <f>IF(AN24="","",(AD24/1000)*100%/AS24)</f>
        <v>0.97916666666667</v>
      </c>
      <c r="AU24" s="64">
        <f>IF(AN24="","",(AE24/AN24))</f>
        <v>68.3727659574468</v>
      </c>
      <c r="AV24" s="229">
        <f>IF(AN24="","",(AD24/AO24)/1000)</f>
        <v>7.5</v>
      </c>
      <c r="AW24" s="714"/>
      <c r="AX24" s="714"/>
      <c r="AY24" s="714"/>
      <c r="AZ24" s="723"/>
      <c r="BA24" s="714"/>
      <c r="BB24" s="725"/>
      <c r="BC24" s="727"/>
      <c r="BD24" s="727"/>
      <c r="BE24" s="727"/>
      <c r="BF24" s="729"/>
    </row>
    <row r="25" spans="1:58" customHeight="1" ht="13.9">
      <c r="A25" s="485"/>
      <c r="B25" s="68"/>
      <c r="C25" s="415"/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/>
      <c r="S25" s="242"/>
      <c r="T25" s="401"/>
      <c r="U25" s="407"/>
      <c r="V25" s="249"/>
      <c r="W25" s="401"/>
      <c r="X25" s="278"/>
      <c r="Y25" s="78"/>
      <c r="Z25" s="403"/>
      <c r="AA25" s="281"/>
      <c r="AB25" s="79"/>
      <c r="AC25" s="85"/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str">
        <f>IF(C25="","",((Z25)*25)/AD25)</f>
        <v/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492" t="str">
        <f>IF(AN25="","",(AD25/AO25)/1000)</f>
        <v/>
      </c>
      <c r="AW25" s="714"/>
      <c r="AX25" s="714"/>
      <c r="AY25" s="714"/>
      <c r="AZ25" s="723"/>
      <c r="BA25" s="714"/>
      <c r="BB25" s="725"/>
      <c r="BC25" s="727"/>
      <c r="BD25" s="727"/>
      <c r="BE25" s="727"/>
      <c r="BF25" s="729"/>
    </row>
    <row r="26" spans="1:58" customHeight="1" ht="13.9">
      <c r="A26" s="485"/>
      <c r="B26" s="68"/>
      <c r="C26" s="69"/>
      <c r="D26" s="70"/>
      <c r="E26" s="76"/>
      <c r="F26" s="70"/>
      <c r="G26" s="76"/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/>
      <c r="S26" s="242"/>
      <c r="T26" s="401"/>
      <c r="U26" s="407"/>
      <c r="V26" s="249"/>
      <c r="W26" s="401"/>
      <c r="X26" s="278"/>
      <c r="Y26" s="78"/>
      <c r="Z26" s="403"/>
      <c r="AA26" s="281"/>
      <c r="AB26" s="79"/>
      <c r="AC26" s="85"/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str">
        <f>IF(C26="","",((Z26)*25)/AD26)</f>
        <v/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229" t="str">
        <f>IF(AN26="","",(AD26/AO26)/1000)</f>
        <v/>
      </c>
      <c r="AW26" s="714"/>
      <c r="AX26" s="714"/>
      <c r="AY26" s="714"/>
      <c r="AZ26" s="723"/>
      <c r="BA26" s="714"/>
      <c r="BB26" s="725"/>
      <c r="BC26" s="727"/>
      <c r="BD26" s="727"/>
      <c r="BE26" s="727"/>
      <c r="BF26" s="729"/>
    </row>
    <row r="27" spans="1:58" customHeight="1" ht="13.9">
      <c r="A27" s="485"/>
      <c r="B27" s="68"/>
      <c r="C27" s="69"/>
      <c r="D27" s="70"/>
      <c r="E27" s="76"/>
      <c r="F27" s="70"/>
      <c r="G27" s="76"/>
      <c r="H27" s="70"/>
      <c r="I27" s="76"/>
      <c r="J27" s="76"/>
      <c r="K27" s="70"/>
      <c r="L27" s="494"/>
      <c r="M27" s="494"/>
      <c r="N27" s="76"/>
      <c r="O27" s="76"/>
      <c r="P27" s="467"/>
      <c r="Q27" s="412"/>
      <c r="R27" s="410"/>
      <c r="S27" s="242"/>
      <c r="T27" s="401"/>
      <c r="U27" s="407"/>
      <c r="V27" s="249"/>
      <c r="W27" s="401"/>
      <c r="X27" s="278"/>
      <c r="Y27" s="78"/>
      <c r="Z27" s="403"/>
      <c r="AA27" s="281"/>
      <c r="AB27" s="79"/>
      <c r="AC27" s="85"/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str">
        <f>IF(C27="","",((Z27)*25)/AD27)</f>
        <v/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23"/>
      <c r="BA27" s="714"/>
      <c r="BB27" s="725"/>
      <c r="BC27" s="727"/>
      <c r="BD27" s="727"/>
      <c r="BE27" s="727"/>
      <c r="BF27" s="729"/>
    </row>
    <row r="28" spans="1:58">
      <c r="A28" s="41"/>
      <c r="B28" s="68"/>
      <c r="C28" s="69"/>
      <c r="D28" s="70"/>
      <c r="E28" s="76"/>
      <c r="F28" s="70"/>
      <c r="G28" s="76"/>
      <c r="H28" s="70"/>
      <c r="I28" s="75"/>
      <c r="J28" s="75"/>
      <c r="K28" s="70"/>
      <c r="L28" s="494"/>
      <c r="M28" s="494"/>
      <c r="N28" s="76"/>
      <c r="O28" s="76"/>
      <c r="P28" s="467"/>
      <c r="Q28" s="412"/>
      <c r="R28" s="410"/>
      <c r="S28" s="242"/>
      <c r="T28" s="401"/>
      <c r="U28" s="407"/>
      <c r="V28" s="249"/>
      <c r="W28" s="401"/>
      <c r="X28" s="278"/>
      <c r="Y28" s="78"/>
      <c r="Z28" s="403"/>
      <c r="AA28" s="281"/>
      <c r="AB28" s="79"/>
      <c r="AC28" s="85"/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str">
        <f>IF(C28="","",((Z28)*25)/AD28)</f>
        <v/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23"/>
      <c r="BA28" s="714"/>
      <c r="BB28" s="725"/>
      <c r="BC28" s="727"/>
      <c r="BD28" s="727"/>
      <c r="BE28" s="727"/>
      <c r="BF28" s="729"/>
    </row>
    <row r="29" spans="1:58">
      <c r="A29" s="41"/>
      <c r="B29" s="68"/>
      <c r="C29" s="69"/>
      <c r="D29" s="70"/>
      <c r="E29" s="76"/>
      <c r="F29" s="70"/>
      <c r="G29" s="430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/>
      <c r="S29" s="242"/>
      <c r="T29" s="401"/>
      <c r="U29" s="407"/>
      <c r="V29" s="249"/>
      <c r="W29" s="401"/>
      <c r="X29" s="278"/>
      <c r="Y29" s="78"/>
      <c r="Z29" s="403"/>
      <c r="AA29" s="281"/>
      <c r="AB29" s="79"/>
      <c r="AC29" s="85"/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str">
        <f>IF(C29="","",((Z29)*25)/AD29)</f>
        <v/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23"/>
      <c r="BA29" s="714"/>
      <c r="BB29" s="725"/>
      <c r="BC29" s="727"/>
      <c r="BD29" s="727"/>
      <c r="BE29" s="727"/>
      <c r="BF29" s="729"/>
    </row>
    <row r="30" spans="1:58">
      <c r="A30" s="41" t="str">
        <f>IF(B30="","",1+A29)</f>
        <v/>
      </c>
      <c r="B30" s="425"/>
      <c r="C30" s="426"/>
      <c r="D30" s="427"/>
      <c r="E30" s="428"/>
      <c r="F30" s="460"/>
      <c r="G30" s="459"/>
      <c r="H30" s="427"/>
      <c r="I30" s="429"/>
      <c r="J30" s="429"/>
      <c r="K30" s="427"/>
      <c r="L30" s="495"/>
      <c r="M30" s="495"/>
      <c r="N30" s="430"/>
      <c r="O30" s="430"/>
      <c r="P30" s="468"/>
      <c r="Q30" s="431"/>
      <c r="R30" s="432"/>
      <c r="S30" s="433"/>
      <c r="T30" s="434"/>
      <c r="U30" s="435"/>
      <c r="V30" s="436"/>
      <c r="W30" s="434"/>
      <c r="X30" s="279"/>
      <c r="Y30" s="437"/>
      <c r="Z30" s="438"/>
      <c r="AA30" s="439"/>
      <c r="AB30" s="440"/>
      <c r="AC30" s="441"/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str">
        <f>IF(C30="","",((Z30)*25)/AD30)</f>
        <v/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443"/>
      <c r="AO30" s="444"/>
      <c r="AP30" s="445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23"/>
      <c r="BA30" s="714"/>
      <c r="BB30" s="725"/>
      <c r="BC30" s="727"/>
      <c r="BD30" s="727"/>
      <c r="BE30" s="727"/>
      <c r="BF30" s="729"/>
    </row>
    <row r="31" spans="1:58">
      <c r="A31" s="41" t="str">
        <f>IF(B31="","",1+A30)</f>
        <v/>
      </c>
      <c r="B31" s="425"/>
      <c r="C31" s="426"/>
      <c r="D31" s="427"/>
      <c r="E31" s="428"/>
      <c r="F31" s="460"/>
      <c r="G31" s="428"/>
      <c r="H31" s="427"/>
      <c r="I31" s="429"/>
      <c r="J31" s="429"/>
      <c r="K31" s="427"/>
      <c r="L31" s="495"/>
      <c r="M31" s="495"/>
      <c r="N31" s="430"/>
      <c r="O31" s="430"/>
      <c r="P31" s="468"/>
      <c r="Q31" s="431"/>
      <c r="R31" s="432"/>
      <c r="S31" s="433"/>
      <c r="T31" s="434"/>
      <c r="U31" s="435"/>
      <c r="V31" s="436"/>
      <c r="W31" s="434"/>
      <c r="X31" s="279"/>
      <c r="Y31" s="437"/>
      <c r="Z31" s="438"/>
      <c r="AA31" s="439"/>
      <c r="AB31" s="440"/>
      <c r="AC31" s="441"/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str">
        <f>IF(C31="","",((Z31)*25)/AD31)</f>
        <v/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23"/>
      <c r="BA31" s="714"/>
      <c r="BB31" s="725"/>
      <c r="BC31" s="727"/>
      <c r="BD31" s="727"/>
      <c r="BE31" s="727"/>
      <c r="BF31" s="729"/>
    </row>
    <row r="32" spans="1:58">
      <c r="A32" s="41" t="str">
        <f>IF(B32="","",1+A31)</f>
        <v/>
      </c>
      <c r="B32" s="425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/>
      <c r="S32" s="433"/>
      <c r="T32" s="434"/>
      <c r="U32" s="435"/>
      <c r="V32" s="436"/>
      <c r="W32" s="434"/>
      <c r="X32" s="279"/>
      <c r="Y32" s="437"/>
      <c r="Z32" s="438"/>
      <c r="AA32" s="439"/>
      <c r="AB32" s="440"/>
      <c r="AC32" s="441"/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23"/>
      <c r="BA32" s="714"/>
      <c r="BB32" s="725"/>
      <c r="BC32" s="727"/>
      <c r="BD32" s="727"/>
      <c r="BE32" s="727"/>
      <c r="BF32" s="729"/>
    </row>
    <row r="33" spans="1:58">
      <c r="A33" s="41" t="str">
        <f>IF(B33="","",1+A32)</f>
        <v/>
      </c>
      <c r="B33" s="425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23"/>
      <c r="BA33" s="714"/>
      <c r="BB33" s="725"/>
      <c r="BC33" s="727"/>
      <c r="BD33" s="727"/>
      <c r="BE33" s="727"/>
      <c r="BF33" s="729"/>
    </row>
    <row r="34" spans="1:58">
      <c r="A34" s="41" t="str">
        <f>IF(B34="","",1+A33)</f>
        <v/>
      </c>
      <c r="B34" s="442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452"/>
      <c r="AX34" s="452"/>
      <c r="AY34" s="452"/>
      <c r="AZ34" s="144"/>
      <c r="BA34" s="452"/>
      <c r="BB34" s="455"/>
      <c r="BC34" s="142"/>
      <c r="BD34" s="142"/>
      <c r="BE34" s="142"/>
      <c r="BF34" s="283"/>
    </row>
    <row r="35" spans="1:58">
      <c r="A35" s="41" t="str">
        <f>IF(B35="","",1+A34)</f>
        <v/>
      </c>
      <c r="B35" s="95"/>
      <c r="C35" s="96"/>
      <c r="D35" s="387"/>
      <c r="E35" s="250"/>
      <c r="F35" s="461"/>
      <c r="G35" s="100"/>
      <c r="H35" s="97"/>
      <c r="I35" s="101"/>
      <c r="J35" s="101"/>
      <c r="K35" s="97"/>
      <c r="L35" s="496"/>
      <c r="M35" s="496"/>
      <c r="N35" s="102"/>
      <c r="O35" s="102"/>
      <c r="P35" s="469"/>
      <c r="Q35" s="413"/>
      <c r="R35" s="411"/>
      <c r="S35" s="243"/>
      <c r="T35" s="402"/>
      <c r="U35" s="408"/>
      <c r="V35" s="250"/>
      <c r="W35" s="402"/>
      <c r="X35" s="400"/>
      <c r="Y35" s="104"/>
      <c r="Z35" s="404"/>
      <c r="AA35" s="282"/>
      <c r="AB35" s="105"/>
      <c r="AC35" s="106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6"/>
      <c r="AO35" s="447"/>
      <c r="AP35" s="383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3"/>
      <c r="AX35" s="453"/>
      <c r="AY35" s="453"/>
      <c r="AZ35" s="454"/>
      <c r="BA35" s="453"/>
      <c r="BB35" s="456"/>
      <c r="BC35" s="457"/>
      <c r="BD35" s="457"/>
      <c r="BE35" s="457"/>
      <c r="BF35" s="458"/>
    </row>
    <row r="36" spans="1:58">
      <c r="A36" s="114"/>
      <c r="B36" s="115" t="s">
        <v>67</v>
      </c>
      <c r="C36" s="536">
        <f>SUM(C4:C35)</f>
        <v>10109</v>
      </c>
      <c r="D36" s="536">
        <f>SUM(D4:D35)</f>
        <v>1542</v>
      </c>
      <c r="E36" s="536">
        <f>SUM(E4:E35)</f>
        <v>199</v>
      </c>
      <c r="F36" s="536">
        <f>SUM(F4:F35)</f>
        <v>855</v>
      </c>
      <c r="G36" s="536">
        <f>SUM(G4:G35)</f>
        <v>398</v>
      </c>
      <c r="H36" s="536">
        <f>SUM(H4:H35)</f>
        <v>513</v>
      </c>
      <c r="I36" s="536">
        <f>SUM(I4:I35)</f>
        <v>6727</v>
      </c>
      <c r="J36" s="536">
        <f>SUM(J4:J35)</f>
        <v>80</v>
      </c>
      <c r="K36" s="536">
        <f>SUM(K4:K35)</f>
        <v>0</v>
      </c>
      <c r="L36" s="535">
        <f>SUM(L4:L35)</f>
        <v>0</v>
      </c>
      <c r="M36" s="535">
        <f>SUM(M4:M35)</f>
        <v>0</v>
      </c>
      <c r="N36" s="535">
        <f>SUM(N4:N35)</f>
        <v>0</v>
      </c>
      <c r="O36" s="535">
        <f>SUM(O4:O35)</f>
        <v>0</v>
      </c>
      <c r="P36" s="535">
        <f>SUM(P4:P35)</f>
        <v>0</v>
      </c>
      <c r="Q36" s="536">
        <f>SUM(Q4:Q35)</f>
        <v>0</v>
      </c>
      <c r="R36" s="536">
        <f>SUM(R4:R35)</f>
        <v>825782</v>
      </c>
      <c r="S36" s="536">
        <f>SUM(S4:S35)</f>
        <v>124624</v>
      </c>
      <c r="T36" s="536">
        <f>SUM(T4:T35)</f>
        <v>44760</v>
      </c>
      <c r="U36" s="535">
        <f>SUM(U4:U35)</f>
        <v>475</v>
      </c>
      <c r="V36" s="535">
        <f>SUM(V4:V35)</f>
        <v>0</v>
      </c>
      <c r="W36" s="535">
        <f>SUM(W4:W35)</f>
        <v>0</v>
      </c>
      <c r="X36" s="535">
        <f>SUM(X4:X35)</f>
        <v>0</v>
      </c>
      <c r="Y36" s="535">
        <f>SUM(Y4:Y35)</f>
        <v>87</v>
      </c>
      <c r="Z36" s="535">
        <f>SUM(Z4:Z35)</f>
        <v>0</v>
      </c>
      <c r="AA36" s="536">
        <f>SUM(AA4:AA35)</f>
        <v>3397</v>
      </c>
      <c r="AB36" s="536">
        <f>SUM(AB4:AB35)</f>
        <v>8248</v>
      </c>
      <c r="AC36" s="536">
        <f>SUM(AC4:AC35)</f>
        <v>2229</v>
      </c>
      <c r="AD36" s="622">
        <f>SUM(AD4:AD35)</f>
        <v>2330026</v>
      </c>
      <c r="AE36" s="118">
        <f>SUM(AE4:AE35)</f>
        <v>36031.1200000000099</v>
      </c>
      <c r="AF36" s="119">
        <f>IF(AD44=0,"",(AE36*50)/AD36)</f>
        <v>0.77319137211344</v>
      </c>
      <c r="AG36" s="120">
        <f>IF(AD44=0,"",(Z36*50)/AD36)</f>
        <v>0</v>
      </c>
      <c r="AH36" s="6">
        <f>IF(AD44=0,"",(X36*25)/AD36)</f>
        <v>0</v>
      </c>
      <c r="AI36" s="119">
        <f>IF(AD44=0,"",(Y36*25)/AD36)</f>
        <v>0.00093346597849123</v>
      </c>
      <c r="AJ36" s="119">
        <f>IF(AD44=0,"",(AA36*25)/AD36)</f>
        <v>0.03644809113718</v>
      </c>
      <c r="AK36" s="119">
        <f>IF(AD44=0,"",(AB36*40)/AD36)</f>
        <v>0.14159498649371</v>
      </c>
      <c r="AL36" s="119">
        <f>IF(AD44=0,"",(AC36*50)/AD36)</f>
        <v>0.047832084277171</v>
      </c>
      <c r="AM36" s="115" t="s">
        <v>67</v>
      </c>
      <c r="AN36" s="121">
        <f>SUM(AN4:AN35)</f>
        <v>489.61000000000001</v>
      </c>
      <c r="AO36" s="121">
        <f>SUM(AO4:AO35)</f>
        <v>355.95906666666673</v>
      </c>
      <c r="AP36" s="121">
        <f>SUM(AP4:AP35)</f>
        <v>14.39</v>
      </c>
      <c r="AQ36" s="122">
        <f>IF(AN36=0,"",AN36/AO36)</f>
        <v>1.37546714172753</v>
      </c>
      <c r="AR36" s="122">
        <f>IF(AN36=0,"",(AD36/AN36)/1000)</f>
        <v>4.75894283205</v>
      </c>
      <c r="AS36" s="121">
        <f>IF(AN36=0,"",AR36*24)</f>
        <v>114.21462796919997</v>
      </c>
      <c r="AT36" s="123">
        <f>IF(AN36=0,"",AD44/(AS36*26))</f>
        <v>0.78463141025641</v>
      </c>
      <c r="AU36" s="121">
        <f>IF(AN36=0,"",(AE36/AN36))</f>
        <v>73.59147076244359</v>
      </c>
      <c r="AV36" s="122">
        <f>IF(AO36=0,"",(AD36/AO36)/1000)</f>
        <v>6.54576949484454</v>
      </c>
      <c r="AW36" s="124">
        <f>SUM(AW4:AW35)/1000</f>
        <v>0</v>
      </c>
      <c r="AX36" s="124">
        <f>SUM(AX4:AX35)/1000</f>
        <v>2373.4079999999999</v>
      </c>
      <c r="AY36" s="124">
        <f>SUM(AY4:AY35)/1000</f>
        <v>1837.10400000000004</v>
      </c>
      <c r="AZ36" s="124">
        <f>SUM(AZ4)</f>
        <v>69185</v>
      </c>
      <c r="BA36" s="124">
        <f>SUM(BA4:BA35)</f>
        <v>580</v>
      </c>
      <c r="BB36" s="124">
        <f>SUM(BB4:BB35)</f>
        <v>354434</v>
      </c>
      <c r="BC36" s="1">
        <f>SUM(BC4:BC35)/1000</f>
        <v>123963.75</v>
      </c>
      <c r="BD36" s="1">
        <f>SUM(BD4:BD35)/1000</f>
        <v>5884.16899999999987</v>
      </c>
      <c r="BE36" s="1">
        <f>SUM(BE4:BE35)/1000</f>
        <v>39502.68000000000029</v>
      </c>
      <c r="BF36" s="1">
        <f>SUM(BF4:BF35)/1000</f>
        <v>47025.73999999999796</v>
      </c>
    </row>
    <row r="37" spans="1:58">
      <c r="B37" s="115" t="s">
        <v>68</v>
      </c>
      <c r="C37" s="116">
        <f>IF(C36=0,"",AVERAGE(C4:C35))</f>
        <v>842.41666666666663</v>
      </c>
      <c r="D37" s="116">
        <f>IF(D36=0,"",AVERAGE(D4:D35))</f>
        <v>1542</v>
      </c>
      <c r="E37" s="116">
        <f>IF(E36=0,"",AVERAGE(E4:E35))</f>
        <v>199</v>
      </c>
      <c r="F37" s="116">
        <f>IF(F36=0,"",AVERAGE(F4:F35))</f>
        <v>427.5</v>
      </c>
      <c r="G37" s="116">
        <f>IF(G36=0,"",AVERAGE(G4:G35))</f>
        <v>199</v>
      </c>
      <c r="H37" s="116">
        <f>IF(H36=0,"",AVERAGE(H4:H35))</f>
        <v>513</v>
      </c>
      <c r="I37" s="116">
        <f>IF(I36=0,"",AVERAGE(I4:I35))</f>
        <v>1121.16666666666674</v>
      </c>
      <c r="J37" s="116">
        <f>IF(J36=0,"",AVERAGE(J4:J35))</f>
        <v>80</v>
      </c>
      <c r="K37" s="116" t="str">
        <f>IF(K36=0,"",AVERAGE(K4:K35))</f>
        <v/>
      </c>
      <c r="L37" s="116" t="str">
        <f>IF(L36=0,"",AVERAGE(L4:L35))</f>
        <v/>
      </c>
      <c r="M37" s="116" t="str">
        <f>IF(M36=0,"",AVERAGE(M4:M35))</f>
        <v/>
      </c>
      <c r="N37" s="116" t="str">
        <f>IF(N36=0,"",AVERAGE(N4:N35))</f>
        <v/>
      </c>
      <c r="O37" s="116" t="str">
        <f>IF(O36=0,"",AVERAGE(O4:O35))</f>
        <v/>
      </c>
      <c r="P37" s="116" t="str">
        <f>IF(P36=0,"",AVERAGE(P4:P35))</f>
        <v/>
      </c>
      <c r="Q37" s="116" t="str">
        <f>IF(Q36=0,"",AVERAGE(Q4:Q35))</f>
        <v/>
      </c>
      <c r="R37" s="116">
        <f>IF(R36=0,"",AVERAGE(R4:R35))</f>
        <v>51611.375</v>
      </c>
      <c r="S37" s="116">
        <f>IF(S36=0,"",AVERAGE(S4:S35))</f>
        <v>31156</v>
      </c>
      <c r="T37" s="116">
        <f>IF(T36=0,"",AVERAGE(T4:T35))</f>
        <v>22380</v>
      </c>
      <c r="U37" s="116">
        <f>IF(U36=0,"",AVERAGE(U4:U35))</f>
        <v>237.5</v>
      </c>
      <c r="V37" s="116" t="str">
        <f>IF(V36=0,"",AVERAGE(V4:V35))</f>
        <v/>
      </c>
      <c r="W37" s="116" t="str">
        <f>IF(W36=0,"",AVERAGE(W4:W35))</f>
        <v/>
      </c>
      <c r="X37" s="116" t="str">
        <f>IF(X36=0,"",AVERAGE(X4:X35))</f>
        <v/>
      </c>
      <c r="Y37" s="116">
        <f>IF(Y36=0,"",AVERAGE(Y4:Y35))</f>
        <v>21.75</v>
      </c>
      <c r="Z37" s="116" t="str">
        <f>IF(Z36=0,"",AVERAGE(Z4:Z35))</f>
        <v/>
      </c>
      <c r="AA37" s="116">
        <f>IF(AA36=0,"",AVERAGE(AA4:AA35))</f>
        <v>161.76190476190476</v>
      </c>
      <c r="AB37" s="116">
        <f>IF(AB36=0,"",AVERAGE(AB4:AB35))</f>
        <v>392.76190476190476</v>
      </c>
      <c r="AC37" s="116">
        <f>IF(AC36=0,"",AVERAGE(AC4:AC35))</f>
        <v>106.14285714285714</v>
      </c>
      <c r="AE37" s="7"/>
      <c r="AG37" s="119"/>
      <c r="AJ37" s="6"/>
      <c r="AK37" s="6"/>
      <c r="AL37" s="6"/>
      <c r="AM37" s="115" t="s">
        <v>68</v>
      </c>
      <c r="AN37" s="121">
        <f>IF(AN36=0,"",AVERAGE(AN4:AN35))</f>
        <v>23.31476190476191</v>
      </c>
      <c r="AO37" s="121">
        <f>IF(AO36=0,"",AVERAGE(AO4:AO35))</f>
        <v>16.95043174603175</v>
      </c>
      <c r="AP37" s="121">
        <f>IF(AP36=0,"",AVERAGE(AP4:AP35))</f>
        <v>0.6852380952381</v>
      </c>
      <c r="AQ37" s="122">
        <f>IF(AQ36="","",AVERAGE(AQ4:AQ35))</f>
        <v>1.40465695005123</v>
      </c>
      <c r="AR37" s="122">
        <f>IF(AR36="","",AVERAGE(AR4:AR35))</f>
        <v>4.77360654701937</v>
      </c>
      <c r="AS37" s="121">
        <f>IF(AS36="","",AVERAGE(AS4:AS35))</f>
        <v>114.56655712846482</v>
      </c>
      <c r="AT37" s="123">
        <f>IF(AT36="","",AVERAGE(AT4:AT35))</f>
        <v>0.97144841269841</v>
      </c>
      <c r="AU37" s="121">
        <f>IF(AU36="","",AVERAGE(AU4:AU35))</f>
        <v>73.80294003026125</v>
      </c>
      <c r="AV37" s="122">
        <f>IF(AV36="","",AVERAGE(AV4:AV35))</f>
        <v>6.65761617123696</v>
      </c>
      <c r="AW37" s="122"/>
      <c r="AX37" s="122"/>
      <c r="AY37" s="122"/>
      <c r="AZ37" s="122"/>
      <c r="BA37" s="122"/>
    </row>
    <row r="38" spans="1:58" customHeight="1" ht="23.85">
      <c r="B38" s="115" t="s">
        <v>69</v>
      </c>
      <c r="C38" s="116">
        <f>+SUM(C4:C22)</f>
        <v>9763</v>
      </c>
      <c r="D38" s="116">
        <f>+SUM(D4:D22)</f>
        <v>1542</v>
      </c>
      <c r="E38" s="116">
        <f>+SUM(E4:E22)</f>
        <v>199</v>
      </c>
      <c r="F38" s="116">
        <f>+SUM(F4:F35)</f>
        <v>855</v>
      </c>
      <c r="G38" s="116">
        <f>+SUM(G4:G35)</f>
        <v>398</v>
      </c>
      <c r="H38" s="116"/>
      <c r="I38" s="116">
        <v>6727</v>
      </c>
      <c r="J38" s="116">
        <v>80</v>
      </c>
      <c r="K38" s="116">
        <f>+SUM(K4:K35)</f>
        <v>0</v>
      </c>
      <c r="L38" s="116">
        <f>+SUM(L4:L35)</f>
        <v>0</v>
      </c>
      <c r="M38" s="116">
        <f>+SUM(M4:M35)</f>
        <v>0</v>
      </c>
      <c r="N38" s="116">
        <f>+SUM(N4:N35)</f>
        <v>0</v>
      </c>
      <c r="O38" s="116">
        <f>+SUM(O4:O35)</f>
        <v>0</v>
      </c>
      <c r="P38" s="116">
        <f>+SUM(P4:P35)</f>
        <v>0</v>
      </c>
      <c r="Q38" s="116">
        <f>+SUM(Q4:Q35)</f>
        <v>0</v>
      </c>
      <c r="R38" s="116">
        <f>+SUM(R4:R13)</f>
        <v>364848</v>
      </c>
      <c r="S38" s="116">
        <f>+SUM(S4:S35)</f>
        <v>124624</v>
      </c>
      <c r="T38" s="116">
        <f>+SUM(T4:T35)</f>
        <v>44760</v>
      </c>
      <c r="U38" s="116">
        <f>+SUM(U4:U35)</f>
        <v>475</v>
      </c>
      <c r="V38" s="116"/>
      <c r="W38" s="116"/>
      <c r="X38" s="116"/>
      <c r="Y38" s="116"/>
      <c r="Z38" s="116"/>
      <c r="AA38" s="116"/>
      <c r="AB38" s="246"/>
      <c r="AC38" s="601"/>
      <c r="AD38" s="697" t="s">
        <v>70</v>
      </c>
      <c r="AE38" s="697"/>
      <c r="AF38" s="6"/>
      <c r="AG38" s="119"/>
      <c r="AH38" s="6"/>
      <c r="AI38" s="6"/>
      <c r="AJ38" s="6"/>
      <c r="AK38" s="6"/>
      <c r="AL38" s="6"/>
      <c r="AM38" s="6"/>
      <c r="AN38" s="121"/>
      <c r="AO38" s="121"/>
      <c r="AP38" s="121"/>
      <c r="AQ38" s="121"/>
      <c r="AR38" s="116"/>
      <c r="AS38" s="123"/>
      <c r="AT38" s="123"/>
      <c r="AU38" s="121"/>
    </row>
    <row r="39" spans="1:58">
      <c r="B39" s="115"/>
      <c r="C39" s="246">
        <f>+SUM(C23:C24)</f>
        <v>346</v>
      </c>
      <c r="D39" s="246">
        <f>+SUM(D23:D24)</f>
        <v>0</v>
      </c>
      <c r="E39" s="246">
        <f>+SUM(E23:E24)</f>
        <v>0</v>
      </c>
      <c r="F39" s="116">
        <v>0</v>
      </c>
      <c r="G39" s="116">
        <v>0</v>
      </c>
      <c r="H39" s="116">
        <v>0</v>
      </c>
      <c r="I39" s="116">
        <v>0</v>
      </c>
      <c r="J39" s="116">
        <v>0</v>
      </c>
      <c r="K39" s="116">
        <v>0</v>
      </c>
      <c r="L39" s="116">
        <v>0</v>
      </c>
      <c r="M39" s="116">
        <v>0</v>
      </c>
      <c r="N39" s="116">
        <v>0</v>
      </c>
      <c r="O39" s="116">
        <v>0</v>
      </c>
      <c r="P39" s="116">
        <v>0</v>
      </c>
      <c r="Q39" s="116">
        <v>0</v>
      </c>
      <c r="R39" s="116">
        <f>+SUM(R14:R25)</f>
        <v>460934</v>
      </c>
      <c r="S39" s="116">
        <v>0</v>
      </c>
      <c r="T39" s="116">
        <v>0</v>
      </c>
      <c r="U39" s="116">
        <v>0</v>
      </c>
      <c r="V39" s="116"/>
      <c r="W39" s="116"/>
      <c r="X39" s="116"/>
      <c r="Y39" s="116"/>
      <c r="Z39" s="116"/>
      <c r="AA39" s="116"/>
      <c r="AB39" s="116"/>
      <c r="AC39" s="601"/>
      <c r="AE39" s="697" t="s">
        <v>71</v>
      </c>
      <c r="AF39" s="697"/>
      <c r="AG39" s="119"/>
      <c r="AH39" s="127"/>
      <c r="AI39" s="127"/>
      <c r="AJ39" s="6"/>
      <c r="AK39" s="6"/>
      <c r="AL39" s="6"/>
      <c r="AM39" s="6"/>
      <c r="AN39" s="121"/>
      <c r="AO39" s="121"/>
      <c r="AP39" s="121"/>
      <c r="AQ39" s="121"/>
      <c r="AR39" s="121"/>
      <c r="AS39" s="116"/>
      <c r="AT39" s="123"/>
      <c r="AU39" s="116"/>
      <c r="AV39" s="121"/>
    </row>
    <row r="40" spans="1:58">
      <c r="B40" s="115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25"/>
      <c r="AE40" s="127"/>
      <c r="AF40" s="127"/>
      <c r="AG40" s="119"/>
      <c r="AH40" s="127"/>
      <c r="AI40" s="127"/>
      <c r="AJ40" s="6"/>
      <c r="AK40" s="6"/>
      <c r="AL40" s="6"/>
      <c r="AM40" s="6"/>
      <c r="AN40" s="121"/>
      <c r="AO40" s="121"/>
      <c r="AP40" s="121"/>
      <c r="AQ40" s="121"/>
      <c r="AR40" s="121"/>
      <c r="AS40" s="116"/>
      <c r="AT40" s="123"/>
      <c r="AU40" s="116"/>
      <c r="AV40" s="121"/>
    </row>
    <row r="41" spans="1:58">
      <c r="B41" s="115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25"/>
      <c r="AE41" s="127"/>
      <c r="AF41" s="127"/>
      <c r="AG41" s="119"/>
      <c r="AH41" s="127"/>
      <c r="AI41" s="127"/>
      <c r="AJ41" s="6"/>
      <c r="AK41" s="6"/>
      <c r="AL41" s="6"/>
      <c r="AM41" s="6"/>
      <c r="AN41" s="121"/>
      <c r="AO41" s="121"/>
      <c r="AP41" s="121"/>
      <c r="AQ41" s="121"/>
      <c r="AR41" s="121"/>
      <c r="AS41" s="116"/>
      <c r="AT41" s="123"/>
      <c r="AU41" s="116"/>
      <c r="AV41" s="121"/>
    </row>
    <row r="42" spans="1:58">
      <c r="B42" s="115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25"/>
      <c r="AE42" s="127"/>
      <c r="AF42" s="127"/>
      <c r="AG42" s="119"/>
      <c r="AH42" s="127"/>
      <c r="AI42" s="127"/>
      <c r="AJ42" s="6"/>
      <c r="AK42" s="6"/>
      <c r="AL42" s="6"/>
      <c r="AM42" s="6"/>
      <c r="AN42" s="121"/>
      <c r="AO42" s="121"/>
      <c r="AP42" s="121"/>
      <c r="AQ42" s="121"/>
      <c r="AR42" s="121"/>
      <c r="AS42" s="116"/>
      <c r="AT42" s="123"/>
      <c r="AU42" s="116"/>
      <c r="AV42" s="121"/>
    </row>
    <row r="43" spans="1:58">
      <c r="B43" s="115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25"/>
      <c r="AE43" s="127"/>
      <c r="AF43" s="127"/>
      <c r="AG43" s="119"/>
      <c r="AH43" s="127"/>
      <c r="AI43" s="127"/>
      <c r="AJ43" s="6"/>
      <c r="AK43" s="6"/>
      <c r="AL43" s="6"/>
      <c r="AM43" s="6"/>
      <c r="AN43" s="121"/>
      <c r="AO43" s="121"/>
      <c r="AP43" s="121"/>
      <c r="AQ43" s="121"/>
      <c r="AR43" s="121"/>
      <c r="AS43" s="116"/>
      <c r="AT43" s="123"/>
      <c r="AU43" s="116"/>
      <c r="AV43" s="121"/>
    </row>
    <row r="44" spans="1:58">
      <c r="A44" s="137"/>
      <c r="B44" s="499" t="s">
        <v>67</v>
      </c>
      <c r="C44" s="476">
        <f>SUM(C4:C35)</f>
        <v>10109</v>
      </c>
      <c r="D44" s="476">
        <f>SUM(D4:D35)</f>
        <v>1542</v>
      </c>
      <c r="E44" s="476">
        <f>SUM(E4:E35)</f>
        <v>199</v>
      </c>
      <c r="F44" s="476">
        <f>SUM(F4:F35)</f>
        <v>855</v>
      </c>
      <c r="G44" s="476">
        <f>SUM(G4:G35)</f>
        <v>398</v>
      </c>
      <c r="H44" s="476">
        <f>SUM(H4:H35)</f>
        <v>513</v>
      </c>
      <c r="I44" s="476">
        <f>SUM(I4:I35)</f>
        <v>6727</v>
      </c>
      <c r="J44" s="476">
        <f>SUM(J4:J35)</f>
        <v>80</v>
      </c>
      <c r="K44" s="476">
        <f>SUM(K4:K35)</f>
        <v>0</v>
      </c>
      <c r="L44" s="476">
        <f>SUM(L4:L35)</f>
        <v>0</v>
      </c>
      <c r="M44" s="476">
        <f>SUM(M4:M35)</f>
        <v>0</v>
      </c>
      <c r="N44" s="476">
        <f>SUM(N4:N35)</f>
        <v>0</v>
      </c>
      <c r="O44" s="476">
        <f>SUM(O4:O35)</f>
        <v>0</v>
      </c>
      <c r="P44" s="476">
        <f>SUM(P4:P35)</f>
        <v>0</v>
      </c>
      <c r="Q44" s="476">
        <f>SUM(Q4:Q35)</f>
        <v>0</v>
      </c>
      <c r="R44" s="476">
        <f>SUM(R4:R35)</f>
        <v>825782</v>
      </c>
      <c r="S44" s="476">
        <f>SUM(S4:S35)</f>
        <v>124624</v>
      </c>
      <c r="T44" s="476">
        <f>SUM(T4:T35)</f>
        <v>44760</v>
      </c>
      <c r="U44" s="476">
        <f>SUM(U4:U35)</f>
        <v>475</v>
      </c>
      <c r="V44" s="476">
        <f>SUM(V4:V35)</f>
        <v>0</v>
      </c>
      <c r="W44" s="476">
        <f>SUM(W4:W35)</f>
        <v>0</v>
      </c>
      <c r="X44" s="476">
        <f>SUM(X4:X35)</f>
        <v>0</v>
      </c>
      <c r="Y44" s="476">
        <f>SUM(Y4:Y35)</f>
        <v>87</v>
      </c>
      <c r="Z44" s="476">
        <f>SUM(Z4:Z35)</f>
        <v>0</v>
      </c>
      <c r="AA44" s="476">
        <f>SUM(AA4:AA35)</f>
        <v>3397</v>
      </c>
      <c r="AB44" s="476">
        <f>SUM(AB4:AB35)</f>
        <v>8248</v>
      </c>
      <c r="AC44" s="476">
        <f>SUM(AC4:AC35)</f>
        <v>2229</v>
      </c>
      <c r="AD44" s="534">
        <f>AD36/1000</f>
        <v>2330.02599999999984</v>
      </c>
      <c r="AE44" s="6"/>
      <c r="AF44" s="6"/>
      <c r="AG44" s="119"/>
      <c r="AH44" s="6"/>
      <c r="AI44" s="6"/>
      <c r="AJ44" s="6"/>
      <c r="AK44" s="6"/>
      <c r="AL44" s="115"/>
      <c r="AM44" s="115"/>
      <c r="AN44" s="121"/>
      <c r="AO44" s="121"/>
      <c r="AP44" s="121"/>
      <c r="AQ44" s="116"/>
      <c r="AR44" s="123"/>
      <c r="AS44" s="116"/>
      <c r="AT44" s="128"/>
    </row>
    <row r="45" spans="1:58">
      <c r="B45" s="115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4"/>
      <c r="AB45" s="7"/>
      <c r="AC45" s="6"/>
      <c r="AD45" s="6"/>
      <c r="AE45" s="115"/>
      <c r="AF45" s="121"/>
      <c r="AG45" s="129"/>
      <c r="AH45" s="121"/>
      <c r="AI45" s="121"/>
      <c r="AJ45" s="121"/>
      <c r="AK45" s="121"/>
      <c r="AL45" s="121"/>
      <c r="AM45" s="121"/>
      <c r="AN45" s="116"/>
      <c r="AO45" s="121"/>
    </row>
    <row r="46" spans="1:58">
      <c r="A46" s="130" t="s">
        <v>72</v>
      </c>
      <c r="B46" s="226"/>
      <c r="C46" s="131"/>
      <c r="D46" s="75"/>
      <c r="E46" s="75"/>
      <c r="F46" s="75"/>
      <c r="G46" s="75"/>
      <c r="H46" s="75"/>
      <c r="I46" s="72"/>
      <c r="J46" s="71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249"/>
      <c r="V46" s="71"/>
      <c r="W46" s="75"/>
      <c r="X46" s="79"/>
      <c r="Y46" s="79"/>
      <c r="Z46" s="79"/>
      <c r="AA46" s="79">
        <v>135</v>
      </c>
      <c r="AB46" s="79"/>
      <c r="AC46" s="85"/>
      <c r="AD46" s="55">
        <f>(Z46+AA46)*25.8</f>
        <v>3483</v>
      </c>
      <c r="AE46" s="55">
        <f>Z46</f>
        <v>0</v>
      </c>
      <c r="AF46" s="56" t="str">
        <f>IF(B46="","",((AE46*25)/AD46))</f>
        <v/>
      </c>
      <c r="AG46" s="57" t="str">
        <f>IF(B46="","",((Z46)*25)/AD46)</f>
        <v/>
      </c>
      <c r="AH46" s="57" t="str">
        <f>IF(B46="","",(X46*25)/AD46)</f>
        <v/>
      </c>
      <c r="AI46" s="57" t="str">
        <f>IF(B46="","",(Y46*25)/AD46)</f>
        <v/>
      </c>
      <c r="AJ46" s="57" t="str">
        <f>IF(B46="","",(AA46*25)/AD46)</f>
        <v/>
      </c>
      <c r="AK46" s="58" t="str">
        <f>IF(B46="","",(AB46*40)/AD46)</f>
        <v/>
      </c>
      <c r="AL46" s="58" t="str">
        <f>IF(B46="","",(AC46*50)/AD46)</f>
        <v/>
      </c>
      <c r="AM46" s="59" t="str">
        <f>IF(B46="","",B46)</f>
        <v/>
      </c>
      <c r="AN46" s="81"/>
      <c r="AO46" s="94"/>
      <c r="AP46" s="83"/>
      <c r="AQ46" s="63" t="str">
        <f>IF(AN46="","",AN46/AO46)</f>
        <v/>
      </c>
      <c r="AR46" s="64" t="str">
        <f>IF(AN46="","",(AD46/AN46)/1000)</f>
        <v/>
      </c>
      <c r="AS46" s="64" t="str">
        <f>IF(AN46="","",AR46*24)</f>
        <v/>
      </c>
      <c r="AT46" s="65" t="str">
        <f>IF(AN46="","",(AD46/1000)*100%/AS46)</f>
        <v/>
      </c>
      <c r="AU46" s="64" t="str">
        <f>IF(AN46="","",(AE46/AN46))</f>
        <v/>
      </c>
      <c r="AV46" s="66" t="str">
        <f>IF(AN46="","",(AD46/AO46)/1000)</f>
        <v/>
      </c>
      <c r="AW46" s="389"/>
      <c r="AX46" s="390"/>
      <c r="AY46" s="390"/>
      <c r="AZ46" s="391"/>
      <c r="BA46" s="391"/>
      <c r="BB46" s="392"/>
      <c r="BC46" s="368"/>
      <c r="BD46" s="368"/>
      <c r="BE46" s="368"/>
      <c r="BF46" s="393"/>
    </row>
    <row r="47" spans="1:58">
      <c r="A47" s="130" t="s">
        <v>73</v>
      </c>
      <c r="B47" s="68"/>
      <c r="C47" s="131"/>
      <c r="D47" s="75"/>
      <c r="E47" s="75"/>
      <c r="F47" s="75"/>
      <c r="G47" s="75"/>
      <c r="H47" s="75"/>
      <c r="I47" s="72"/>
      <c r="J47" s="71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249"/>
      <c r="V47" s="71"/>
      <c r="W47" s="75"/>
      <c r="X47" s="79"/>
      <c r="Y47" s="79"/>
      <c r="Z47" s="79"/>
      <c r="AA47" s="79"/>
      <c r="AB47" s="79"/>
      <c r="AC47" s="85"/>
      <c r="AD47" s="55">
        <f>(Z47*25)+(AA47*25)+(AB47*40)+(AC47*50)</f>
        <v>0</v>
      </c>
      <c r="AE47" s="55" t="str">
        <f>IF(B47="","",C47+E47+G47+K47+N47+O47+Q47+R47+((D47+H47)/4)+((F47+I47+J47+T47+Z47)/2))</f>
        <v/>
      </c>
      <c r="AF47" s="56" t="str">
        <f>IF(B47="","",((AE47*50)/AD47))</f>
        <v/>
      </c>
      <c r="AG47" s="57" t="str">
        <f>IF(B47="","",((Z47)*25)/AD47)</f>
        <v/>
      </c>
      <c r="AH47" s="57" t="str">
        <f>IF(B47="","",(X47*25)/AD47)</f>
        <v/>
      </c>
      <c r="AI47" s="57" t="str">
        <f>IF(B47="","",(Y47*25)/AD47)</f>
        <v/>
      </c>
      <c r="AJ47" s="57" t="str">
        <f>IF(B47="","",(AA47*25)/AD47)</f>
        <v/>
      </c>
      <c r="AK47" s="58" t="str">
        <f>IF(B47="","",(AB47*40)/AD47)</f>
        <v/>
      </c>
      <c r="AL47" s="58" t="str">
        <f>IF(B47="","",(AC47*50)/AD47)</f>
        <v/>
      </c>
      <c r="AM47" s="59" t="str">
        <f>IF(B47="","",B47)</f>
        <v/>
      </c>
      <c r="AN47" s="81"/>
      <c r="AO47" s="94"/>
      <c r="AP47" s="83"/>
      <c r="AQ47" s="63" t="str">
        <f>IF(AN47="","",AN47/AO47)</f>
        <v/>
      </c>
      <c r="AR47" s="64" t="str">
        <f>IF(AN47="","",(AD47/AN47)/1000)</f>
        <v/>
      </c>
      <c r="AS47" s="64" t="str">
        <f>IF(AN47="","",AR47*24)</f>
        <v/>
      </c>
      <c r="AT47" s="65" t="str">
        <f>IF(AN47="","",(AD47/1000)*100%/AS47)</f>
        <v/>
      </c>
      <c r="AU47" s="64" t="str">
        <f>IF(AN47="","",(AE47/AN47))</f>
        <v/>
      </c>
      <c r="AV47" s="66" t="str">
        <f>IF(AN47="","",(AD47/AO47)/1000)</f>
        <v/>
      </c>
      <c r="AW47" s="394"/>
      <c r="AX47" s="92"/>
      <c r="AY47" s="92"/>
      <c r="AZ47" s="93"/>
      <c r="BA47" s="93"/>
      <c r="BB47" s="350"/>
      <c r="BC47" s="351"/>
      <c r="BD47" s="351"/>
      <c r="BE47" s="351"/>
      <c r="BF47" s="395"/>
    </row>
    <row r="48" spans="1:58">
      <c r="A48" s="130" t="s">
        <v>166</v>
      </c>
      <c r="B48" s="68"/>
      <c r="C48" s="131"/>
      <c r="D48" s="75"/>
      <c r="E48" s="75"/>
      <c r="F48" s="75"/>
      <c r="G48" s="75"/>
      <c r="H48" s="75"/>
      <c r="I48" s="72"/>
      <c r="J48" s="71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249"/>
      <c r="V48" s="71"/>
      <c r="W48" s="75"/>
      <c r="X48" s="79"/>
      <c r="Y48" s="79"/>
      <c r="Z48" s="79"/>
      <c r="AA48" s="79">
        <v>8090</v>
      </c>
      <c r="AB48" s="79"/>
      <c r="AC48" s="85"/>
      <c r="AD48" s="55">
        <f>SUM(U48:AC48)*25</f>
        <v>202250</v>
      </c>
      <c r="AE48" s="55" t="str">
        <f>IF(B48="","",C48+E48+G48+K48+N48+O48+Q48+R48+((D48+H48)/4)+((F48+I48+J48+T48)/2))</f>
        <v/>
      </c>
      <c r="AF48" s="56" t="str">
        <f>IF(B48="","",((AE48*50)/AD48))</f>
        <v/>
      </c>
      <c r="AG48" s="57" t="str">
        <f>IF(B48="","",((Z48)*25)/AD48)</f>
        <v/>
      </c>
      <c r="AH48" s="57" t="str">
        <f>IF(B48="","",(X48*25)/AD48)</f>
        <v/>
      </c>
      <c r="AI48" s="57" t="str">
        <f>IF(B48="","",(Y48*25)/AD48)</f>
        <v/>
      </c>
      <c r="AJ48" s="57" t="str">
        <f>IF(B48="","",(AA48*25)/AD48)</f>
        <v/>
      </c>
      <c r="AK48" s="58" t="str">
        <f>IF(B48="","",(AB48*40)/AD48)</f>
        <v/>
      </c>
      <c r="AL48" s="58" t="str">
        <f>IF(B48="","",(AC48*50)/AD48)</f>
        <v/>
      </c>
      <c r="AM48" s="59" t="str">
        <f>IF(B48="","",B48)</f>
        <v/>
      </c>
      <c r="AN48" s="81"/>
      <c r="AO48" s="94"/>
      <c r="AP48" s="83"/>
      <c r="AQ48" s="63" t="str">
        <f>IF(AN48="","",AN48/AO48)</f>
        <v/>
      </c>
      <c r="AR48" s="64" t="str">
        <f>IF(AN48="","",(AD48/AN48)/1000)</f>
        <v/>
      </c>
      <c r="AS48" s="64" t="str">
        <f>IF(AN48="","",AR48*24)</f>
        <v/>
      </c>
      <c r="AT48" s="65" t="str">
        <f>IF(AN48="","",(AD48/1000)*100%/AS48)</f>
        <v/>
      </c>
      <c r="AU48" s="64" t="str">
        <f>IF(AN48="","",(AE48/AN48))</f>
        <v/>
      </c>
      <c r="AV48" s="66" t="str">
        <f>IF(AN48="","",(AD48/AO48)/1000)</f>
        <v/>
      </c>
      <c r="AW48" s="394"/>
      <c r="AX48" s="92"/>
      <c r="AY48" s="92"/>
      <c r="AZ48" s="93"/>
      <c r="BA48" s="93"/>
      <c r="BB48" s="350"/>
      <c r="BC48" s="351"/>
      <c r="BD48" s="351"/>
      <c r="BE48" s="351"/>
      <c r="BF48" s="395"/>
    </row>
    <row r="49" spans="1:58">
      <c r="A49" s="130" t="s">
        <v>75</v>
      </c>
      <c r="B49" s="68"/>
      <c r="C49" s="131"/>
      <c r="D49" s="75"/>
      <c r="E49" s="75"/>
      <c r="F49" s="75"/>
      <c r="G49" s="75"/>
      <c r="H49" s="75"/>
      <c r="I49" s="72"/>
      <c r="J49" s="71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249"/>
      <c r="V49" s="71"/>
      <c r="W49" s="75"/>
      <c r="X49" s="79"/>
      <c r="Y49" s="79"/>
      <c r="Z49" s="79"/>
      <c r="AA49" s="79">
        <f>400*3</f>
        <v>1200</v>
      </c>
      <c r="AB49" s="79"/>
      <c r="AC49" s="85"/>
      <c r="AD49" s="55">
        <f>SUM(U49:AC49)*25.275</f>
        <v>30330</v>
      </c>
      <c r="AE49" s="55" t="str">
        <f>IF(B49="","",C49+E49+G49+K49+N49+O49+Q49+R49+((D49+H49)/4)+((F49+I49+J49+T49)/2))</f>
        <v/>
      </c>
      <c r="AF49" s="56" t="str">
        <f>IF(B49="","",((AE49*50)/AD49))</f>
        <v/>
      </c>
      <c r="AG49" s="57" t="str">
        <f>IF(B49="","",((Z49)*25)/AD49)</f>
        <v/>
      </c>
      <c r="AH49" s="57" t="str">
        <f>IF(B49="","",(X49*25)/AD49)</f>
        <v/>
      </c>
      <c r="AI49" s="57" t="str">
        <f>IF(B49="","",(Y49*25)/AD49)</f>
        <v/>
      </c>
      <c r="AJ49" s="57" t="str">
        <f>IF(B49="","",(AA49*25)/AD49)</f>
        <v/>
      </c>
      <c r="AK49" s="58" t="str">
        <f>IF(B49="","",(AB49*40)/AD49)</f>
        <v/>
      </c>
      <c r="AL49" s="58" t="str">
        <f>IF(B49="","",(AC49*50)/AD49)</f>
        <v/>
      </c>
      <c r="AM49" s="59" t="str">
        <f>IF(B49="","",B49)</f>
        <v/>
      </c>
      <c r="AN49" s="81"/>
      <c r="AO49" s="94"/>
      <c r="AP49" s="83"/>
      <c r="AQ49" s="63" t="str">
        <f>IF(AN49="","",AN49/AO49)</f>
        <v/>
      </c>
      <c r="AR49" s="64" t="str">
        <f>IF(AN49="","",(AD49/AN49)/1000)</f>
        <v/>
      </c>
      <c r="AS49" s="64" t="str">
        <f>IF(AN49="","",AR49*24)</f>
        <v/>
      </c>
      <c r="AT49" s="65" t="str">
        <f>IF(AN49="","",(AD49/1000)*100%/AS49)</f>
        <v/>
      </c>
      <c r="AU49" s="64" t="str">
        <f>IF(AN49="","",(AE49/AN49))</f>
        <v/>
      </c>
      <c r="AV49" s="66" t="str">
        <f>IF(AN49="","",(AD49/AO49)/1000)</f>
        <v/>
      </c>
      <c r="AW49" s="396"/>
      <c r="AX49" s="231"/>
      <c r="AY49" s="231"/>
      <c r="AZ49" s="232"/>
      <c r="BA49" s="232"/>
      <c r="BB49" s="397"/>
      <c r="BC49" s="398"/>
      <c r="BD49" s="398"/>
      <c r="BE49" s="398"/>
      <c r="BF49" s="399"/>
    </row>
    <row r="50" spans="1:58">
      <c r="B50" s="115"/>
      <c r="C50" s="116"/>
      <c r="D50" s="116"/>
      <c r="E50" s="116"/>
      <c r="F50" s="116"/>
      <c r="G50" s="116"/>
      <c r="H50" s="116"/>
      <c r="O50" s="116"/>
      <c r="P50" s="116"/>
      <c r="Q50" s="116"/>
      <c r="R50" s="116"/>
      <c r="S50" s="116"/>
      <c r="T50" s="116"/>
      <c r="U50" s="116"/>
      <c r="V50" s="116"/>
      <c r="W50" s="7"/>
      <c r="X50" s="7"/>
      <c r="AB50" s="6"/>
      <c r="AC50" s="6"/>
      <c r="AD50" s="55">
        <f>SUM(AD46:AD49)</f>
        <v>236063</v>
      </c>
      <c r="AE50" s="121"/>
      <c r="AF50" s="121"/>
      <c r="AG50" s="121"/>
      <c r="AH50" s="116"/>
      <c r="AI50" s="123"/>
      <c r="AJ50" s="123"/>
      <c r="AK50" s="116"/>
      <c r="AL50" s="121"/>
      <c r="AX50" s="1">
        <f>AX46/1000</f>
        <v>0</v>
      </c>
    </row>
    <row r="51" spans="1:58">
      <c r="B51" s="115"/>
      <c r="C51" s="116"/>
      <c r="D51" s="116"/>
      <c r="E51" s="116"/>
      <c r="F51" s="116"/>
      <c r="G51" s="116"/>
      <c r="H51" s="116"/>
      <c r="I51" s="116"/>
      <c r="Q51" s="116"/>
      <c r="R51" s="116"/>
      <c r="S51" s="116"/>
      <c r="T51" s="116"/>
      <c r="U51" s="116"/>
      <c r="V51" s="116"/>
      <c r="W51" s="116"/>
      <c r="X51" s="7"/>
      <c r="Y51" s="7"/>
      <c r="AC51" s="6"/>
      <c r="AD51" s="697" t="s">
        <v>70</v>
      </c>
      <c r="AE51" s="697"/>
      <c r="AF51" s="121"/>
      <c r="AG51" s="121"/>
      <c r="AH51" s="121"/>
      <c r="AI51" s="116"/>
      <c r="AJ51" s="123"/>
      <c r="AK51" s="123"/>
      <c r="AL51" s="116"/>
      <c r="AM51" s="121"/>
    </row>
    <row r="52" spans="1:58">
      <c r="B52" s="115"/>
      <c r="C52" s="116"/>
      <c r="D52" s="116"/>
      <c r="E52" s="116"/>
      <c r="F52" s="116"/>
      <c r="G52" s="116"/>
      <c r="H52" s="116"/>
      <c r="I52" s="117">
        <v>3.6</v>
      </c>
      <c r="J52" s="116"/>
      <c r="K52" s="516"/>
      <c r="L52" s="516"/>
      <c r="M52" s="516"/>
      <c r="N52" s="5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7"/>
      <c r="Z52" s="7"/>
      <c r="AD52" s="126">
        <f>AD50/1000</f>
        <v>236.062999999999988</v>
      </c>
      <c r="AE52" s="697" t="s">
        <v>71</v>
      </c>
      <c r="AF52" s="697"/>
      <c r="AG52" s="121"/>
      <c r="AH52" s="121"/>
      <c r="AI52" s="121"/>
      <c r="AJ52" s="116"/>
      <c r="AK52" s="123"/>
      <c r="AL52" s="123"/>
      <c r="AM52" s="116"/>
      <c r="AN52" s="121"/>
    </row>
    <row r="53" spans="1:58" customHeight="1" ht="13.9">
      <c r="A53" s="676" t="s">
        <v>76</v>
      </c>
      <c r="B53" s="677"/>
      <c r="C53" s="678" t="s">
        <v>77</v>
      </c>
      <c r="D53" s="133"/>
      <c r="F53" s="655" t="s">
        <v>78</v>
      </c>
      <c r="G53" s="656"/>
      <c r="H53" s="657"/>
      <c r="I53" s="355" t="s">
        <v>79</v>
      </c>
      <c r="J53" s="136"/>
      <c r="K53" s="679" t="s">
        <v>80</v>
      </c>
      <c r="L53" s="679"/>
      <c r="M53" s="680"/>
      <c r="N53" s="515" t="s">
        <v>81</v>
      </c>
      <c r="O53" s="688" t="s">
        <v>82</v>
      </c>
      <c r="P53" s="689"/>
      <c r="Q53" s="690"/>
      <c r="R53" s="688" t="s">
        <v>83</v>
      </c>
      <c r="S53" s="689"/>
      <c r="T53" s="689"/>
      <c r="U53" s="690"/>
      <c r="V53" s="500" t="s">
        <v>84</v>
      </c>
      <c r="W53" s="488"/>
      <c r="X53" s="501"/>
      <c r="AB53" s="247"/>
      <c r="AG53" s="6"/>
      <c r="AH53" s="6"/>
      <c r="AI53" s="121"/>
      <c r="AJ53" s="121"/>
      <c r="AK53" s="116"/>
      <c r="AL53" s="123"/>
      <c r="AM53" s="123"/>
      <c r="AN53" s="116"/>
      <c r="AO53" s="121"/>
    </row>
    <row r="54" spans="1:58" customHeight="1" ht="15">
      <c r="A54" s="369" t="s">
        <v>85</v>
      </c>
      <c r="B54" s="482">
        <f>AD44+AD52</f>
        <v>2566.088999999999942</v>
      </c>
      <c r="C54" s="678"/>
      <c r="E54" s="137"/>
      <c r="F54" s="662" t="s">
        <v>86</v>
      </c>
      <c r="G54" s="663"/>
      <c r="H54" s="325">
        <f>IF(G57="",0,G60/G57)</f>
        <v>0</v>
      </c>
      <c r="I54" s="138">
        <f>IF(I57="",0,I60/I57)</f>
        <v>0</v>
      </c>
      <c r="J54" s="136"/>
      <c r="K54" s="681"/>
      <c r="L54" s="681"/>
      <c r="M54" s="141">
        <f>IF($V$54="",0,K54/$V$59)</f>
        <v>-0</v>
      </c>
      <c r="N54" s="489"/>
      <c r="O54" s="695">
        <v>311</v>
      </c>
      <c r="P54" s="696"/>
      <c r="Q54" s="141">
        <f>IF($V$54="",0,O54/$V$59)</f>
        <v>-0.00012285522786172</v>
      </c>
      <c r="R54" s="140" t="str">
        <f>D84</f>
        <v>CWRS</v>
      </c>
      <c r="S54" s="721">
        <f>+SUMPRODUCT(D86:D110,B86:B110)</f>
        <v>1725530.34218098106794</v>
      </c>
      <c r="T54" s="721"/>
      <c r="U54" s="486">
        <f>IF($S$59=0,0,S54/$S$59)</f>
        <v>0.68124294492045</v>
      </c>
      <c r="V54" s="695">
        <f>K54+O54-S54</f>
        <v>-1725219.34218098106794</v>
      </c>
      <c r="W54" s="696"/>
      <c r="X54" s="484">
        <f>IF($V$54="",0,V54/$V$59)</f>
        <v>0.68151837747618</v>
      </c>
      <c r="AB54" s="157"/>
      <c r="AJ54" s="121"/>
      <c r="AK54" s="116"/>
      <c r="AL54" s="123"/>
      <c r="AM54" s="123"/>
      <c r="AN54" s="116"/>
      <c r="AO54" s="121"/>
    </row>
    <row r="55" spans="1:58" customHeight="1" ht="15">
      <c r="A55" s="326" t="s">
        <v>87</v>
      </c>
      <c r="B55" s="318">
        <f>AE36</f>
        <v>36031.1200000000099</v>
      </c>
      <c r="C55" s="377">
        <f>B54/(B64*120)</f>
        <v>1.06920375</v>
      </c>
      <c r="E55" s="137"/>
      <c r="F55" s="662" t="s">
        <v>88</v>
      </c>
      <c r="G55" s="663"/>
      <c r="H55" s="318">
        <f>IF(G57="",0,G57/B54)</f>
        <v>0</v>
      </c>
      <c r="I55" s="272"/>
      <c r="J55" s="136"/>
      <c r="K55" s="685"/>
      <c r="L55" s="685"/>
      <c r="M55" s="141">
        <f>IF($V$55="",0,K55/$V$59)</f>
        <v>-0</v>
      </c>
      <c r="N55" s="489"/>
      <c r="O55" s="687">
        <v>0</v>
      </c>
      <c r="P55" s="681"/>
      <c r="Q55" s="141">
        <f>IF($V$55="",0,O55/$V$59)</f>
        <v>-0</v>
      </c>
      <c r="R55" s="140" t="str">
        <f>IF(E84="","",E84)</f>
        <v>CPS</v>
      </c>
      <c r="S55" s="720">
        <f>+SUMPRODUCT(B86:B110,E86:E110)</f>
        <v>0</v>
      </c>
      <c r="T55" s="720"/>
      <c r="U55" s="486">
        <f>IF($S$59=0,0,S55/$S$59)</f>
        <v>0</v>
      </c>
      <c r="V55" s="687">
        <f>K55+O55-S55</f>
        <v>0</v>
      </c>
      <c r="W55" s="681"/>
      <c r="X55" s="141">
        <f>IF($V$55="",0,V55/$V$59)</f>
        <v>-0</v>
      </c>
      <c r="AJ55" s="121"/>
      <c r="AK55" s="116"/>
      <c r="AL55" s="123"/>
      <c r="AM55" s="123"/>
      <c r="AN55" s="116"/>
      <c r="AO55" s="121"/>
    </row>
    <row r="56" spans="1:58" customHeight="1" ht="15">
      <c r="A56" s="326" t="s">
        <v>89</v>
      </c>
      <c r="B56" s="318">
        <f>(B55*50)/1000</f>
        <v>1801.55600000000049</v>
      </c>
      <c r="E56" s="120"/>
      <c r="F56" s="662" t="s">
        <v>90</v>
      </c>
      <c r="G56" s="663"/>
      <c r="H56" s="318">
        <f>IF(G57="",0,G57/((B55*50)/1000))</f>
        <v>0</v>
      </c>
      <c r="I56" s="272"/>
      <c r="J56" s="136"/>
      <c r="K56" s="685"/>
      <c r="L56" s="685"/>
      <c r="M56" s="141">
        <f>IF($V$54="",0,K56/$V$59)</f>
        <v>-0</v>
      </c>
      <c r="N56" s="489"/>
      <c r="O56" s="687">
        <v>683</v>
      </c>
      <c r="P56" s="681"/>
      <c r="Q56" s="141">
        <f>IF($V$54="",0,O56/$V$59)</f>
        <v>-0.00026980746183137</v>
      </c>
      <c r="R56" s="148" t="s">
        <v>91</v>
      </c>
      <c r="S56" s="720">
        <f>+SUMPRODUCT(G86:G110,B86:B110)</f>
        <v>540438.59247211844195</v>
      </c>
      <c r="T56" s="720"/>
      <c r="U56" s="486">
        <f>IF($S$59=0,0,S56/$S$59)</f>
        <v>0.21336627313028</v>
      </c>
      <c r="V56" s="687">
        <f>K56+O56-S56</f>
        <v>-539755.59247211844195</v>
      </c>
      <c r="W56" s="681"/>
      <c r="X56" s="141">
        <f>IF($V$54="",0,V56/$V$59)</f>
        <v>0.21322120997685</v>
      </c>
      <c r="AJ56" s="121"/>
      <c r="AK56" s="116"/>
      <c r="AL56" s="123"/>
      <c r="AM56" s="123"/>
      <c r="AN56" s="116"/>
      <c r="AO56" s="121"/>
    </row>
    <row r="57" spans="1:58" customHeight="1" ht="15">
      <c r="A57" s="326" t="s">
        <v>92</v>
      </c>
      <c r="B57" s="580">
        <f>IF(AF36="",0,AF36)</f>
        <v>0.77319137211344</v>
      </c>
      <c r="E57" s="144"/>
      <c r="F57" s="326" t="s">
        <v>93</v>
      </c>
      <c r="G57" s="693"/>
      <c r="H57" s="694"/>
      <c r="I57" s="353"/>
      <c r="J57" s="136"/>
      <c r="K57" s="686">
        <v>0</v>
      </c>
      <c r="L57" s="686"/>
      <c r="M57" s="141">
        <f>IF($V$54="",0,L57/$V$59)</f>
        <v>-0</v>
      </c>
      <c r="N57" s="490"/>
      <c r="O57" s="687">
        <v>486</v>
      </c>
      <c r="P57" s="681"/>
      <c r="Q57" s="141">
        <f>IF($V$54="",0,O57/$V$59)</f>
        <v>-0.00019198598308938</v>
      </c>
      <c r="R57" s="140" t="s">
        <v>94</v>
      </c>
      <c r="S57" s="720">
        <f>+SUMPRODUCT(B86:B110,F86:F110)</f>
        <v>266945.87209395651007</v>
      </c>
      <c r="T57" s="720"/>
      <c r="U57" s="486">
        <f>IF($S$59=0,0,S57/$S$59)</f>
        <v>0.10539078194927</v>
      </c>
      <c r="V57" s="687">
        <f>L57+O57-S57</f>
        <v>-266459.87209395651007</v>
      </c>
      <c r="W57" s="681"/>
      <c r="X57" s="141">
        <f>IF($V$54="",0,V57/$V$59)</f>
        <v>0.10526041254697</v>
      </c>
      <c r="AG57" s="6"/>
      <c r="AH57" s="6"/>
      <c r="AI57" s="121"/>
      <c r="AJ57" s="121"/>
      <c r="AK57" s="116"/>
      <c r="AL57" s="123"/>
      <c r="AM57" s="123"/>
      <c r="AN57" s="116"/>
      <c r="AO57" s="121"/>
    </row>
    <row r="58" spans="1:58" customHeight="1" ht="15">
      <c r="A58" s="326" t="s">
        <v>95</v>
      </c>
      <c r="B58" s="319">
        <f>AN36</f>
        <v>489.61000000000001</v>
      </c>
      <c r="E58" s="146"/>
      <c r="F58" s="326" t="s">
        <v>96</v>
      </c>
      <c r="G58" s="682"/>
      <c r="H58" s="683"/>
      <c r="I58" s="684"/>
      <c r="J58" s="136"/>
      <c r="K58" s="686">
        <v>0</v>
      </c>
      <c r="L58" s="686"/>
      <c r="M58" s="141">
        <f>IF($V$54="",0,L58/$V$59)</f>
        <v>-0</v>
      </c>
      <c r="N58" s="489"/>
      <c r="O58" s="691">
        <v>0</v>
      </c>
      <c r="P58" s="692"/>
      <c r="Q58" s="141">
        <f>IF($V$54="",0,O58/$V$59)</f>
        <v>-0</v>
      </c>
      <c r="R58" s="480" t="s">
        <v>97</v>
      </c>
      <c r="S58" s="719">
        <f>IF(AD47="",0,AD47)</f>
        <v>0</v>
      </c>
      <c r="T58" s="719"/>
      <c r="U58" s="141">
        <f>IF($S$59=0,0,S58/$S$59)</f>
        <v>0</v>
      </c>
      <c r="V58" s="691">
        <f>L58+O58-S58</f>
        <v>0</v>
      </c>
      <c r="W58" s="692"/>
      <c r="X58" s="141">
        <f>IF($V$54="",0,V58/$V$59)</f>
        <v>-0</v>
      </c>
      <c r="AC58" s="421"/>
      <c r="AF58" s="6"/>
      <c r="AG58" s="6"/>
      <c r="AH58" s="6"/>
      <c r="AJ58" s="147"/>
      <c r="AK58" s="147"/>
      <c r="AL58" s="6"/>
      <c r="AM58" s="6"/>
      <c r="AN58" s="147"/>
      <c r="AO58" s="147"/>
    </row>
    <row r="59" spans="1:58" customHeight="1" ht="15">
      <c r="A59" s="326" t="s">
        <v>98</v>
      </c>
      <c r="B59" s="320">
        <f>IF(B54=0,0,AP36/AN36)</f>
        <v>0.029390739568228</v>
      </c>
      <c r="E59" s="146"/>
      <c r="F59" s="326" t="s">
        <v>99</v>
      </c>
      <c r="G59" s="660"/>
      <c r="H59" s="661"/>
      <c r="I59" s="149"/>
      <c r="J59" s="136"/>
      <c r="K59" s="671">
        <f>SUM(K54:K58)</f>
        <v>0</v>
      </c>
      <c r="L59" s="670"/>
      <c r="M59" s="481"/>
      <c r="N59" s="487">
        <f>SUM(N54:N58)</f>
        <v>0</v>
      </c>
      <c r="O59" s="671">
        <f>SUM(O54:O58)</f>
        <v>1480</v>
      </c>
      <c r="P59" s="670"/>
      <c r="Q59" s="481"/>
      <c r="R59" s="150"/>
      <c r="S59" s="670">
        <f>SUM(S54:S58)</f>
        <v>2532914.80674705607817</v>
      </c>
      <c r="T59" s="670"/>
      <c r="U59" s="479"/>
      <c r="V59" s="671">
        <f>SUM(V54:V58)</f>
        <v>-2531434.80674705607817</v>
      </c>
      <c r="W59" s="670"/>
      <c r="X59" s="481"/>
      <c r="AH59" s="6"/>
      <c r="AJ59" s="147"/>
      <c r="AK59" s="147"/>
      <c r="AL59" s="6"/>
      <c r="AM59" s="6"/>
      <c r="AN59" s="147"/>
      <c r="AO59" s="147"/>
    </row>
    <row r="60" spans="1:58" customHeight="1" ht="13.9">
      <c r="A60" s="326" t="s">
        <v>100</v>
      </c>
      <c r="B60" s="321">
        <f>AT37</f>
        <v>0.97144841269841</v>
      </c>
      <c r="E60" s="146"/>
      <c r="F60" s="326" t="s">
        <v>101</v>
      </c>
      <c r="G60" s="672">
        <v>77284230</v>
      </c>
      <c r="H60" s="673"/>
      <c r="I60" s="153">
        <v>2803509</v>
      </c>
      <c r="K60" s="216"/>
      <c r="L60" s="216"/>
      <c r="M60" s="216"/>
      <c r="N60" s="216"/>
      <c r="O60" s="375"/>
      <c r="P60" s="517"/>
      <c r="Q60" s="517"/>
      <c r="AH60" s="6"/>
      <c r="AJ60" s="147"/>
      <c r="AK60" s="147"/>
      <c r="AL60" s="6"/>
      <c r="AM60" s="6"/>
      <c r="AN60" s="147"/>
      <c r="AO60" s="147"/>
    </row>
    <row r="61" spans="1:58" customHeight="1" ht="13.9">
      <c r="A61" s="326" t="s">
        <v>102</v>
      </c>
      <c r="B61" s="580">
        <f>+AT36</f>
        <v>0.78463141025641</v>
      </c>
      <c r="E61" s="137"/>
      <c r="F61" s="662" t="s">
        <v>103</v>
      </c>
      <c r="G61" s="663"/>
      <c r="H61" s="327"/>
      <c r="I61" s="155"/>
      <c r="K61" s="665" t="s">
        <v>104</v>
      </c>
      <c r="L61" s="666"/>
      <c r="M61" s="666"/>
      <c r="N61" s="666"/>
      <c r="O61" s="666"/>
      <c r="P61" s="518"/>
      <c r="Q61" s="246"/>
      <c r="X61" s="4"/>
      <c r="AD61" s="4"/>
      <c r="AH61" s="6"/>
      <c r="AJ61" s="147"/>
      <c r="AK61" s="147"/>
      <c r="AL61" s="6"/>
      <c r="AM61" s="6"/>
      <c r="AN61" s="147"/>
      <c r="AO61" s="147"/>
    </row>
    <row r="62" spans="1:58" customHeight="1" ht="13.9">
      <c r="A62" s="326" t="s">
        <v>105</v>
      </c>
      <c r="B62" s="322">
        <f>IF(AS36="",0,AS36)</f>
        <v>114.21462796919997</v>
      </c>
      <c r="E62" s="137"/>
      <c r="F62" s="326"/>
      <c r="G62" s="216"/>
      <c r="H62" s="323"/>
      <c r="K62" s="326" t="s">
        <v>106</v>
      </c>
      <c r="L62" s="216"/>
      <c r="M62" s="332">
        <f>AX36</f>
        <v>2373.4079999999999</v>
      </c>
      <c r="N62" s="332"/>
      <c r="O62" s="216" t="s">
        <v>107</v>
      </c>
      <c r="P62" s="140"/>
      <c r="S62" s="156"/>
      <c r="V62" s="142"/>
      <c r="X62" s="4"/>
      <c r="AB62" s="157"/>
      <c r="AD62" s="4"/>
      <c r="AH62" s="6"/>
      <c r="AJ62" s="147"/>
      <c r="AK62" s="147"/>
      <c r="AL62" s="6"/>
      <c r="AM62" s="6"/>
      <c r="AN62" s="147"/>
      <c r="AO62" s="147"/>
    </row>
    <row r="63" spans="1:58" customHeight="1" ht="13.9">
      <c r="A63" s="326" t="s">
        <v>108</v>
      </c>
      <c r="B63" s="322">
        <f>IF(AU36="",0,AU36)</f>
        <v>73.59147076244359</v>
      </c>
      <c r="E63" s="137"/>
      <c r="F63" s="328" t="s">
        <v>109</v>
      </c>
      <c r="G63" s="329"/>
      <c r="H63" s="330" t="s">
        <v>110</v>
      </c>
      <c r="K63" s="326" t="s">
        <v>111</v>
      </c>
      <c r="L63" s="216"/>
      <c r="M63" s="332">
        <f>AY36</f>
        <v>1837.10400000000004</v>
      </c>
      <c r="N63" s="332"/>
      <c r="O63" s="323" t="s">
        <v>107</v>
      </c>
      <c r="S63" s="156"/>
      <c r="W63" s="156"/>
      <c r="AC63" s="247"/>
      <c r="AD63" s="157"/>
      <c r="AE63" s="157"/>
      <c r="AF63" s="157"/>
      <c r="AG63" s="6"/>
      <c r="AJ63" s="147"/>
      <c r="AK63" s="6"/>
      <c r="AL63" s="147"/>
      <c r="AM63" s="147"/>
      <c r="AN63" s="147"/>
    </row>
    <row r="64" spans="1:58" customHeight="1" ht="13.9">
      <c r="A64" s="326" t="s">
        <v>112</v>
      </c>
      <c r="B64" s="323">
        <f>31-COUNTBLANK(A4:A35)</f>
        <v>20</v>
      </c>
      <c r="F64" s="331" t="s">
        <v>113</v>
      </c>
      <c r="G64" s="664">
        <f>G63/(B54*1000)</f>
        <v>0</v>
      </c>
      <c r="H64" s="664"/>
      <c r="I64" s="376"/>
      <c r="J64" s="136"/>
      <c r="K64" s="418" t="s">
        <v>92</v>
      </c>
      <c r="L64" s="483"/>
      <c r="M64" s="419">
        <f>M63/M62</f>
        <v>0.77403632245278</v>
      </c>
      <c r="N64" s="419"/>
      <c r="O64" s="420"/>
      <c r="S64" s="145"/>
      <c r="T64" s="665" t="s">
        <v>114</v>
      </c>
      <c r="U64" s="666"/>
      <c r="V64" s="667"/>
      <c r="X64" s="4"/>
      <c r="Y64" s="472" t="s">
        <v>115</v>
      </c>
      <c r="Z64" s="273" t="s">
        <v>116</v>
      </c>
      <c r="AA64" s="273">
        <v>900</v>
      </c>
      <c r="AB64" s="273" t="s">
        <v>117</v>
      </c>
      <c r="AC64" s="273">
        <v>7200</v>
      </c>
      <c r="AD64" s="273">
        <v>4200</v>
      </c>
      <c r="AE64" s="273">
        <v>8530</v>
      </c>
      <c r="AF64" s="157"/>
      <c r="AG64" s="6"/>
      <c r="AJ64" s="147"/>
      <c r="AK64" s="6"/>
      <c r="AL64" s="147"/>
      <c r="AM64" s="147"/>
      <c r="AN64" s="147"/>
    </row>
    <row r="65" spans="1:58" customHeight="1" ht="13.9">
      <c r="A65" s="370" t="s">
        <v>118</v>
      </c>
      <c r="B65" s="324">
        <f>AD44+AD52</f>
        <v>2566.088999999999942</v>
      </c>
      <c r="G65" s="156" t="s">
        <v>119</v>
      </c>
      <c r="O65" s="4"/>
      <c r="P65" s="4"/>
      <c r="T65" s="354" t="s">
        <v>120</v>
      </c>
      <c r="U65" s="668">
        <f>+AX4</f>
        <v>2373408</v>
      </c>
      <c r="V65" s="669"/>
      <c r="X65" s="165" t="s">
        <v>16</v>
      </c>
      <c r="Y65" s="531">
        <v>10</v>
      </c>
      <c r="Z65" s="531">
        <v>3</v>
      </c>
      <c r="AA65" s="531">
        <v>2.5</v>
      </c>
      <c r="AB65" s="531">
        <v>3</v>
      </c>
      <c r="AC65" s="531">
        <v>7</v>
      </c>
      <c r="AD65" s="531">
        <v>2</v>
      </c>
      <c r="AE65" s="531"/>
      <c r="AG65" s="147"/>
      <c r="AH65" s="147"/>
      <c r="AI65" s="6"/>
      <c r="AJ65" s="6"/>
      <c r="AK65" s="147"/>
      <c r="AL65" s="147"/>
      <c r="AM65" s="147"/>
    </row>
    <row r="66" spans="1:58" customHeight="1" ht="14.45">
      <c r="A66" s="259" t="s">
        <v>121</v>
      </c>
      <c r="B66" s="477">
        <f>B54/B71</f>
        <v>106.92037499999999</v>
      </c>
      <c r="E66" s="136"/>
      <c r="F66" s="655" t="s">
        <v>122</v>
      </c>
      <c r="G66" s="656"/>
      <c r="H66" s="657"/>
      <c r="K66" s="655" t="s">
        <v>123</v>
      </c>
      <c r="L66" s="656"/>
      <c r="M66" s="656"/>
      <c r="N66" s="656"/>
      <c r="O66" s="656"/>
      <c r="P66" s="519"/>
      <c r="Q66" s="133"/>
      <c r="R66" s="162"/>
      <c r="S66" s="162"/>
      <c r="T66" s="354" t="s">
        <v>124</v>
      </c>
      <c r="U66" s="658">
        <f>AZ4</f>
        <v>69185</v>
      </c>
      <c r="V66" s="659"/>
      <c r="W66" s="162"/>
      <c r="X66" s="165" t="s">
        <v>162</v>
      </c>
      <c r="Y66" s="532">
        <v>5</v>
      </c>
      <c r="Z66" s="532">
        <v>1.5</v>
      </c>
      <c r="AA66" s="532">
        <v>1.25</v>
      </c>
      <c r="AB66" s="532">
        <v>1.5</v>
      </c>
      <c r="AC66" s="532">
        <v>3.5</v>
      </c>
      <c r="AD66" s="532">
        <v>1</v>
      </c>
      <c r="AE66" s="532"/>
      <c r="AG66" s="147"/>
      <c r="AH66" s="147"/>
      <c r="AI66" s="6"/>
      <c r="AJ66" s="6"/>
      <c r="AK66" s="147"/>
      <c r="AL66" s="147"/>
      <c r="AM66" s="147"/>
    </row>
    <row r="67" spans="1:58" customHeight="1" ht="14.45">
      <c r="A67" s="256" t="s">
        <v>125</v>
      </c>
      <c r="B67" s="502">
        <f>B79/B54</f>
        <v>24964.93106825211362</v>
      </c>
      <c r="F67" s="632" t="s">
        <v>126</v>
      </c>
      <c r="G67" s="633"/>
      <c r="H67" s="268"/>
      <c r="I67" s="140"/>
      <c r="J67" s="136"/>
      <c r="K67" s="1" t="s">
        <v>127</v>
      </c>
      <c r="O67" s="520">
        <v>662</v>
      </c>
      <c r="R67" s="162"/>
      <c r="S67" s="162"/>
      <c r="T67" s="162"/>
      <c r="U67" s="162"/>
      <c r="V67" s="162"/>
      <c r="W67" s="162"/>
      <c r="X67" s="165" t="s">
        <v>163</v>
      </c>
      <c r="Y67" s="532">
        <v>2</v>
      </c>
      <c r="Z67" s="532">
        <v>0.6</v>
      </c>
      <c r="AA67" s="532">
        <v>0.5</v>
      </c>
      <c r="AB67" s="532">
        <v>0.6</v>
      </c>
      <c r="AC67" s="532">
        <v>1.4</v>
      </c>
      <c r="AD67" s="532">
        <v>0.4</v>
      </c>
      <c r="AE67" s="532"/>
      <c r="AG67" s="147"/>
      <c r="AH67" s="147"/>
      <c r="AI67" s="6"/>
      <c r="AJ67" s="6"/>
      <c r="AK67" s="147"/>
      <c r="AL67" s="147"/>
      <c r="AM67" s="147"/>
    </row>
    <row r="68" spans="1:58" customHeight="1" ht="14.45">
      <c r="A68" s="258" t="s">
        <v>128</v>
      </c>
      <c r="B68" s="503">
        <f>B80/B54</f>
        <v>3054.23233566723547</v>
      </c>
      <c r="F68" s="140" t="s">
        <v>129</v>
      </c>
      <c r="H68" s="474">
        <f>(H67*1)*2</f>
        <v>0</v>
      </c>
      <c r="I68" s="140"/>
      <c r="K68" s="140" t="s">
        <v>129</v>
      </c>
      <c r="O68" s="474">
        <f>O67/30</f>
        <v>22.066666666666666</v>
      </c>
      <c r="T68" s="634" t="s">
        <v>130</v>
      </c>
      <c r="U68" s="635"/>
      <c r="V68" s="636"/>
      <c r="X68" s="165" t="s">
        <v>19</v>
      </c>
      <c r="Y68" s="531">
        <v>10</v>
      </c>
      <c r="Z68" s="531">
        <v>3</v>
      </c>
      <c r="AA68" s="531">
        <v>0</v>
      </c>
      <c r="AB68" s="531">
        <v>6</v>
      </c>
      <c r="AC68" s="531">
        <v>7</v>
      </c>
      <c r="AD68" s="531">
        <v>0</v>
      </c>
      <c r="AE68" s="531"/>
      <c r="AG68" s="147"/>
      <c r="AH68" s="147"/>
      <c r="AI68" s="6"/>
      <c r="AJ68" s="6"/>
      <c r="AK68" s="147"/>
      <c r="AL68" s="147"/>
      <c r="AM68" s="147"/>
    </row>
    <row r="69" spans="1:58">
      <c r="F69" s="637" t="s">
        <v>131</v>
      </c>
      <c r="G69" s="638"/>
      <c r="H69" s="639"/>
      <c r="I69" s="140"/>
      <c r="J69" s="136"/>
      <c r="K69" s="1" t="s">
        <v>132</v>
      </c>
      <c r="P69" s="140"/>
      <c r="T69" s="417" t="s">
        <v>133</v>
      </c>
      <c r="U69" s="640">
        <f>+BC4</f>
        <v>123963750</v>
      </c>
      <c r="V69" s="641"/>
      <c r="X69" s="165" t="s">
        <v>165</v>
      </c>
      <c r="Y69" s="532">
        <v>0</v>
      </c>
      <c r="Z69" s="532">
        <v>0</v>
      </c>
      <c r="AA69" s="532">
        <v>0</v>
      </c>
      <c r="AB69" s="532">
        <v>0</v>
      </c>
      <c r="AC69" s="532">
        <v>0</v>
      </c>
      <c r="AD69" s="532">
        <v>0</v>
      </c>
      <c r="AE69" s="532"/>
      <c r="AG69" s="147"/>
      <c r="AH69" s="147"/>
      <c r="AI69" s="6"/>
      <c r="AJ69" s="6"/>
      <c r="AK69" s="147"/>
      <c r="AL69" s="147"/>
      <c r="AM69" s="147"/>
    </row>
    <row r="70" spans="1:58" customHeight="1" ht="14.45">
      <c r="A70" s="371" t="s">
        <v>134</v>
      </c>
      <c r="B70" s="373"/>
      <c r="F70" s="630" t="s">
        <v>91</v>
      </c>
      <c r="G70" s="642"/>
      <c r="H70" s="270"/>
      <c r="I70" s="140"/>
      <c r="K70" s="159" t="s">
        <v>94</v>
      </c>
      <c r="L70" s="158"/>
      <c r="M70" s="158"/>
      <c r="N70" s="158"/>
      <c r="O70" s="478"/>
      <c r="P70" s="524"/>
      <c r="T70" s="417" t="s">
        <v>135</v>
      </c>
      <c r="U70" s="643">
        <f>+BF4+BD4</f>
        <v>52909909</v>
      </c>
      <c r="V70" s="644"/>
      <c r="X70" s="165" t="s">
        <v>31</v>
      </c>
      <c r="Y70" s="532">
        <v>0</v>
      </c>
      <c r="Z70" s="532">
        <v>0</v>
      </c>
      <c r="AA70" s="532">
        <v>0</v>
      </c>
      <c r="AB70" s="532">
        <v>0</v>
      </c>
      <c r="AC70" s="532">
        <v>0</v>
      </c>
      <c r="AD70" s="532">
        <v>0</v>
      </c>
      <c r="AE70" s="532"/>
      <c r="AG70" s="147"/>
      <c r="AH70" s="147"/>
      <c r="AI70" s="147"/>
      <c r="AJ70" s="147"/>
      <c r="AK70" s="6"/>
      <c r="AL70" s="6"/>
      <c r="AM70" s="147"/>
      <c r="AN70" s="147"/>
    </row>
    <row r="71" spans="1:58" customHeight="1" ht="14.45">
      <c r="A71" s="255" t="s">
        <v>136</v>
      </c>
      <c r="B71" s="264">
        <v>24</v>
      </c>
      <c r="F71" s="140" t="s">
        <v>137</v>
      </c>
      <c r="G71" s="475"/>
      <c r="H71" s="267">
        <f>H68*G71</f>
        <v>0</v>
      </c>
      <c r="K71" s="140" t="s">
        <v>137</v>
      </c>
      <c r="L71" s="475">
        <v>100</v>
      </c>
      <c r="M71" s="367">
        <f>(O68*L71)</f>
        <v>2206.66666666666652</v>
      </c>
      <c r="P71" s="524"/>
      <c r="Q71" s="521"/>
      <c r="T71" s="417" t="s">
        <v>94</v>
      </c>
      <c r="U71" s="647">
        <f>+BE4</f>
        <v>39502680</v>
      </c>
      <c r="V71" s="648"/>
      <c r="X71" s="165" t="s">
        <v>67</v>
      </c>
      <c r="Y71" s="531">
        <f>+SUM(Y65:Y70)</f>
        <v>27</v>
      </c>
      <c r="Z71" s="531">
        <f>+SUM(Z65:Z70)</f>
        <v>8.1</v>
      </c>
      <c r="AA71" s="531">
        <f>+SUM(AA65:AA70)</f>
        <v>4.25</v>
      </c>
      <c r="AB71" s="531">
        <f>+SUM(AB65:AB70)</f>
        <v>11.1</v>
      </c>
      <c r="AC71" s="531">
        <f>+SUM(AC65:AC70)</f>
        <v>18.9</v>
      </c>
      <c r="AD71" s="531">
        <f>+SUM(AD65:AD70)</f>
        <v>3.4</v>
      </c>
      <c r="AE71" s="531"/>
      <c r="AG71" s="147"/>
      <c r="AH71" s="147"/>
      <c r="AI71" s="6"/>
      <c r="AJ71" s="6"/>
      <c r="AK71" s="147"/>
      <c r="AL71" s="147"/>
      <c r="AM71" s="147"/>
    </row>
    <row r="72" spans="1:58" customHeight="1" ht="14.45">
      <c r="A72" s="255" t="s">
        <v>138</v>
      </c>
      <c r="B72" s="265">
        <v>28760</v>
      </c>
      <c r="F72" s="148" t="s">
        <v>139</v>
      </c>
      <c r="G72" s="649">
        <f>(G71*436*1.7321*0.96)/1000</f>
        <v>0</v>
      </c>
      <c r="H72" s="650">
        <f>(H71*436*1.7321*0.96)/1000</f>
        <v>0</v>
      </c>
      <c r="K72" s="148" t="s">
        <v>139</v>
      </c>
      <c r="L72" s="271">
        <f>(L71*436*1.7321*0.96)/1000</f>
        <v>72.4987776</v>
      </c>
      <c r="M72" s="156"/>
      <c r="O72" s="525"/>
      <c r="P72" s="522"/>
      <c r="T72" s="354" t="s">
        <v>140</v>
      </c>
      <c r="U72" s="643">
        <v>0</v>
      </c>
      <c r="V72" s="644"/>
      <c r="X72" s="202" t="s">
        <v>141</v>
      </c>
      <c r="Y72" s="203"/>
      <c r="Z72" s="203"/>
      <c r="AA72" s="203"/>
      <c r="AB72" s="203"/>
      <c r="AC72" s="203"/>
      <c r="AE72" s="6"/>
      <c r="AG72" s="147"/>
      <c r="AH72" s="147"/>
      <c r="AI72" s="147"/>
      <c r="AJ72" s="147"/>
      <c r="AK72" s="6"/>
      <c r="AL72" s="6"/>
      <c r="AM72" s="147"/>
      <c r="AN72" s="147"/>
    </row>
    <row r="73" spans="1:58">
      <c r="A73" s="156" t="s">
        <v>142</v>
      </c>
      <c r="B73" s="424">
        <v>36087</v>
      </c>
      <c r="F73" s="140" t="s">
        <v>143</v>
      </c>
      <c r="G73" s="653">
        <f>G72*H67</f>
        <v>0</v>
      </c>
      <c r="H73" s="639"/>
      <c r="K73" s="140" t="s">
        <v>143</v>
      </c>
      <c r="M73" s="653">
        <f>L72*O68</f>
        <v>1599.80635903999996</v>
      </c>
      <c r="N73" s="653"/>
      <c r="O73" s="654"/>
      <c r="X73" s="202"/>
      <c r="Y73" s="245"/>
      <c r="Z73" s="245"/>
      <c r="AA73" s="245"/>
      <c r="AB73" s="245"/>
      <c r="AC73" s="245"/>
      <c r="AE73" s="6"/>
      <c r="AG73" s="147"/>
      <c r="AH73" s="147"/>
      <c r="AI73" s="147"/>
      <c r="AJ73" s="147"/>
      <c r="AK73" s="6"/>
      <c r="AL73" s="6"/>
      <c r="AM73" s="147"/>
      <c r="AN73" s="147"/>
    </row>
    <row r="74" spans="1:58" customHeight="1" ht="14.45">
      <c r="A74" s="257" t="s">
        <v>144</v>
      </c>
      <c r="B74" s="266">
        <f>+B55/B72</f>
        <v>1.25282058414465</v>
      </c>
      <c r="F74" s="632" t="s">
        <v>86</v>
      </c>
      <c r="G74" s="633"/>
      <c r="H74" s="269">
        <f>G73*H54</f>
        <v>0</v>
      </c>
      <c r="K74" s="140" t="s">
        <v>86</v>
      </c>
      <c r="M74" s="352">
        <f>M73*H54</f>
        <v>0</v>
      </c>
      <c r="O74" s="136"/>
      <c r="P74" s="523"/>
      <c r="Q74" s="523"/>
      <c r="T74" s="374" t="s">
        <v>145</v>
      </c>
      <c r="U74" s="374"/>
      <c r="V74" s="374"/>
      <c r="AE74" s="6"/>
      <c r="AG74" s="6"/>
      <c r="AI74" s="147"/>
      <c r="AJ74" s="147"/>
      <c r="AK74" s="147"/>
      <c r="AL74" s="147"/>
      <c r="AM74" s="147"/>
      <c r="AN74" s="6"/>
      <c r="AO74" s="147"/>
      <c r="AP74" s="147"/>
    </row>
    <row r="75" spans="1:58" customHeight="1" ht="22.5">
      <c r="A75" s="257" t="s">
        <v>146</v>
      </c>
      <c r="B75" s="266">
        <f>+B55/B73</f>
        <v>0.99845151993793</v>
      </c>
      <c r="F75" s="159"/>
      <c r="G75" s="158"/>
      <c r="H75" s="151"/>
      <c r="K75" s="159"/>
      <c r="L75" s="158"/>
      <c r="M75" s="158"/>
      <c r="N75" s="158"/>
      <c r="O75" s="151"/>
      <c r="T75" s="253" t="s">
        <v>147</v>
      </c>
      <c r="U75" s="254"/>
      <c r="V75" s="645">
        <f>AP36*(U75+U76)</f>
        <v>0</v>
      </c>
      <c r="Y75" s="156" t="s">
        <v>148</v>
      </c>
      <c r="Z75" s="1" t="s">
        <v>149</v>
      </c>
      <c r="AA75" s="1" t="s">
        <v>150</v>
      </c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8">
      <c r="T76" s="253" t="s">
        <v>151</v>
      </c>
      <c r="U76" s="254"/>
      <c r="V76" s="646"/>
      <c r="Y76" s="209" t="s">
        <v>152</v>
      </c>
      <c r="Z76" s="7">
        <v>12.5</v>
      </c>
      <c r="AA76" s="7">
        <v>13.5</v>
      </c>
      <c r="AB76" s="7"/>
      <c r="AC76" s="1" t="s">
        <v>152</v>
      </c>
      <c r="AE76" s="6"/>
      <c r="AG76" s="6"/>
      <c r="AI76" s="147"/>
      <c r="AJ76" s="147"/>
      <c r="AK76" s="147"/>
      <c r="AL76" s="147"/>
      <c r="AM76" s="147"/>
      <c r="AN76" s="6"/>
      <c r="AO76" s="147"/>
      <c r="AP76" s="147"/>
    </row>
    <row r="77" spans="1:58">
      <c r="Y77" s="209" t="s">
        <v>67</v>
      </c>
      <c r="Z77" s="212">
        <f>SUM(A86:A110)*Z76</f>
        <v>502882.74999999994179</v>
      </c>
      <c r="AA77" s="212" t="e">
        <f>(A97+#REF!)*AA76</f>
        <v>#REF!</v>
      </c>
      <c r="AB77" s="240"/>
      <c r="AC77" s="156" t="s">
        <v>153</v>
      </c>
      <c r="AE77" s="206"/>
      <c r="AG77" s="6"/>
      <c r="AI77" s="147"/>
      <c r="AJ77" s="147"/>
      <c r="AK77" s="147"/>
      <c r="AL77" s="147"/>
      <c r="AM77" s="147"/>
      <c r="AN77" s="6"/>
      <c r="AO77" s="147"/>
      <c r="AP77" s="147"/>
    </row>
    <row r="78" spans="1:58" customHeight="1" ht="14.45">
      <c r="A78" s="371" t="s">
        <v>154</v>
      </c>
      <c r="B78" s="372"/>
      <c r="C78" s="140"/>
      <c r="Y78" s="202" t="s">
        <v>141</v>
      </c>
      <c r="Z78" s="142"/>
      <c r="AA78" s="142"/>
      <c r="AB78" s="142"/>
      <c r="AC78" s="156" t="s">
        <v>153</v>
      </c>
      <c r="AE78" s="206"/>
      <c r="AG78" s="6"/>
      <c r="AI78" s="147"/>
      <c r="AJ78" s="147"/>
      <c r="AK78" s="147"/>
      <c r="AL78" s="147"/>
      <c r="AM78" s="147"/>
      <c r="AN78" s="6"/>
      <c r="AO78" s="147"/>
      <c r="AP78" s="147"/>
    </row>
    <row r="79" spans="1:58" customHeight="1" ht="14.45">
      <c r="A79" s="260" t="s">
        <v>155</v>
      </c>
      <c r="B79" s="262">
        <v>64062235</v>
      </c>
      <c r="X79" s="169"/>
      <c r="AG79" s="6"/>
      <c r="AI79" s="147"/>
      <c r="AJ79" s="147"/>
      <c r="AK79" s="147"/>
      <c r="AL79" s="147"/>
      <c r="AM79" s="147"/>
      <c r="AN79" s="6"/>
      <c r="AO79" s="147"/>
      <c r="AP79" s="147"/>
    </row>
    <row r="80" spans="1:58" customHeight="1" ht="14.45">
      <c r="A80" s="261" t="s">
        <v>156</v>
      </c>
      <c r="B80" s="263">
        <v>7837432</v>
      </c>
      <c r="X80" s="169"/>
      <c r="AE80" s="6"/>
      <c r="AK80" s="147"/>
      <c r="AL80" s="147"/>
      <c r="AM80" s="147"/>
      <c r="AN80" s="6"/>
      <c r="AO80" s="147"/>
      <c r="AP80" s="147"/>
    </row>
    <row r="81" spans="1:58">
      <c r="AE81" s="6"/>
      <c r="AK81" s="147"/>
      <c r="AL81" s="147"/>
      <c r="AM81" s="147"/>
      <c r="AN81" s="6"/>
      <c r="AO81" s="147"/>
      <c r="AP81" s="147"/>
      <c r="AQ81" s="147"/>
      <c r="AR81" s="147"/>
    </row>
    <row r="82" spans="1:58">
      <c r="AE82" s="6"/>
      <c r="AK82" s="147"/>
      <c r="AL82" s="147"/>
      <c r="AM82" s="147"/>
      <c r="AN82" s="6"/>
      <c r="AO82" s="147"/>
      <c r="AP82" s="147"/>
      <c r="AQ82" s="147"/>
      <c r="AR82" s="147"/>
    </row>
    <row r="83" spans="1:58">
      <c r="N83" s="4"/>
      <c r="Z83" s="213"/>
      <c r="AA83" s="213"/>
      <c r="AB83" s="213"/>
      <c r="AC83" s="213"/>
      <c r="AD83" s="213"/>
      <c r="AE83" s="6"/>
      <c r="AK83" s="147"/>
      <c r="AL83" s="147"/>
      <c r="AM83" s="147"/>
      <c r="AN83" s="6"/>
      <c r="AO83" s="147"/>
      <c r="AP83" s="147"/>
      <c r="AQ83" s="147"/>
      <c r="AR83" s="147"/>
    </row>
    <row r="84" spans="1:58" customHeight="1" ht="16.35">
      <c r="A84" s="170"/>
      <c r="C84" s="171"/>
      <c r="D84" s="423" t="s">
        <v>157</v>
      </c>
      <c r="E84" s="423" t="s">
        <v>158</v>
      </c>
      <c r="F84" s="423" t="s">
        <v>94</v>
      </c>
      <c r="G84" s="423" t="s">
        <v>91</v>
      </c>
      <c r="Z84" s="213"/>
      <c r="AA84" s="213"/>
      <c r="AB84" s="213"/>
      <c r="AC84" s="213"/>
      <c r="AD84" s="213"/>
      <c r="AE84" s="6"/>
      <c r="AK84" s="147"/>
      <c r="AL84" s="147"/>
      <c r="AM84" s="147"/>
    </row>
    <row r="85" spans="1:58" customHeight="1" ht="16.35">
      <c r="A85" s="356" t="s">
        <v>45</v>
      </c>
      <c r="B85" s="472" t="s">
        <v>159</v>
      </c>
      <c r="C85" s="176" t="s">
        <v>160</v>
      </c>
      <c r="D85" s="178" t="s">
        <v>161</v>
      </c>
      <c r="E85" s="178" t="s">
        <v>161</v>
      </c>
      <c r="F85" s="178" t="s">
        <v>161</v>
      </c>
      <c r="G85" s="178" t="s">
        <v>161</v>
      </c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8" customHeight="1" ht="16.35">
      <c r="A86" s="139">
        <f>+C38</f>
        <v>9763</v>
      </c>
      <c r="B86" s="139">
        <f>IF(A86=0,0,((A86*50)/$B$57))</f>
        <v>631344.34449997649062</v>
      </c>
      <c r="C86" s="180" t="s">
        <v>16</v>
      </c>
      <c r="D86" s="569">
        <v>0.7</v>
      </c>
      <c r="E86" s="570">
        <v>0</v>
      </c>
      <c r="F86" s="571"/>
      <c r="G86" s="572">
        <v>0.3</v>
      </c>
      <c r="H86" s="152">
        <f>G86+F86+E86+D86</f>
        <v>1</v>
      </c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8" customHeight="1" ht="16.35">
      <c r="A87" s="139">
        <f>+C39</f>
        <v>346</v>
      </c>
      <c r="B87" s="139">
        <f>IF(A87=0,0,((A87*50)/$B$57))</f>
        <v>22374.79700880793462</v>
      </c>
      <c r="C87" s="180" t="s">
        <v>16</v>
      </c>
      <c r="D87" s="573">
        <v>0.6</v>
      </c>
      <c r="E87" s="186">
        <v>0</v>
      </c>
      <c r="F87" s="462">
        <v>0</v>
      </c>
      <c r="G87" s="574">
        <v>0.4</v>
      </c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8" customHeight="1" ht="16.35">
      <c r="A88" s="139">
        <f>+D38/2</f>
        <v>771</v>
      </c>
      <c r="B88" s="139">
        <f>IF(A88=0,0,((A88*50)/$B$57))</f>
        <v>49858.29044448242348</v>
      </c>
      <c r="C88" s="180" t="s">
        <v>162</v>
      </c>
      <c r="D88" s="569">
        <v>0.7</v>
      </c>
      <c r="E88" s="570">
        <v>0</v>
      </c>
      <c r="F88" s="571"/>
      <c r="G88" s="572">
        <v>0.3</v>
      </c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8" customHeight="1" ht="16.35">
      <c r="A89" s="139">
        <f>+D39/2</f>
        <v>0</v>
      </c>
      <c r="B89" s="139">
        <f>IF(A89=0,0,((A89*50)/$B$57))</f>
        <v>0</v>
      </c>
      <c r="C89" s="180" t="s">
        <v>162</v>
      </c>
      <c r="D89" s="573">
        <v>0.6</v>
      </c>
      <c r="E89" s="186">
        <v>0</v>
      </c>
      <c r="F89" s="462">
        <v>0</v>
      </c>
      <c r="G89" s="574">
        <v>0.4</v>
      </c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8" customHeight="1" ht="16.35">
      <c r="A90" s="139">
        <f>+E38/5</f>
        <v>39.8</v>
      </c>
      <c r="B90" s="139">
        <f>IF(A90=0,0,((A90*50)/$B$57))</f>
        <v>2573.74832644669277</v>
      </c>
      <c r="C90" s="180" t="s">
        <v>163</v>
      </c>
      <c r="D90" s="569">
        <v>0.7</v>
      </c>
      <c r="E90" s="570">
        <v>0</v>
      </c>
      <c r="F90" s="571"/>
      <c r="G90" s="572">
        <v>0.3</v>
      </c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8" customHeight="1" ht="16.35">
      <c r="A91" s="139">
        <f>+E39/5</f>
        <v>0</v>
      </c>
      <c r="B91" s="139">
        <f>IF(A91=0,0,((A91*50)/$B$57))</f>
        <v>0</v>
      </c>
      <c r="C91" s="180" t="s">
        <v>163</v>
      </c>
      <c r="D91" s="573">
        <v>0.6</v>
      </c>
      <c r="E91" s="186">
        <v>0</v>
      </c>
      <c r="F91" s="462">
        <v>0</v>
      </c>
      <c r="G91" s="574">
        <v>0.4</v>
      </c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8" customHeight="1" ht="16.35">
      <c r="A92" s="139">
        <f>+F38</f>
        <v>855</v>
      </c>
      <c r="B92" s="139">
        <f>IF(A92=0,0,((A92*50)/$B$57))</f>
        <v>55290.32208823926339</v>
      </c>
      <c r="C92" s="189" t="str">
        <f>F3</f>
        <v>Artesanal 
50</v>
      </c>
      <c r="D92" s="573">
        <v>0.52</v>
      </c>
      <c r="E92" s="186">
        <v>0</v>
      </c>
      <c r="F92" s="186">
        <v>0.25</v>
      </c>
      <c r="G92" s="576">
        <v>0.23</v>
      </c>
      <c r="J92" s="137"/>
      <c r="Y92" s="213"/>
      <c r="Z92" s="6"/>
      <c r="AA92" s="6"/>
      <c r="AB92" s="6"/>
      <c r="AC92" s="6"/>
      <c r="AD92" s="6"/>
      <c r="AE92" s="6"/>
      <c r="AK92" s="147"/>
      <c r="AL92" s="147"/>
      <c r="AM92" s="147"/>
    </row>
    <row r="93" spans="1:58" customHeight="1" ht="16.35">
      <c r="A93" s="139">
        <f>G38/2</f>
        <v>199</v>
      </c>
      <c r="B93" s="139">
        <f>IF(A93=0,0,((A93*50)/$B$57))</f>
        <v>12868.74163223346477</v>
      </c>
      <c r="C93" s="190" t="str">
        <f>G3</f>
        <v>Artesanal
25</v>
      </c>
      <c r="D93" s="573">
        <v>0.52</v>
      </c>
      <c r="E93" s="186">
        <v>0</v>
      </c>
      <c r="F93" s="186">
        <v>0.25</v>
      </c>
      <c r="G93" s="576">
        <v>0.23</v>
      </c>
      <c r="Y93" s="213"/>
      <c r="Z93" s="6"/>
      <c r="AA93" s="6"/>
      <c r="AB93" s="6"/>
      <c r="AC93" s="6"/>
      <c r="AD93" s="6"/>
      <c r="AE93" s="6"/>
      <c r="AK93" s="147"/>
      <c r="AL93" s="147"/>
      <c r="AM93" s="147"/>
    </row>
    <row r="94" spans="1:58" customHeight="1" ht="16.35">
      <c r="A94" s="139">
        <f>H38</f>
        <v>0</v>
      </c>
      <c r="B94" s="139">
        <f>IF(A94=0,0,((A94*50)/$B$57))</f>
        <v>0</v>
      </c>
      <c r="C94" s="180" t="str">
        <f>H3</f>
        <v>Natural 
50</v>
      </c>
      <c r="D94" s="573">
        <v>0.63</v>
      </c>
      <c r="E94" s="186">
        <v>0</v>
      </c>
      <c r="F94" s="186">
        <v>0.14</v>
      </c>
      <c r="G94" s="576">
        <v>0.23</v>
      </c>
      <c r="Y94" s="213"/>
      <c r="Z94" s="6"/>
      <c r="AA94" s="6"/>
      <c r="AB94" s="6"/>
      <c r="AC94" s="6"/>
      <c r="AD94" s="6"/>
      <c r="AE94" s="6"/>
      <c r="AK94" s="147"/>
      <c r="AL94" s="147"/>
      <c r="AM94" s="147"/>
    </row>
    <row r="95" spans="1:58" customHeight="1" ht="16.35">
      <c r="A95" s="139"/>
      <c r="B95" s="139"/>
      <c r="C95" s="548"/>
      <c r="D95" s="200"/>
      <c r="E95" s="200"/>
      <c r="F95" s="201"/>
      <c r="G95" s="201"/>
      <c r="V95" s="245"/>
      <c r="W95" s="245"/>
      <c r="Y95" s="213"/>
      <c r="Z95" s="6"/>
      <c r="AA95" s="6"/>
      <c r="AB95" s="6"/>
      <c r="AC95" s="6"/>
      <c r="AD95" s="6"/>
      <c r="AE95" s="6"/>
      <c r="AH95" s="147"/>
      <c r="AI95" s="147"/>
      <c r="AJ95" s="147"/>
    </row>
    <row r="96" spans="1:58" customHeight="1" ht="15.6">
      <c r="A96" s="139">
        <f>I36/2</f>
        <v>3363.5</v>
      </c>
      <c r="B96" s="139">
        <f>IF(A96=0,0,((A96*50)/$B$57))</f>
        <v>217507.60040209678118</v>
      </c>
      <c r="C96" s="379" t="str">
        <f>I3</f>
        <v>Fuerte
25</v>
      </c>
      <c r="D96" s="463">
        <v>0.52</v>
      </c>
      <c r="E96" s="182">
        <v>0</v>
      </c>
      <c r="F96" s="182">
        <v>0.23</v>
      </c>
      <c r="G96" s="506">
        <v>0.25</v>
      </c>
      <c r="Y96" s="213"/>
      <c r="Z96" s="6"/>
      <c r="AA96" s="6"/>
      <c r="AB96" s="6"/>
      <c r="AC96" s="6"/>
      <c r="AD96" s="6"/>
      <c r="AE96" s="6"/>
      <c r="AH96" s="147"/>
      <c r="AI96" s="147"/>
      <c r="AJ96" s="147"/>
    </row>
    <row r="97" spans="1:58" customHeight="1" ht="16.35">
      <c r="A97" s="139">
        <f>J38/2</f>
        <v>40</v>
      </c>
      <c r="B97" s="139">
        <f>IF(A97=0,0,((A97*50)/$B$57))</f>
        <v>2586.68173512230442</v>
      </c>
      <c r="C97" s="448" t="str">
        <f>J3</f>
        <v>Fuerte exp
25</v>
      </c>
      <c r="D97" s="462">
        <v>0.52</v>
      </c>
      <c r="E97" s="186">
        <v>0</v>
      </c>
      <c r="F97" s="382">
        <v>0.23</v>
      </c>
      <c r="G97" s="504">
        <v>0.25</v>
      </c>
      <c r="X97" s="213"/>
      <c r="Y97" s="213"/>
      <c r="Z97" s="6"/>
      <c r="AA97" s="6"/>
      <c r="AB97" s="6"/>
      <c r="AC97" s="6"/>
      <c r="AD97" s="6"/>
      <c r="AE97" s="6"/>
      <c r="AH97" s="147"/>
      <c r="AI97" s="147"/>
      <c r="AJ97" s="147"/>
    </row>
    <row r="98" spans="1:58" customHeight="1" ht="16.35">
      <c r="A98" s="139">
        <f>K38</f>
        <v>0</v>
      </c>
      <c r="B98" s="139">
        <f>IF(A98=0,0,((A98*50)/$B$57))</f>
        <v>0</v>
      </c>
      <c r="C98" s="379" t="str">
        <f>K3</f>
        <v>Exclusiva
50</v>
      </c>
      <c r="D98" s="462">
        <v>0.53</v>
      </c>
      <c r="E98" s="186">
        <v>0</v>
      </c>
      <c r="F98" s="382">
        <v>0.22</v>
      </c>
      <c r="G98" s="504">
        <v>0.25</v>
      </c>
      <c r="X98" s="213"/>
      <c r="Y98" s="213"/>
      <c r="Z98" s="6"/>
      <c r="AA98" s="6"/>
      <c r="AB98" s="6"/>
      <c r="AC98" s="6"/>
      <c r="AD98" s="6"/>
      <c r="AE98" s="6"/>
      <c r="AH98" s="147"/>
      <c r="AI98" s="147"/>
      <c r="AJ98" s="147"/>
    </row>
    <row r="99" spans="1:58" customHeight="1" ht="16.35">
      <c r="A99" s="139">
        <f>L38/2</f>
        <v>0</v>
      </c>
      <c r="B99" s="139">
        <f>IF(A99=0,0,((A99*50)/$B$57))</f>
        <v>0</v>
      </c>
      <c r="C99" s="379" t="str">
        <f>+L3</f>
        <v>Exclusiva 
25</v>
      </c>
      <c r="D99" s="462">
        <v>0.53</v>
      </c>
      <c r="E99" s="186">
        <v>0</v>
      </c>
      <c r="F99" s="382">
        <v>0.22</v>
      </c>
      <c r="G99" s="504">
        <v>0.25</v>
      </c>
      <c r="X99" s="213"/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8" customHeight="1" ht="17.1">
      <c r="A100" s="139">
        <f>Q38</f>
        <v>0</v>
      </c>
      <c r="B100" s="139">
        <f>IF(A100=0,0,((A100*50)/$B$57))</f>
        <v>0</v>
      </c>
      <c r="C100" s="379" t="str">
        <f>Q3</f>
        <v>ESPECIAL
50</v>
      </c>
      <c r="D100" s="462">
        <v>0</v>
      </c>
      <c r="E100" s="186">
        <v>0</v>
      </c>
      <c r="F100" s="186">
        <v>1</v>
      </c>
      <c r="G100" s="505">
        <v>0</v>
      </c>
      <c r="X100" s="213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8" customHeight="1" ht="45">
      <c r="A101" s="139">
        <f>R38/50</f>
        <v>7296.96000000000004</v>
      </c>
      <c r="B101" s="139">
        <f>IF(A101=0,0,((A101*50)/$B$57))</f>
        <v>471872.82884795131395</v>
      </c>
      <c r="C101" s="449" t="str">
        <f>R3</f>
        <v>Harina de alta proteina x 1
G</v>
      </c>
      <c r="D101" s="462">
        <v>0.85</v>
      </c>
      <c r="E101" s="186">
        <v>0</v>
      </c>
      <c r="F101" s="186">
        <v>0</v>
      </c>
      <c r="G101" s="505">
        <v>0.15</v>
      </c>
      <c r="X101" s="213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8" customHeight="1" ht="45">
      <c r="A102" s="139">
        <f>R39/50</f>
        <v>9218.68000000000029</v>
      </c>
      <c r="B102" s="139">
        <f>IF(A102=0,0,((A102*50)/$B$57))</f>
        <v>596144.77944843214937</v>
      </c>
      <c r="C102" s="449" t="str">
        <f>R3</f>
        <v>Harina de alta proteina x 1
G</v>
      </c>
      <c r="D102" s="381">
        <v>0.75</v>
      </c>
      <c r="E102" s="230">
        <v>0</v>
      </c>
      <c r="F102" s="230">
        <v>0</v>
      </c>
      <c r="G102" s="505">
        <v>0.25</v>
      </c>
      <c r="X102" s="213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8" customHeight="1" ht="34.5">
      <c r="A103" s="139">
        <f>S38/50</f>
        <v>2492.48000000000002</v>
      </c>
      <c r="B103" s="139">
        <f>IF(A103=0,0,((A103*50)/$B$57))</f>
        <v>161181.31227894104086</v>
      </c>
      <c r="C103" s="449" t="str">
        <f>S3</f>
        <v>Harina de baja proteina x 1</v>
      </c>
      <c r="D103" s="381"/>
      <c r="E103" s="230"/>
      <c r="F103" s="230">
        <v>1</v>
      </c>
      <c r="G103" s="505"/>
      <c r="X103" s="213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8" customHeight="1" ht="24">
      <c r="A104" s="139">
        <f>T38/50</f>
        <v>895.20000000000005</v>
      </c>
      <c r="B104" s="139">
        <f>IF(A104=0,0,((A104*50)/$B$57))</f>
        <v>57889.93723203717673</v>
      </c>
      <c r="C104" s="449" t="str">
        <f>T3</f>
        <v>ARTESANAL X 1
G</v>
      </c>
      <c r="D104" s="462">
        <v>0.53</v>
      </c>
      <c r="E104" s="186">
        <v>0</v>
      </c>
      <c r="F104" s="186">
        <v>0.22</v>
      </c>
      <c r="G104" s="505">
        <v>0.25</v>
      </c>
      <c r="X104" s="213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8" customHeight="1" ht="16.35">
      <c r="A105" s="139">
        <f>U36/2</f>
        <v>237.5</v>
      </c>
      <c r="B105" s="139">
        <f>IF(A105=0,0,((A105*50)/$B$57))</f>
        <v>15358.42280228868367</v>
      </c>
      <c r="C105" s="379" t="str">
        <f>U3</f>
        <v>H. espcial x 25
</v>
      </c>
      <c r="D105" s="378"/>
      <c r="E105" s="251">
        <v>0</v>
      </c>
      <c r="F105" s="509">
        <v>1</v>
      </c>
      <c r="G105" s="510"/>
      <c r="X105" s="213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8" customHeight="1" ht="16.35">
      <c r="A106" s="139"/>
      <c r="B106" s="139">
        <f>IF(A106=0,0,((A106*50)/$B$57))</f>
        <v>0</v>
      </c>
      <c r="C106" s="216"/>
      <c r="D106" s="4"/>
      <c r="E106" s="4"/>
      <c r="F106" s="4"/>
      <c r="G106" s="464"/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8" customHeight="1" ht="16.35">
      <c r="A107" s="139">
        <f>AA46/2</f>
        <v>67.5</v>
      </c>
      <c r="B107" s="139">
        <f>IF(A107=0,0,((A107*51.6)))</f>
        <v>3483</v>
      </c>
      <c r="C107" s="217" t="str">
        <f>A46</f>
        <v>Grano entero</v>
      </c>
      <c r="D107" s="182">
        <v>0.7</v>
      </c>
      <c r="E107" s="182">
        <v>0</v>
      </c>
      <c r="F107" s="512">
        <v>0</v>
      </c>
      <c r="G107" s="511">
        <v>0.3</v>
      </c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8" customHeight="1" ht="16.35">
      <c r="A108" s="139">
        <f>Z47/2</f>
        <v>0</v>
      </c>
      <c r="B108" s="139">
        <f>IF(A108=0,0,((A108*50)/$B$57))</f>
        <v>0</v>
      </c>
      <c r="C108" s="379" t="str">
        <f>A47</f>
        <v>Bio Convercion </v>
      </c>
      <c r="D108" s="462"/>
      <c r="E108" s="366"/>
      <c r="F108" s="186"/>
      <c r="G108" s="505"/>
      <c r="X108" s="213"/>
      <c r="Y108" s="386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8" customHeight="1" ht="16.35">
      <c r="A109" s="139">
        <f>AA48/2</f>
        <v>4045</v>
      </c>
      <c r="B109" s="139">
        <f>IF(A109=0,0,((A109*50)))</f>
        <v>202250</v>
      </c>
      <c r="C109" s="380" t="str">
        <f>A49</f>
        <v>Trigo entero </v>
      </c>
      <c r="D109" s="470">
        <v>1</v>
      </c>
      <c r="E109" s="230"/>
      <c r="F109" s="366"/>
      <c r="G109" s="513"/>
      <c r="X109" s="213"/>
      <c r="Y109" s="4"/>
      <c r="Z109" s="4"/>
      <c r="AB109" s="384"/>
      <c r="AC109" s="385"/>
      <c r="AD109" s="4"/>
      <c r="AE109" s="213"/>
      <c r="AH109" s="147"/>
      <c r="AI109" s="147"/>
      <c r="AJ109" s="147"/>
    </row>
    <row r="110" spans="1:58" customHeight="1" ht="16.35">
      <c r="A110" s="139">
        <f>AA49/2</f>
        <v>600</v>
      </c>
      <c r="B110" s="139">
        <f>IF(A110=0,0,((A110*50.55)))</f>
        <v>30330</v>
      </c>
      <c r="C110" s="380" t="str">
        <f>C109</f>
        <v>Trigo entero </v>
      </c>
      <c r="D110" s="378">
        <v>0</v>
      </c>
      <c r="E110" s="192">
        <v>0</v>
      </c>
      <c r="F110" s="192">
        <v>0.33</v>
      </c>
      <c r="G110" s="514">
        <v>0.67</v>
      </c>
      <c r="X110" s="213"/>
      <c r="Y110" s="4"/>
      <c r="Z110" s="4"/>
      <c r="AB110" s="4"/>
      <c r="AE110" s="213"/>
      <c r="AH110" s="147"/>
      <c r="AI110" s="147"/>
      <c r="AJ110" s="147"/>
    </row>
    <row r="111" spans="1:58" customHeight="1" ht="13.5">
      <c r="B111" s="139">
        <f>SUM(B86:B110)</f>
        <v>2532914.8067470556125</v>
      </c>
      <c r="X111" s="213"/>
      <c r="Y111" s="213"/>
      <c r="Z111" s="4"/>
      <c r="AA111" s="4"/>
      <c r="AC111" s="4"/>
      <c r="AH111" s="147"/>
      <c r="AI111" s="147"/>
      <c r="AJ111" s="147"/>
      <c r="AO111" s="147"/>
      <c r="AP111" s="147"/>
    </row>
    <row r="112" spans="1:58" customHeight="1" ht="12.75">
      <c r="X112" s="213"/>
      <c r="Z112" s="4"/>
      <c r="AA112" s="4"/>
      <c r="AC112" s="4"/>
      <c r="AF112" s="213"/>
      <c r="AG112" s="6"/>
      <c r="AH112" s="6"/>
      <c r="AI112" s="6"/>
      <c r="AJ112" s="6"/>
      <c r="AK112" s="6"/>
      <c r="AL112" s="6"/>
      <c r="AM112" s="6"/>
      <c r="AP112" s="147"/>
      <c r="AQ112" s="147"/>
      <c r="AV112" s="147"/>
      <c r="AW112" s="147"/>
    </row>
    <row r="113" spans="1:58">
      <c r="X113" s="213"/>
      <c r="AA113" s="4"/>
      <c r="AC113" s="4"/>
      <c r="AF113" s="473"/>
      <c r="AG113" s="6"/>
      <c r="AH113" s="6"/>
      <c r="AI113" s="6"/>
      <c r="AJ113" s="6"/>
      <c r="AK113" s="6"/>
      <c r="AL113" s="6"/>
      <c r="AM113" s="6"/>
      <c r="AP113" s="147"/>
      <c r="AQ113" s="147"/>
      <c r="AV113" s="147"/>
      <c r="AW113" s="147"/>
    </row>
    <row r="114" spans="1:58">
      <c r="X114" s="213"/>
      <c r="Z114" s="6"/>
      <c r="AA114" s="6"/>
      <c r="AB114" s="6"/>
      <c r="AC114" s="6"/>
      <c r="AD114" s="6"/>
      <c r="AE114" s="6"/>
      <c r="AF114" s="213"/>
      <c r="AG114" s="213"/>
      <c r="AH114" s="6"/>
      <c r="AI114" s="6"/>
      <c r="AJ114" s="6"/>
      <c r="AK114" s="6"/>
      <c r="AL114" s="6"/>
      <c r="AM114" s="6"/>
      <c r="AN114" s="6"/>
      <c r="AQ114" s="147"/>
      <c r="AR114" s="147"/>
      <c r="AW114" s="147"/>
      <c r="AX114" s="147"/>
    </row>
    <row r="115" spans="1:58">
      <c r="X115" s="213"/>
      <c r="Z115" s="6"/>
      <c r="AA115" s="6"/>
      <c r="AB115" s="6"/>
      <c r="AC115" s="6"/>
      <c r="AD115" s="6"/>
      <c r="AE115" s="6"/>
      <c r="AF115" s="213"/>
      <c r="AG115" s="213"/>
      <c r="AH115" s="6"/>
      <c r="AI115" s="6"/>
      <c r="AJ115" s="6"/>
      <c r="AK115" s="6"/>
      <c r="AL115" s="6"/>
      <c r="AM115" s="6"/>
      <c r="AN115" s="6"/>
      <c r="AQ115" s="147"/>
      <c r="AR115" s="147"/>
      <c r="AW115" s="147"/>
      <c r="AX115" s="147"/>
    </row>
    <row r="116" spans="1:58">
      <c r="N116" s="4"/>
      <c r="X116" s="213"/>
      <c r="AD116" s="6"/>
      <c r="AE116" s="6"/>
      <c r="AF116" s="213"/>
      <c r="AG116" s="213"/>
      <c r="AH116" s="6"/>
      <c r="AI116" s="6"/>
      <c r="AJ116" s="6"/>
      <c r="AK116" s="6"/>
      <c r="AL116" s="6"/>
      <c r="AM116" s="6"/>
      <c r="AN116" s="6"/>
      <c r="AQ116" s="147"/>
      <c r="AR116" s="147"/>
      <c r="AW116" s="147"/>
      <c r="AX116" s="147"/>
    </row>
    <row r="117" spans="1:58">
      <c r="N117" s="4"/>
      <c r="X117" s="4"/>
      <c r="AH117" s="147"/>
      <c r="AI117" s="147"/>
      <c r="AJ117" s="147"/>
      <c r="AO117" s="147"/>
      <c r="AP117" s="147"/>
    </row>
    <row r="118" spans="1:58">
      <c r="N118" s="4"/>
      <c r="X118" s="4"/>
      <c r="AH118" s="147"/>
      <c r="AI118" s="147"/>
      <c r="AJ118" s="147"/>
      <c r="AO118" s="147"/>
      <c r="AP118" s="147"/>
    </row>
    <row r="119" spans="1:58">
      <c r="N119" s="4"/>
      <c r="AH119" s="147"/>
      <c r="AI119" s="147"/>
      <c r="AJ119" s="147"/>
      <c r="AO119" s="147"/>
      <c r="AP119" s="147"/>
    </row>
    <row r="120" spans="1:58">
      <c r="N120" s="4"/>
    </row>
    <row r="121" spans="1:58">
      <c r="N121" s="4"/>
    </row>
    <row r="122" spans="1:58">
      <c r="N122" s="4"/>
    </row>
    <row r="123" spans="1:58">
      <c r="N123" s="4"/>
      <c r="W123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61"/>
    <protectedRange name="Repaso y reproceso_2" sqref="V46:W49"/>
    <protectedRange name="Produccion Harinas_2" sqref="C46:U49"/>
    <protectedRange name="Produccion otros productos_2" sqref="X46:AC49"/>
    <protectedRange name="Datos basculas_2" sqref="AW46:BB49"/>
    <protectedRange name="Horas_2" sqref="AN46:AP49"/>
    <protectedRange name="Fecha_2" sqref="B46:B49"/>
    <protectedRange name="Produccion Harinas" sqref="T5:U8 D5:R8 C9:U35"/>
    <protectedRange name="Datos energia" sqref="H538 G59:H60"/>
    <protectedRange name="Formulas trigo" sqref="D95:F95 D106:F110 H86:J88 H92:J110"/>
    <protectedRange name="Produccion otros productos" sqref="X5:Z8 Z4 AB16:AC18 X14:AA18 AB14:AC14 X9:X13 Y9:AC10 Y12:AC13 Y11:Z11 AC15 X19:AC35"/>
    <protectedRange name="Formulas vitamina" sqref="Z76:AB76"/>
    <protectedRange name="Datos basculas" sqref="AW4:BB35"/>
    <protectedRange name="Horas" sqref="AN4:AP35"/>
    <protectedRange name="Datos Nomina" sqref="O60:Q60"/>
    <protectedRange name="Fecha" sqref="B24:B35"/>
    <protectedRange name="Trigos" sqref="D84:E84 H84:M84"/>
    <protectedRange name="Datos basculas_4_2_1_2" sqref="BD4:BE5 BC4:BC7"/>
    <protectedRange name="Datos energia_2" sqref="G58:H58"/>
    <protectedRange name="Repaso y reproceso_3" sqref="V4:W4"/>
    <protectedRange name="Produccion Harinas_4" sqref="D4:Q4"/>
    <protectedRange name="Produccion otros productos_3" sqref="X4:Y4"/>
    <protectedRange name="Produccion Harinas_3_1" sqref="R4 T4:U4"/>
    <protectedRange name="Formulas trigo_1" sqref="G106:G110 G86:G95 G104"/>
    <protectedRange name="Produccion Harinas_3" sqref="C4:C8"/>
    <protectedRange name="Produccion Harinas_6" sqref="S4:S8"/>
    <protectedRange name="Produccion otros productos_4" sqref="AA4:AC8"/>
    <protectedRange name="Datos energia_1" sqref="G57:H57"/>
    <protectedRange name="Fecha_1" sqref="B4:B23"/>
    <protectedRange name="Formulas trigo_2" sqref="D92:F94 F86:F91 D104:F104"/>
    <protectedRange name="Formulas trigo_1_3_1" sqref="D86:D91"/>
    <protectedRange name="Formulas trigo_4" sqref="D105:F105 D100:F103"/>
    <protectedRange name="Formulas trigo_1_1" sqref="G96:G99 G105 G103"/>
    <protectedRange name="Formulas trigo_1_2_2_1_1" sqref="G100"/>
    <protectedRange name="Formulas trigo_1_2_4_1_1" sqref="G101:G102"/>
    <protectedRange name="Formulas trigo_2_1" sqref="D98:F99"/>
    <protectedRange name="Formulas trigo_4_1" sqref="D96:F97"/>
  </protectedRanges>
  <mergeCells>
    <mergeCell ref="B1:W1"/>
    <mergeCell ref="AH1:AM1"/>
    <mergeCell ref="AN1:AX1"/>
    <mergeCell ref="B2:Q2"/>
    <mergeCell ref="R2:T2"/>
    <mergeCell ref="V2:W2"/>
    <mergeCell ref="X2:Z2"/>
    <mergeCell ref="AA2:AC2"/>
    <mergeCell ref="AF2:AM2"/>
    <mergeCell ref="AN2:AP2"/>
    <mergeCell ref="AE52:AF52"/>
    <mergeCell ref="AQ2:AU2"/>
    <mergeCell ref="AW2:BF2"/>
    <mergeCell ref="AW4:AW33"/>
    <mergeCell ref="AX4:AX33"/>
    <mergeCell ref="AY4:AY33"/>
    <mergeCell ref="AZ4:AZ33"/>
    <mergeCell ref="BA4:BA33"/>
    <mergeCell ref="BB4:BB33"/>
    <mergeCell ref="BC4:BC33"/>
    <mergeCell ref="BD4:BD33"/>
    <mergeCell ref="BE4:BE33"/>
    <mergeCell ref="BF4:BF33"/>
    <mergeCell ref="AD38:AE38"/>
    <mergeCell ref="AE39:AF39"/>
    <mergeCell ref="AD51:AE51"/>
    <mergeCell ref="R53:U53"/>
    <mergeCell ref="F54:G54"/>
    <mergeCell ref="K54:L54"/>
    <mergeCell ref="O54:P54"/>
    <mergeCell ref="S54:T54"/>
    <mergeCell ref="A53:B53"/>
    <mergeCell ref="C53:C54"/>
    <mergeCell ref="F53:H53"/>
    <mergeCell ref="K53:M53"/>
    <mergeCell ref="O53:Q53"/>
    <mergeCell ref="V54:W54"/>
    <mergeCell ref="F55:G55"/>
    <mergeCell ref="K55:L55"/>
    <mergeCell ref="O55:P55"/>
    <mergeCell ref="S55:T55"/>
    <mergeCell ref="V55:W55"/>
    <mergeCell ref="G57:H57"/>
    <mergeCell ref="K57:L57"/>
    <mergeCell ref="O57:P57"/>
    <mergeCell ref="S57:T57"/>
    <mergeCell ref="V57:W57"/>
    <mergeCell ref="F56:G56"/>
    <mergeCell ref="K56:L56"/>
    <mergeCell ref="O56:P56"/>
    <mergeCell ref="S56:T56"/>
    <mergeCell ref="V56:W56"/>
    <mergeCell ref="G59:H59"/>
    <mergeCell ref="K59:L59"/>
    <mergeCell ref="O59:P59"/>
    <mergeCell ref="S59:T59"/>
    <mergeCell ref="V59:W59"/>
    <mergeCell ref="G58:I58"/>
    <mergeCell ref="K58:L58"/>
    <mergeCell ref="O58:P58"/>
    <mergeCell ref="S58:T58"/>
    <mergeCell ref="V58:W58"/>
    <mergeCell ref="F69:H69"/>
    <mergeCell ref="U69:V69"/>
    <mergeCell ref="G60:H60"/>
    <mergeCell ref="F61:G61"/>
    <mergeCell ref="K61:O61"/>
    <mergeCell ref="G64:H64"/>
    <mergeCell ref="T64:V64"/>
    <mergeCell ref="U65:V65"/>
    <mergeCell ref="F66:H66"/>
    <mergeCell ref="K66:O66"/>
    <mergeCell ref="U66:V66"/>
    <mergeCell ref="F67:G67"/>
    <mergeCell ref="T68:V68"/>
    <mergeCell ref="F74:G74"/>
    <mergeCell ref="V75:V76"/>
    <mergeCell ref="F70:G70"/>
    <mergeCell ref="U70:V70"/>
    <mergeCell ref="U71:V71"/>
    <mergeCell ref="G72:H72"/>
    <mergeCell ref="U72:V72"/>
    <mergeCell ref="G73:H73"/>
    <mergeCell ref="M73:O73"/>
  </mergeCells>
  <conditionalFormatting sqref="I59">
    <cfRule type="cellIs" dxfId="0" priority="4" operator="lessThan" stopIfTrue="1">
      <formula>0.935</formula>
    </cfRule>
  </conditionalFormatting>
  <conditionalFormatting sqref="AF3 AE80:AE91 Z92:AC108">
    <cfRule type="cellIs" dxfId="1" priority="3" operator="lessThan" stopIfTrue="1">
      <formula>0.76</formula>
    </cfRule>
  </conditionalFormatting>
  <conditionalFormatting sqref="AF4:AF35">
    <cfRule type="cellIs" dxfId="2" priority="5" operator="lessThan" stopIfTrue="1">
      <formula>0.765</formula>
    </cfRule>
  </conditionalFormatting>
  <conditionalFormatting sqref="AF36 AE77:AE78 AG112:AI113 AK112:AK113 Z114:AC115 AH114:AI116 AK114:AL116">
    <cfRule type="cellIs" dxfId="1" priority="6" operator="lessThan" stopIfTrue="1">
      <formula>0.76</formula>
    </cfRule>
  </conditionalFormatting>
  <conditionalFormatting sqref="AF46:AF49">
    <cfRule type="cellIs" dxfId="2" priority="1" operator="lessThan" stopIfTrue="1">
      <formula>0.765</formula>
    </cfRule>
  </conditionalFormatting>
  <conditionalFormatting sqref="AH1:AI1 AJ112:AJ116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30"/>
  <sheetViews>
    <sheetView tabSelected="1" workbookViewId="0" zoomScale="85" showGridLines="true" showRowColHeaders="1">
      <pane xSplit="2" ySplit="3" activePane="bottomRight" state="frozen" topLeftCell="C120"/>
      <selection pane="bottomRight" activeCell="U72" sqref="U72"/>
    </sheetView>
  </sheetViews>
  <sheetFormatPr defaultRowHeight="14.4" defaultColWidth="14.42578125" outlineLevelRow="0" outlineLevelCol="0"/>
  <cols>
    <col min="1" max="1" width="18.7109375" customWidth="true" style="1"/>
    <col min="2" max="2" width="16.7109375" customWidth="true" style="1"/>
    <col min="3" max="3" width="16.7109375" customWidth="true" style="1"/>
    <col min="4" max="4" width="11.8554687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6.28515625" customWidth="true" style="1"/>
    <col min="10" max="10" width="12.28515625" customWidth="true" style="1"/>
    <col min="11" max="11" width="11.42578125" customWidth="true" style="1"/>
    <col min="12" max="12" width="10.7109375" customWidth="true" style="1"/>
    <col min="13" max="13" width="8.28515625" customWidth="true" style="1"/>
    <col min="14" max="14" width="12.28515625" customWidth="true" style="1"/>
    <col min="15" max="15" width="12" customWidth="true" style="1"/>
    <col min="16" max="16" width="12" customWidth="true" style="1"/>
    <col min="17" max="17" width="10.28515625" customWidth="true" style="1"/>
    <col min="18" max="18" width="13.42578125" customWidth="true" style="1"/>
    <col min="19" max="19" width="10.5703125" customWidth="true" style="1"/>
    <col min="20" max="20" width="12.28515625" customWidth="true" style="1"/>
    <col min="21" max="21" width="11.42578125" customWidth="true" style="1"/>
    <col min="22" max="22" width="8.28515625" customWidth="true" style="1"/>
    <col min="23" max="23" width="10.28515625" customWidth="true" style="1"/>
    <col min="24" max="24" width="23.7109375" customWidth="true" style="1"/>
    <col min="25" max="25" width="9.42578125" customWidth="true" style="1"/>
    <col min="26" max="26" width="7.5703125" customWidth="true" style="1"/>
    <col min="27" max="27" width="9.5703125" customWidth="true" style="1"/>
    <col min="28" max="28" width="9.5703125" customWidth="true" style="1"/>
    <col min="29" max="29" width="11.7109375" customWidth="true" style="1"/>
    <col min="30" max="30" width="12.7109375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0.5703125" customWidth="true" style="1"/>
    <col min="51" max="51" width="11.42578125" customWidth="true" style="1"/>
    <col min="52" max="52" width="8.28515625" customWidth="true" style="1"/>
    <col min="53" max="53" width="12" customWidth="true" style="1"/>
    <col min="54" max="54" width="12" customWidth="true" style="1"/>
    <col min="55" max="55" width="12" customWidth="true" style="1"/>
    <col min="56" max="56" width="14.42578125" style="1"/>
  </cols>
  <sheetData>
    <row r="1" spans="1:58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8" customHeight="1" ht="18.75">
      <c r="B2" s="701" t="s">
        <v>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2"/>
      <c r="Q2" s="703"/>
      <c r="R2" s="704" t="s">
        <v>4</v>
      </c>
      <c r="S2" s="705"/>
      <c r="T2" s="706"/>
      <c r="U2" s="416" t="s">
        <v>5</v>
      </c>
      <c r="V2" s="704" t="s">
        <v>6</v>
      </c>
      <c r="W2" s="707"/>
      <c r="X2" s="708" t="s">
        <v>7</v>
      </c>
      <c r="Y2" s="708"/>
      <c r="Z2" s="708"/>
      <c r="AA2" s="709" t="s">
        <v>8</v>
      </c>
      <c r="AB2" s="709"/>
      <c r="AC2" s="709"/>
      <c r="AD2" s="6"/>
      <c r="AE2" s="6"/>
      <c r="AF2" s="710" t="s">
        <v>9</v>
      </c>
      <c r="AG2" s="710"/>
      <c r="AH2" s="710"/>
      <c r="AI2" s="710"/>
      <c r="AJ2" s="710"/>
      <c r="AK2" s="710"/>
      <c r="AL2" s="710"/>
      <c r="AM2" s="710"/>
      <c r="AN2" s="711" t="s">
        <v>10</v>
      </c>
      <c r="AO2" s="711"/>
      <c r="AP2" s="711"/>
      <c r="AQ2" s="712" t="s">
        <v>11</v>
      </c>
      <c r="AR2" s="712"/>
      <c r="AS2" s="712"/>
      <c r="AT2" s="712"/>
      <c r="AU2" s="712"/>
      <c r="AV2" s="471" t="s">
        <v>12</v>
      </c>
      <c r="AW2" s="712" t="s">
        <v>13</v>
      </c>
      <c r="AX2" s="712"/>
      <c r="AY2" s="712"/>
      <c r="AZ2" s="712"/>
      <c r="BA2" s="712"/>
      <c r="BB2" s="712"/>
      <c r="BC2" s="712"/>
      <c r="BD2" s="712"/>
      <c r="BE2" s="712"/>
      <c r="BF2" s="712"/>
    </row>
    <row r="3" spans="1:58" customHeight="1" ht="57" s="40" customFormat="1">
      <c r="A3" s="8" t="s">
        <v>14</v>
      </c>
      <c r="B3" s="607" t="s">
        <v>15</v>
      </c>
      <c r="C3" s="609" t="s">
        <v>16</v>
      </c>
      <c r="D3" s="610" t="s">
        <v>17</v>
      </c>
      <c r="E3" s="611" t="s">
        <v>18</v>
      </c>
      <c r="F3" s="612" t="s">
        <v>19</v>
      </c>
      <c r="G3" s="613" t="s">
        <v>20</v>
      </c>
      <c r="H3" s="614" t="s">
        <v>21</v>
      </c>
      <c r="I3" s="615" t="s">
        <v>22</v>
      </c>
      <c r="J3" s="615" t="s">
        <v>23</v>
      </c>
      <c r="K3" s="608" t="s">
        <v>24</v>
      </c>
      <c r="L3" s="554" t="s">
        <v>25</v>
      </c>
      <c r="M3" s="555" t="s">
        <v>26</v>
      </c>
      <c r="N3" s="553" t="s">
        <v>27</v>
      </c>
      <c r="O3" s="553" t="s">
        <v>28</v>
      </c>
      <c r="P3" s="556" t="s">
        <v>167</v>
      </c>
      <c r="Q3" s="557" t="s">
        <v>30</v>
      </c>
      <c r="R3" s="409" t="s">
        <v>31</v>
      </c>
      <c r="S3" s="284" t="s">
        <v>32</v>
      </c>
      <c r="T3" s="559" t="s">
        <v>33</v>
      </c>
      <c r="U3" s="558" t="s">
        <v>34</v>
      </c>
      <c r="V3" s="405" t="s">
        <v>35</v>
      </c>
      <c r="W3" s="562" t="s">
        <v>36</v>
      </c>
      <c r="X3" s="560" t="s">
        <v>37</v>
      </c>
      <c r="Y3" s="561" t="s">
        <v>38</v>
      </c>
      <c r="Z3" s="565" t="s">
        <v>39</v>
      </c>
      <c r="AA3" s="563" t="s">
        <v>40</v>
      </c>
      <c r="AB3" s="334" t="s">
        <v>41</v>
      </c>
      <c r="AC3" s="564" t="s">
        <v>42</v>
      </c>
      <c r="AD3" s="27" t="s">
        <v>43</v>
      </c>
      <c r="AE3" s="27" t="s">
        <v>44</v>
      </c>
      <c r="AF3" s="335" t="s">
        <v>45</v>
      </c>
      <c r="AG3" s="336" t="s">
        <v>46</v>
      </c>
      <c r="AH3" s="337" t="str">
        <f>X3</f>
        <v>Germen 
25</v>
      </c>
      <c r="AI3" s="338" t="s">
        <v>47</v>
      </c>
      <c r="AJ3" s="337" t="str">
        <f>AA3</f>
        <v>Salvado 
25</v>
      </c>
      <c r="AK3" s="339" t="str">
        <f>AB3</f>
        <v>Mogolla 
40</v>
      </c>
      <c r="AL3" s="339" t="str">
        <f>AC3</f>
        <v>Segunda  
50</v>
      </c>
      <c r="AM3" s="340" t="str">
        <f>B3</f>
        <v>Fecha</v>
      </c>
      <c r="AN3" s="341" t="s">
        <v>48</v>
      </c>
      <c r="AO3" s="342" t="s">
        <v>49</v>
      </c>
      <c r="AP3" s="342" t="s">
        <v>50</v>
      </c>
      <c r="AQ3" s="343" t="s">
        <v>51</v>
      </c>
      <c r="AR3" s="344" t="s">
        <v>52</v>
      </c>
      <c r="AS3" s="344" t="s">
        <v>53</v>
      </c>
      <c r="AT3" s="344" t="s">
        <v>54</v>
      </c>
      <c r="AU3" s="344" t="s">
        <v>55</v>
      </c>
      <c r="AV3" s="343" t="s">
        <v>56</v>
      </c>
      <c r="AW3" s="345" t="s">
        <v>57</v>
      </c>
      <c r="AX3" s="345" t="s">
        <v>58</v>
      </c>
      <c r="AY3" s="345" t="s">
        <v>59</v>
      </c>
      <c r="AZ3" s="345" t="s">
        <v>60</v>
      </c>
      <c r="BA3" s="346" t="s">
        <v>61</v>
      </c>
      <c r="BB3" s="346" t="s">
        <v>62</v>
      </c>
      <c r="BC3" s="347" t="s">
        <v>63</v>
      </c>
      <c r="BD3" s="345" t="s">
        <v>64</v>
      </c>
      <c r="BE3" s="348" t="s">
        <v>65</v>
      </c>
      <c r="BF3" s="349" t="s">
        <v>66</v>
      </c>
    </row>
    <row r="4" spans="1:58" customHeight="1" ht="14.45">
      <c r="A4" s="485">
        <f>IF(B4="","",1)</f>
        <v>1</v>
      </c>
      <c r="B4" s="42">
        <v>46083</v>
      </c>
      <c r="C4" s="603">
        <v>1040.0</v>
      </c>
      <c r="D4" s="604">
        <v>0</v>
      </c>
      <c r="E4" s="605">
        <v>100.0</v>
      </c>
      <c r="F4" s="604"/>
      <c r="G4" s="605"/>
      <c r="H4" s="604"/>
      <c r="I4" s="606">
        <v>1729.0</v>
      </c>
      <c r="J4" s="606"/>
      <c r="K4" s="44"/>
      <c r="L4" s="493"/>
      <c r="M4" s="493"/>
      <c r="N4" s="244"/>
      <c r="O4" s="244"/>
      <c r="P4" s="465"/>
      <c r="Q4" s="529"/>
      <c r="R4" s="497">
        <v>52065.0</v>
      </c>
      <c r="S4" s="275"/>
      <c r="T4" s="241"/>
      <c r="U4" s="450"/>
      <c r="V4" s="406"/>
      <c r="W4" s="241"/>
      <c r="X4" s="451"/>
      <c r="Y4" s="52">
        <v>10.0</v>
      </c>
      <c r="Z4" s="530"/>
      <c r="AA4" s="280">
        <v>123.0</v>
      </c>
      <c r="AB4" s="53">
        <v>406.0</v>
      </c>
      <c r="AC4" s="54">
        <v>57.0</v>
      </c>
      <c r="AD4" s="592">
        <f>IF(B4="","",(((C4+F4+H4+K4+Q4+N4+O4)*50))+((E4*10))+(((I4+J4+D4+G4+L4+M4+U4)*25)+(X4*25)+(Y4*25)+(Z4*25)+(AA4*25)+(AB4*40)+(AC4*50)+(R4*1)+(S4*1)+(T4*1)))</f>
        <v>170705</v>
      </c>
      <c r="AE4" s="55">
        <f>IF(B4="","",C4+F4+H4+K4+Q4+N4+O4+((I4+J4+D4+G4)/2)+(R4/50)+(S4/50)+(T4/50)+(U4/2)+(E4/5))</f>
        <v>2965.80000000000018</v>
      </c>
      <c r="AF4" s="56">
        <f>IF(B4="","",((AE4*50)/AD4))</f>
        <v>0.8686916024721</v>
      </c>
      <c r="AG4" s="57">
        <f>IF(C4="","",((Z4)*25)/AD4)</f>
        <v>0</v>
      </c>
      <c r="AH4" s="57">
        <f>IF(B4="","",(X4*25)/AD4)</f>
        <v>0</v>
      </c>
      <c r="AI4" s="57">
        <f>IF(B4="","",(Y4*25)/AD4)</f>
        <v>0.0014645148062447</v>
      </c>
      <c r="AJ4" s="57">
        <f>IF(B4="","",(AA4*25)/AD4)</f>
        <v>0.01801353211681</v>
      </c>
      <c r="AK4" s="58">
        <f>IF(B4="","",(AB4*40)/AD4)</f>
        <v>0.095134881813655</v>
      </c>
      <c r="AL4" s="58">
        <f>IF(B4="","",(AC4*50)/AD4)</f>
        <v>0.016695468791189</v>
      </c>
      <c r="AM4" s="59">
        <f>IF(B4="","",B4)</f>
        <v>46083</v>
      </c>
      <c r="AN4" s="61">
        <v>24</v>
      </c>
      <c r="AO4" s="61">
        <f>+AN4-AP4</f>
        <v>24</v>
      </c>
      <c r="AP4" s="236">
        <v>0</v>
      </c>
      <c r="AQ4" s="63">
        <f>IF(AN4="","",AN4/AO4)</f>
        <v>1</v>
      </c>
      <c r="AR4" s="64">
        <f>IF(AN4="","",(AD4/AN4)/1000)</f>
        <v>7.11270833333333</v>
      </c>
      <c r="AS4" s="64">
        <f>IF(AN4="","",AR4*24)</f>
        <v>170.70499999999998</v>
      </c>
      <c r="AT4" s="65">
        <f>IF(AN4="","",(AD4/1000)*100%/AS4)</f>
        <v>1</v>
      </c>
      <c r="AU4" s="64">
        <f>IF(AN4="","",(AE4/AN4))</f>
        <v>123.575</v>
      </c>
      <c r="AV4" s="229">
        <f>IF(AN4="","",(AD4/AO4)/1000)</f>
        <v>7.11270833333333</v>
      </c>
      <c r="AW4" s="713"/>
      <c r="AX4" s="713">
        <v>2397600</v>
      </c>
      <c r="AY4" s="713">
        <v>1869488</v>
      </c>
      <c r="AZ4" s="722">
        <v>537016</v>
      </c>
      <c r="BA4" s="713">
        <v>59372</v>
      </c>
      <c r="BB4" s="724">
        <v>372195</v>
      </c>
      <c r="BC4" s="726">
        <v>1400504</v>
      </c>
      <c r="BD4" s="726">
        <v>30058</v>
      </c>
      <c r="BE4" s="726">
        <v>409380</v>
      </c>
      <c r="BF4" s="728">
        <v>811544</v>
      </c>
    </row>
    <row r="5" spans="1:58" customHeight="1" ht="13.9">
      <c r="A5" s="485">
        <f>IF(B5="","",2)</f>
        <v>2</v>
      </c>
      <c r="B5" s="68">
        <v>46084</v>
      </c>
      <c r="C5" s="73">
        <v>1040.0</v>
      </c>
      <c r="D5" s="70">
        <v>999</v>
      </c>
      <c r="E5" s="76"/>
      <c r="F5" s="70"/>
      <c r="G5" s="76"/>
      <c r="H5" s="70"/>
      <c r="I5" s="75">
        <v>301.0</v>
      </c>
      <c r="J5" s="75"/>
      <c r="K5" s="70"/>
      <c r="L5" s="494"/>
      <c r="M5" s="494"/>
      <c r="N5" s="76"/>
      <c r="O5" s="248"/>
      <c r="P5" s="466"/>
      <c r="Q5" s="412"/>
      <c r="R5" s="410">
        <v>2288.0</v>
      </c>
      <c r="S5" s="277"/>
      <c r="T5" s="401"/>
      <c r="U5" s="407"/>
      <c r="V5" s="249"/>
      <c r="W5" s="401"/>
      <c r="X5" s="278"/>
      <c r="Y5" s="78">
        <v>12.0</v>
      </c>
      <c r="Z5" s="403"/>
      <c r="AA5" s="281">
        <v>49.0</v>
      </c>
      <c r="AB5" s="79">
        <v>245.0</v>
      </c>
      <c r="AC5" s="80">
        <v>50.0</v>
      </c>
      <c r="AD5" s="592">
        <f>IF(B5="","",(((C5+F5+H5+K5+Q5+N5+O5)*50))+((E5*10))+(((I5+J5+D5+G5+L5+M5+U5)*25)+(X5*25)+(Y5*25)+(Z5*25)+(AA5*25)+(AB5*40)+(AC5*50)+(R5*1)+(S5*1)+(T5*1)))</f>
        <v>100613</v>
      </c>
      <c r="AE5" s="55">
        <f>IF(B5="","",C5+F5+H5+K5+Q5+N5+O5+((I5+J5+D5+G5+U5)/2)+(R5/50)+(S5/50)+(T5/50)+(E5/5))</f>
        <v>1735.75999999999999</v>
      </c>
      <c r="AF5" s="56">
        <f>IF(B5="","",((AE5*50)/AD5))</f>
        <v>0.86259230914494</v>
      </c>
      <c r="AG5" s="57">
        <f>IF(C5="","",((Z5)*25)/AD5)</f>
        <v>0</v>
      </c>
      <c r="AH5" s="57">
        <f>IF(B5="","",(X5*25)/AD5)</f>
        <v>0</v>
      </c>
      <c r="AI5" s="57">
        <f>IF(B5="","",(Y5*25)/AD5)</f>
        <v>0.0029817220438711</v>
      </c>
      <c r="AJ5" s="57">
        <f>IF(B5="","",(AA5*25)/AD5)</f>
        <v>0.012175365012474</v>
      </c>
      <c r="AK5" s="58">
        <f>IF(B5="","",(AB5*40)/AD5)</f>
        <v>0.097402920099788</v>
      </c>
      <c r="AL5" s="58">
        <f>IF(B5="","",(AC5*50)/AD5)</f>
        <v>0.024847683698926</v>
      </c>
      <c r="AM5" s="59">
        <f>IF(B5="","",B5)</f>
        <v>46084</v>
      </c>
      <c r="AN5" s="82">
        <v>24</v>
      </c>
      <c r="AO5" s="82">
        <f>+AN5-AP5</f>
        <v>24</v>
      </c>
      <c r="AP5" s="234">
        <v>0</v>
      </c>
      <c r="AQ5" s="63">
        <f>IF(AN5="","",AN5/AO5)</f>
        <v>1</v>
      </c>
      <c r="AR5" s="64">
        <f>IF(AN5="","",(AD5/AN5)/1000)</f>
        <v>4.19220833333333</v>
      </c>
      <c r="AS5" s="64">
        <f>IF(AN5="","",AR5*24)</f>
        <v>100.613</v>
      </c>
      <c r="AT5" s="65">
        <f>IF(AN5="","",(AD5/1000)*100%/AS5)</f>
        <v>1</v>
      </c>
      <c r="AU5" s="64">
        <f>IF(AN5="","",(AE5/AN5))</f>
        <v>72.32333333333334</v>
      </c>
      <c r="AV5" s="229">
        <f>IF(AN5="","",(AD5/AO5)/1000)</f>
        <v>4.19220833333333</v>
      </c>
      <c r="AW5" s="714"/>
      <c r="AX5" s="714"/>
      <c r="AY5" s="714"/>
      <c r="AZ5" s="723"/>
      <c r="BA5" s="714"/>
      <c r="BB5" s="725"/>
      <c r="BC5" s="727"/>
      <c r="BD5" s="727"/>
      <c r="BE5" s="727"/>
      <c r="BF5" s="729"/>
    </row>
    <row r="6" spans="1:58" customHeight="1" ht="13.9">
      <c r="A6" s="485">
        <f>IF(B6="","",3)</f>
        <v>3</v>
      </c>
      <c r="B6" s="68">
        <v>46085</v>
      </c>
      <c r="C6" s="69">
        <v>1040.0</v>
      </c>
      <c r="D6" s="70"/>
      <c r="E6" s="76"/>
      <c r="F6" s="70">
        <v>310.0</v>
      </c>
      <c r="G6" s="76">
        <v>300.0</v>
      </c>
      <c r="H6" s="70"/>
      <c r="I6" s="491"/>
      <c r="J6" s="491">
        <v>80.0</v>
      </c>
      <c r="K6" s="70"/>
      <c r="L6" s="494">
        <v>1013.0</v>
      </c>
      <c r="M6" s="494"/>
      <c r="N6" s="76"/>
      <c r="O6" s="76"/>
      <c r="P6" s="467"/>
      <c r="Q6" s="412"/>
      <c r="R6" s="410">
        <v>73763.0</v>
      </c>
      <c r="S6" s="276">
        <v>23760.0</v>
      </c>
      <c r="T6" s="401"/>
      <c r="U6" s="407"/>
      <c r="V6" s="249"/>
      <c r="W6" s="401"/>
      <c r="X6" s="278"/>
      <c r="Y6" s="78">
        <v>28.0</v>
      </c>
      <c r="Z6" s="403"/>
      <c r="AA6" s="281">
        <v>207.0</v>
      </c>
      <c r="AB6" s="79">
        <v>250.0</v>
      </c>
      <c r="AC6" s="85">
        <v>58.0</v>
      </c>
      <c r="AD6" s="592">
        <f>IF(B6="","",(((C6+F6+H6+K6+Q6+N6+O6)*50))+((E6*10))+(((I6+J6+D6+G6+L6+M6+U6)*25)+(X6*25)+(Y6*25)+(Z6*25)+(AA6*25)+(AB6*40)+(AC6*50)+(R6*1)+(S6*1)+(T6*1)))</f>
        <v>218623</v>
      </c>
      <c r="AE6" s="55">
        <f>IF(B6="","",C6+F6+H6+K6+Q6+N6+O6+((I6+J6+D6+G6+U6)/2)+(R6/50)+(S6/50)+(T6/50)+(E6/5))</f>
        <v>3490.46000000000004</v>
      </c>
      <c r="AF6" s="56">
        <f>IF(B6="","",((AE6*50)/AD6))</f>
        <v>0.79828288880859</v>
      </c>
      <c r="AG6" s="57">
        <f>IF(C6="","",((Z6)*25)/AD6)</f>
        <v>0</v>
      </c>
      <c r="AH6" s="57">
        <f>IF(B6="","",(X6*25)/AD6)</f>
        <v>0</v>
      </c>
      <c r="AI6" s="57">
        <f>IF(B6="","",(Y6*25)/AD6)</f>
        <v>0.0032018589078002</v>
      </c>
      <c r="AJ6" s="57">
        <f>IF(B6="","",(AA6*25)/AD6)</f>
        <v>0.023670885496951</v>
      </c>
      <c r="AK6" s="58">
        <f>IF(B6="","",(AB6*40)/AD6)</f>
        <v>0.045740841540003</v>
      </c>
      <c r="AL6" s="58">
        <f>IF(B6="","",(AC6*50)/AD6)</f>
        <v>0.013264844046601</v>
      </c>
      <c r="AM6" s="59">
        <f>IF(B6="","",B6)</f>
        <v>46085</v>
      </c>
      <c r="AN6" s="82">
        <v>24</v>
      </c>
      <c r="AO6" s="82">
        <f>+AN6-AP6</f>
        <v>23.83333333333333</v>
      </c>
      <c r="AP6" s="234">
        <v>0.16666666666667</v>
      </c>
      <c r="AQ6" s="63">
        <f>IF(AN6="","",AN6/AO6)</f>
        <v>1.0069930069930071</v>
      </c>
      <c r="AR6" s="64">
        <f>IF(AN6="","",(AD6/AN6)/1000)</f>
        <v>9.10929166666667</v>
      </c>
      <c r="AS6" s="64">
        <f>IF(AN6="","",AR6*24)</f>
        <v>218.62299999999999</v>
      </c>
      <c r="AT6" s="65">
        <f>IF(AN6="","",(AD6/1000)*100%/AS6)</f>
        <v>1</v>
      </c>
      <c r="AU6" s="64">
        <f>IF(AN6="","",(AE6/AN6))</f>
        <v>145.43583333333333</v>
      </c>
      <c r="AV6" s="229">
        <f>IF(AN6="","",(AD6/AO6)/1000)</f>
        <v>9.17299300699301</v>
      </c>
      <c r="AW6" s="714"/>
      <c r="AX6" s="714"/>
      <c r="AY6" s="714"/>
      <c r="AZ6" s="723"/>
      <c r="BA6" s="714"/>
      <c r="BB6" s="725"/>
      <c r="BC6" s="727"/>
      <c r="BD6" s="727"/>
      <c r="BE6" s="727"/>
      <c r="BF6" s="729"/>
    </row>
    <row r="7" spans="1:58" customHeight="1" ht="13.9">
      <c r="A7" s="485">
        <f>IF(B7="","",4)</f>
        <v>4</v>
      </c>
      <c r="B7" s="68">
        <v>46086</v>
      </c>
      <c r="C7" s="69">
        <v>1880.0</v>
      </c>
      <c r="D7" s="70">
        <v>40.0</v>
      </c>
      <c r="E7" s="76"/>
      <c r="F7" s="70"/>
      <c r="G7" s="76"/>
      <c r="H7" s="70"/>
      <c r="I7" s="491">
        <v>381.0</v>
      </c>
      <c r="J7" s="414"/>
      <c r="K7" s="70"/>
      <c r="L7" s="494"/>
      <c r="M7" s="494"/>
      <c r="N7" s="76"/>
      <c r="O7" s="76"/>
      <c r="P7" s="467"/>
      <c r="Q7" s="412"/>
      <c r="R7" s="410">
        <v>59424</v>
      </c>
      <c r="S7" s="274"/>
      <c r="T7" s="401"/>
      <c r="U7" s="407"/>
      <c r="V7" s="249"/>
      <c r="W7" s="401"/>
      <c r="X7" s="278"/>
      <c r="Y7" s="78">
        <v>33.0</v>
      </c>
      <c r="Z7" s="403"/>
      <c r="AA7" s="281">
        <v>148.0</v>
      </c>
      <c r="AB7" s="79">
        <v>265.0</v>
      </c>
      <c r="AC7" s="85">
        <v>55.0</v>
      </c>
      <c r="AD7" s="592">
        <f>IF(B7="","",(((C7+F7+H7+K7+Q7+N7+O7)*50))+((E7*10))+(((I7+J7+D7+G7+L7+M7+U7)*25)+(X7*25)+(Y7*25)+(Z7*25)+(AA7*25)+(AB7*40)+(AC7*50)+(R7*1)+(S7*1)+(T7*1)))</f>
        <v>181824</v>
      </c>
      <c r="AE7" s="55">
        <f>IF(B7="","",C7+F7+H7+K7+Q7+N7+O7+((I7+J7+D7+G7+U7)/2)+(R7/50)+(S7/50)+(T7/50)+(E7/5))</f>
        <v>3278.98000000000002</v>
      </c>
      <c r="AF7" s="56">
        <f>IF(B7="","",((AE7*50)/AD7))</f>
        <v>0.90169064589933</v>
      </c>
      <c r="AG7" s="57">
        <f>IF(C7="","",((Z7)*25)/AD7)</f>
        <v>0</v>
      </c>
      <c r="AH7" s="57">
        <f>IF(B7="","",(X7*25)/AD7)</f>
        <v>0</v>
      </c>
      <c r="AI7" s="57">
        <f>IF(B7="","",(Y7*25)/AD7)</f>
        <v>0.0045373548046463</v>
      </c>
      <c r="AJ7" s="57">
        <f>IF(B7="","",(AA7*25)/AD7)</f>
        <v>0.020349348820838</v>
      </c>
      <c r="AK7" s="58">
        <f>IF(B7="","",(AB7*40)/AD7)</f>
        <v>0.058298134459697</v>
      </c>
      <c r="AL7" s="58">
        <f>IF(B7="","",(AC7*50)/AD7)</f>
        <v>0.015124516015488</v>
      </c>
      <c r="AM7" s="59">
        <f>IF(B7="","",B7)</f>
        <v>46086</v>
      </c>
      <c r="AN7" s="82">
        <v>24</v>
      </c>
      <c r="AO7" s="82">
        <f>+AN7-AP7</f>
        <v>23.66666666666667</v>
      </c>
      <c r="AP7" s="234">
        <v>0.33333333333333</v>
      </c>
      <c r="AQ7" s="63">
        <f>IF(AN7="","",AN7/AO7)</f>
        <v>1.014084507042253</v>
      </c>
      <c r="AR7" s="64">
        <f>IF(AN7="","",(AD7/AN7)/1000)</f>
        <v>7.576</v>
      </c>
      <c r="AS7" s="64">
        <f>IF(AN7="","",AR7*24)</f>
        <v>181.82399999999998</v>
      </c>
      <c r="AT7" s="65">
        <f>IF(AN7="","",(AD7/1000)*100%/AS7)</f>
        <v>1</v>
      </c>
      <c r="AU7" s="64">
        <f>IF(AN7="","",(AE7/AN7))</f>
        <v>136.62416666666667</v>
      </c>
      <c r="AV7" s="229">
        <f>IF(AN7="","",(AD7/AO7)/1000)</f>
        <v>7.68270422535211</v>
      </c>
      <c r="AW7" s="714"/>
      <c r="AX7" s="714"/>
      <c r="AY7" s="714"/>
      <c r="AZ7" s="723"/>
      <c r="BA7" s="714"/>
      <c r="BB7" s="725"/>
      <c r="BC7" s="727"/>
      <c r="BD7" s="727"/>
      <c r="BE7" s="727"/>
      <c r="BF7" s="729"/>
    </row>
    <row r="8" spans="1:58" customHeight="1" ht="13.9">
      <c r="A8" s="485">
        <f>IF(B8="","",5)</f>
        <v>5</v>
      </c>
      <c r="B8" s="68">
        <v>46087</v>
      </c>
      <c r="C8" s="69">
        <v>1440.0</v>
      </c>
      <c r="D8" s="70"/>
      <c r="E8" s="76">
        <v>581.0</v>
      </c>
      <c r="F8" s="70">
        <f>220+40</f>
        <v>260</v>
      </c>
      <c r="G8" s="76"/>
      <c r="H8" s="70"/>
      <c r="I8" s="491">
        <v>1699.0</v>
      </c>
      <c r="J8" s="491"/>
      <c r="K8" s="70"/>
      <c r="L8" s="494"/>
      <c r="M8" s="494"/>
      <c r="N8" s="76"/>
      <c r="O8" s="76"/>
      <c r="P8" s="467"/>
      <c r="Q8" s="412"/>
      <c r="R8" s="422">
        <v>52336.0</v>
      </c>
      <c r="S8" s="274">
        <v>22496</v>
      </c>
      <c r="T8" s="401"/>
      <c r="U8" s="407"/>
      <c r="V8" s="249"/>
      <c r="W8" s="401"/>
      <c r="X8" s="278"/>
      <c r="Y8" s="78"/>
      <c r="Z8" s="403"/>
      <c r="AA8" s="281">
        <v>237.0</v>
      </c>
      <c r="AB8" s="79">
        <v>183.0</v>
      </c>
      <c r="AC8" s="85">
        <v>35.0</v>
      </c>
      <c r="AD8" s="592">
        <f>IF(B8="","",(((C8+F8+H8+K8+Q8+N8+O8)*50))+((E8*10))+(((I8+J8+D8+G8+L8+M8+U8)*25)+(X8*25)+(Y8*25)+(Z8*25)+(AA8*25)+(AB8*40)+(AC8*50)+(R8*1)+(S8*1)+(T8*1)))</f>
        <v>223112</v>
      </c>
      <c r="AE8" s="55">
        <f>IF(B8="","",C8+F8+H8+K8+Q8+N8+O8+((I8+J8+D8+G8+U8)/2)+(R8/50)+(S8/50)+(T8/50)+(E8/5))</f>
        <v>4162.34000000000015</v>
      </c>
      <c r="AF8" s="56">
        <f>IF(B8="","",((AE8*50)/AD8))</f>
        <v>0.93279160242389</v>
      </c>
      <c r="AG8" s="252">
        <f>IF(C8="","",((Z8)*25)/AD8)</f>
        <v>0</v>
      </c>
      <c r="AH8" s="57">
        <f>IF(B8="","",(X8*25)/AD8)</f>
        <v>0</v>
      </c>
      <c r="AI8" s="57">
        <f>IF(B8="","",(Y8*25)/AD8)</f>
        <v>0</v>
      </c>
      <c r="AJ8" s="57">
        <f>IF(B8="","",(AA8*25)/AD8)</f>
        <v>0.026556169098928</v>
      </c>
      <c r="AK8" s="58">
        <f>IF(B8="","",(AB8*40)/AD8)</f>
        <v>0.032808634228549</v>
      </c>
      <c r="AL8" s="58">
        <f>IF(B8="","",(AC8*50)/AD8)</f>
        <v>0.0078435942486285</v>
      </c>
      <c r="AM8" s="59">
        <f>IF(B8="","",B8)</f>
        <v>46087</v>
      </c>
      <c r="AN8" s="82">
        <v>24</v>
      </c>
      <c r="AO8" s="82">
        <f>+AN8-AP8</f>
        <v>23.83333333333333</v>
      </c>
      <c r="AP8" s="234">
        <v>0.16666666666667</v>
      </c>
      <c r="AQ8" s="63">
        <f>IF(AN8="","",AN8/AO8)</f>
        <v>1.0069930069930071</v>
      </c>
      <c r="AR8" s="64">
        <f>IF(AN8="","",(AD8/AN8)/1000)</f>
        <v>9.29633333333333</v>
      </c>
      <c r="AS8" s="64">
        <f>IF(AN8="","",AR8*24)</f>
        <v>223.11199999999999</v>
      </c>
      <c r="AT8" s="65">
        <f>IF(AN8="","",(AD8/1000)*100%/AS8)</f>
        <v>1</v>
      </c>
      <c r="AU8" s="64">
        <f>IF(AN8="","",(AE8/AN8))</f>
        <v>173.43083333333334</v>
      </c>
      <c r="AV8" s="229">
        <f>IF(AN8="","",(AD8/AO8)/1000)</f>
        <v>9.36134265734266</v>
      </c>
      <c r="AW8" s="714"/>
      <c r="AX8" s="714"/>
      <c r="AY8" s="714"/>
      <c r="AZ8" s="723"/>
      <c r="BA8" s="714"/>
      <c r="BB8" s="725"/>
      <c r="BC8" s="727"/>
      <c r="BD8" s="727"/>
      <c r="BE8" s="727"/>
      <c r="BF8" s="729"/>
    </row>
    <row r="9" spans="1:58" customHeight="1" ht="15">
      <c r="A9" s="485">
        <f>IF(B9="","",6)</f>
        <v>6</v>
      </c>
      <c r="B9" s="68">
        <v>46090</v>
      </c>
      <c r="C9" s="69">
        <v>0</v>
      </c>
      <c r="D9" s="70">
        <v>997.0</v>
      </c>
      <c r="E9" s="76"/>
      <c r="F9" s="70">
        <v>30.0</v>
      </c>
      <c r="G9" s="76"/>
      <c r="H9" s="70"/>
      <c r="I9" s="491">
        <v>846.0</v>
      </c>
      <c r="J9" s="491">
        <v>200.0</v>
      </c>
      <c r="K9" s="70">
        <v>601</v>
      </c>
      <c r="L9" s="494"/>
      <c r="M9" s="494"/>
      <c r="N9" s="76"/>
      <c r="O9" s="76"/>
      <c r="P9" s="467"/>
      <c r="Q9" s="412"/>
      <c r="R9" s="410">
        <v>78176.0</v>
      </c>
      <c r="S9" s="242"/>
      <c r="T9" s="401"/>
      <c r="U9" s="407"/>
      <c r="V9" s="249"/>
      <c r="W9" s="401"/>
      <c r="X9" s="278"/>
      <c r="Y9" s="78">
        <v>38</v>
      </c>
      <c r="Z9" s="403"/>
      <c r="AA9" s="281">
        <v>210.0</v>
      </c>
      <c r="AB9" s="79">
        <v>295.0</v>
      </c>
      <c r="AC9" s="85">
        <v>55.0</v>
      </c>
      <c r="AD9" s="620">
        <f>IF(B9="","",(((C9+F9+H9+K9+Q9+N9+O9+P9)*50))+((E9*10))+(((I9+J9+D9+G9+L9+M9+U9)*25)+(X9*25)+(Y9*25)+(Z9*25)+(AA9*25)+(AB9*40)+(AC9*50)+(R9*1)+(S9*1)+(T9*1)))</f>
        <v>181551</v>
      </c>
      <c r="AE9" s="55">
        <f>IF(B9="","",C9+F9+H9+K9+Q9+N9+O9+((I9+J9+D9+G9+U9)/2)+(R9/50)+(S9/50)+(T9/50)+(E9/5))</f>
        <v>3216.019999999999982</v>
      </c>
      <c r="AF9" s="56">
        <f>IF(B9="","",((AE9*50)/AD9))</f>
        <v>0.88570704650484</v>
      </c>
      <c r="AG9" s="57">
        <f>IF(C9="","",((Z9)*25)/AD9)</f>
        <v>0</v>
      </c>
      <c r="AH9" s="57">
        <f>IF(B9="","",(X9*25)/AD9)</f>
        <v>0</v>
      </c>
      <c r="AI9" s="57">
        <f>IF(B9="","",(Y9*25)/AD9)</f>
        <v>0.0052326894371279</v>
      </c>
      <c r="AJ9" s="57">
        <f>IF(B9="","",(AA9*25)/AD9)</f>
        <v>0.028917494257812</v>
      </c>
      <c r="AK9" s="58">
        <f>IF(B9="","",(AB9*40)/AD9)</f>
        <v>0.064995510903272</v>
      </c>
      <c r="AL9" s="58">
        <f>IF(B9="","",(AC9*50)/AD9)</f>
        <v>0.015147258896949</v>
      </c>
      <c r="AM9" s="59">
        <f>IF(B9="","",B9)</f>
        <v>46090</v>
      </c>
      <c r="AN9" s="82">
        <v>24</v>
      </c>
      <c r="AO9" s="82">
        <f>+AN9-AP9</f>
        <v>23.75</v>
      </c>
      <c r="AP9" s="234">
        <v>0.25</v>
      </c>
      <c r="AQ9" s="63">
        <f>IF(AN9="","",AN9/AO9)</f>
        <v>1.010526315789474</v>
      </c>
      <c r="AR9" s="64">
        <f>IF(AN9="","",(AD9/AN9)/1000)</f>
        <v>7.564625</v>
      </c>
      <c r="AS9" s="64">
        <f>IF(AN9="","",AR9*24)</f>
        <v>181.55100000000002</v>
      </c>
      <c r="AT9" s="65">
        <f>IF(AN9="","",(AD9/1000)*100%/AS9)</f>
        <v>1</v>
      </c>
      <c r="AU9" s="64">
        <f>IF(AN9="","",(AE9/AN9))</f>
        <v>134.00083333333333258</v>
      </c>
      <c r="AV9" s="229">
        <f>IF(AN9="","",(AD9/AO9)/1000)</f>
        <v>7.64425263157895</v>
      </c>
      <c r="AW9" s="714"/>
      <c r="AX9" s="714"/>
      <c r="AY9" s="714"/>
      <c r="AZ9" s="723"/>
      <c r="BA9" s="714"/>
      <c r="BB9" s="725"/>
      <c r="BC9" s="727"/>
      <c r="BD9" s="727"/>
      <c r="BE9" s="727"/>
      <c r="BF9" s="729"/>
    </row>
    <row r="10" spans="1:58" customHeight="1" ht="13.9">
      <c r="A10" s="485">
        <f>IF(B10="","",7)</f>
        <v>7</v>
      </c>
      <c r="B10" s="68">
        <v>46091</v>
      </c>
      <c r="C10" s="69">
        <v>1090.0</v>
      </c>
      <c r="D10" s="70">
        <v>995.0</v>
      </c>
      <c r="E10" s="76"/>
      <c r="F10" s="70">
        <v>327.0</v>
      </c>
      <c r="G10" s="76">
        <v>198.0</v>
      </c>
      <c r="H10" s="70">
        <f>11+490</f>
        <v>501</v>
      </c>
      <c r="I10" s="491">
        <v>265</v>
      </c>
      <c r="J10" s="491"/>
      <c r="K10" s="70">
        <f>160+99</f>
        <v>259</v>
      </c>
      <c r="L10" s="494"/>
      <c r="M10" s="494"/>
      <c r="N10" s="76"/>
      <c r="O10" s="76"/>
      <c r="P10" s="467"/>
      <c r="Q10" s="412"/>
      <c r="R10" s="410">
        <v>24080.0</v>
      </c>
      <c r="S10" s="242"/>
      <c r="T10" s="401"/>
      <c r="U10" s="407"/>
      <c r="V10" s="249"/>
      <c r="W10" s="401"/>
      <c r="X10" s="278"/>
      <c r="Y10" s="78"/>
      <c r="Z10" s="403"/>
      <c r="AA10" s="281">
        <v>194.0</v>
      </c>
      <c r="AB10" s="79">
        <v>190.0</v>
      </c>
      <c r="AC10" s="85">
        <v>40.0</v>
      </c>
      <c r="AD10" s="620">
        <f>IF(B10="","",(((C10+F10+H10+K10+Q10+N10+O10)*50))+((E10*10))+(((I10+J10+D10+G10+L10+M10+U10)*25)+(X10*25)+(Y10*25)+(Z10*25)+(AA10*25)+(AB10*40)+(AC10*50)+(R10*1)+(S10*1)+(T10*1)))</f>
        <v>183830</v>
      </c>
      <c r="AE10" s="55">
        <f>IF(B10="","",C10+F10+H10+K10+Q10+N10+O10+((I10+J10+D10+G10+U10)/2)+(R10/50)+(S10/50)+(T10/50)+(E10/5))</f>
        <v>3387.59999999999991</v>
      </c>
      <c r="AF10" s="56">
        <f>IF(B10="","",((AE10*50)/AD10))</f>
        <v>0.9213947669042</v>
      </c>
      <c r="AG10" s="57">
        <f>IF(C10="","",((Z10)*25)/AD10)</f>
        <v>0</v>
      </c>
      <c r="AH10" s="57">
        <f>IF(B10="","",(X10*25)/AD10)</f>
        <v>0</v>
      </c>
      <c r="AI10" s="57">
        <f>IF(B10="","",(Y10*25)/AD10)</f>
        <v>0</v>
      </c>
      <c r="AJ10" s="57">
        <f>IF(B10="","",(AA10*25)/AD10)</f>
        <v>0.02638307131589</v>
      </c>
      <c r="AK10" s="58">
        <f>IF(B10="","",(AB10*40)/AD10)</f>
        <v>0.041342544742425</v>
      </c>
      <c r="AL10" s="58">
        <f>IF(B10="","",(AC10*50)/AD10)</f>
        <v>0.01087961703748</v>
      </c>
      <c r="AM10" s="59">
        <f>IF(B10="","",B10)</f>
        <v>46091</v>
      </c>
      <c r="AN10" s="82">
        <v>24</v>
      </c>
      <c r="AO10" s="82">
        <f>+AN10-AP10</f>
        <v>24</v>
      </c>
      <c r="AP10" s="234">
        <v>0</v>
      </c>
      <c r="AQ10" s="63">
        <f>IF(AN10="","",AN10/AO10)</f>
        <v>1</v>
      </c>
      <c r="AR10" s="64">
        <f>IF(AN10="","",(AD10/AN10)/1000)</f>
        <v>7.65958333333333</v>
      </c>
      <c r="AS10" s="64">
        <f>IF(AN10="","",AR10*24)</f>
        <v>183.82999999999998</v>
      </c>
      <c r="AT10" s="65">
        <f>IF(AN10="","",(AD10/1000)*100%/AS10)</f>
        <v>1</v>
      </c>
      <c r="AU10" s="64">
        <f>IF(AN10="","",(AE10/AN10))</f>
        <v>141.15000000000001</v>
      </c>
      <c r="AV10" s="229">
        <f>IF(AN10="","",(AD10/AO10)/1000)</f>
        <v>7.65958333333333</v>
      </c>
      <c r="AW10" s="714"/>
      <c r="AX10" s="714"/>
      <c r="AY10" s="714"/>
      <c r="AZ10" s="723"/>
      <c r="BA10" s="714"/>
      <c r="BB10" s="725"/>
      <c r="BC10" s="727"/>
      <c r="BD10" s="727"/>
      <c r="BE10" s="727"/>
      <c r="BF10" s="729"/>
    </row>
    <row r="11" spans="1:58" customHeight="1" ht="13.9">
      <c r="A11" s="485">
        <f>IF(B11="","",8)</f>
        <v>8</v>
      </c>
      <c r="B11" s="226">
        <v>46092</v>
      </c>
      <c r="C11" s="69">
        <v>1310.0</v>
      </c>
      <c r="D11" s="70">
        <v>466.0</v>
      </c>
      <c r="E11" s="76"/>
      <c r="F11" s="70">
        <v>141.0</v>
      </c>
      <c r="G11" s="76">
        <v>300.0</v>
      </c>
      <c r="H11" s="70"/>
      <c r="I11" s="491">
        <v>1700.0</v>
      </c>
      <c r="J11" s="491"/>
      <c r="K11" s="70">
        <v>145.0</v>
      </c>
      <c r="L11" s="494">
        <v>500.0</v>
      </c>
      <c r="M11" s="494"/>
      <c r="N11" s="76"/>
      <c r="O11" s="76"/>
      <c r="P11" s="467"/>
      <c r="Q11" s="412"/>
      <c r="R11" s="410">
        <v>50160.0</v>
      </c>
      <c r="S11" s="242"/>
      <c r="T11" s="401">
        <v>20160</v>
      </c>
      <c r="U11" s="407"/>
      <c r="V11" s="249"/>
      <c r="W11" s="401"/>
      <c r="X11" s="278"/>
      <c r="Y11" s="78"/>
      <c r="Z11" s="403"/>
      <c r="AA11" s="281">
        <v>242.0</v>
      </c>
      <c r="AB11" s="79">
        <v>270.0</v>
      </c>
      <c r="AC11" s="85">
        <v>50.0</v>
      </c>
      <c r="AD11" s="592">
        <f>IF(B11="","",(((C11+F11+H11+K11+Q11+N11+O11)*50))+((E11*10))+(((I11+J11+D11+G11+L11+M11+U11)*25)+(X11*25)+(Y11*25)+(Z11*25)+(AA11*25)+(AB11*40)+(AC11*50)+(R11*1)+(S11*1)+(T11*1)))</f>
        <v>243620</v>
      </c>
      <c r="AE11" s="55">
        <f>IF(B11="","",C11+F11+H11+K11+Q11+N11+O11+((I11+J11+D11+G11+U11)/2)+(R11/50)+(S11/50)+(T11/50)+(E11/5))</f>
        <v>4235.39999999999964</v>
      </c>
      <c r="AF11" s="56">
        <f>IF(B11="","",((AE11*50)/AD11))</f>
        <v>0.8692636072572</v>
      </c>
      <c r="AG11" s="57">
        <f>IF(C11="","",((Z11)*25)/AD11)</f>
        <v>0</v>
      </c>
      <c r="AH11" s="57">
        <f>IF(B11="","",(X11*25)/AD11)</f>
        <v>0</v>
      </c>
      <c r="AI11" s="57">
        <f>IF(B11="","",(Y11*25)/AD11)</f>
        <v>0</v>
      </c>
      <c r="AJ11" s="57">
        <f>IF(B11="","",(AA11*25)/AD11)</f>
        <v>0.024833757491175</v>
      </c>
      <c r="AK11" s="58">
        <f>IF(B11="","",(AB11*40)/AD11)</f>
        <v>0.044331335686725</v>
      </c>
      <c r="AL11" s="58">
        <f>IF(B11="","",(AC11*50)/AD11)</f>
        <v>0.010261883260816</v>
      </c>
      <c r="AM11" s="59">
        <f>IF(B11="","",B11)</f>
        <v>46092</v>
      </c>
      <c r="AN11" s="82">
        <v>24</v>
      </c>
      <c r="AO11" s="82">
        <f>+AN11-AP11</f>
        <v>23.66666666666667</v>
      </c>
      <c r="AP11" s="234">
        <v>0.33333333333333</v>
      </c>
      <c r="AQ11" s="63">
        <f>IF(AN11="","",AN11/AO11)</f>
        <v>1.014084507042253</v>
      </c>
      <c r="AR11" s="64">
        <f>IF(AN11="","",(AD11/AN11)/1000)</f>
        <v>10.15083333333333</v>
      </c>
      <c r="AS11" s="64">
        <f>IF(AN11="","",AR11*24)</f>
        <v>243.62000000000003</v>
      </c>
      <c r="AT11" s="65">
        <f>IF(AN11="","",(AD11/1000)*100%/AS11)</f>
        <v>1</v>
      </c>
      <c r="AU11" s="64">
        <f>IF(AN11="","",(AE11/AN11))</f>
        <v>176.47499999999999</v>
      </c>
      <c r="AV11" s="229">
        <f>IF(AN11="","",(AD11/AO11)/1000)</f>
        <v>10.29380281690141</v>
      </c>
      <c r="AW11" s="714"/>
      <c r="AX11" s="714"/>
      <c r="AY11" s="714"/>
      <c r="AZ11" s="723"/>
      <c r="BA11" s="714"/>
      <c r="BB11" s="725"/>
      <c r="BC11" s="727"/>
      <c r="BD11" s="727"/>
      <c r="BE11" s="727"/>
      <c r="BF11" s="729"/>
    </row>
    <row r="12" spans="1:58" customHeight="1" ht="13.9">
      <c r="A12" s="485">
        <f>IF(B12="","",9)</f>
        <v>9</v>
      </c>
      <c r="B12" s="226">
        <v>46093</v>
      </c>
      <c r="C12" s="69">
        <v>1070.0</v>
      </c>
      <c r="D12" s="70">
        <v>529.0</v>
      </c>
      <c r="E12" s="76"/>
      <c r="F12" s="70">
        <v>208.0</v>
      </c>
      <c r="G12" s="76"/>
      <c r="H12" s="70"/>
      <c r="I12" s="491">
        <v>1027.0</v>
      </c>
      <c r="J12" s="491"/>
      <c r="K12" s="70">
        <v>246.0</v>
      </c>
      <c r="L12" s="494">
        <v>500.0</v>
      </c>
      <c r="M12" s="494"/>
      <c r="N12" s="76"/>
      <c r="O12" s="76"/>
      <c r="P12" s="467"/>
      <c r="Q12" s="412"/>
      <c r="R12" s="410">
        <v>6112.0</v>
      </c>
      <c r="S12" s="242">
        <v>24966.0</v>
      </c>
      <c r="T12" s="401"/>
      <c r="U12" s="407"/>
      <c r="V12" s="249"/>
      <c r="W12" s="401"/>
      <c r="X12" s="278"/>
      <c r="Y12" s="78"/>
      <c r="Z12" s="403"/>
      <c r="AA12" s="281">
        <v>219.0</v>
      </c>
      <c r="AB12" s="79">
        <v>245.0</v>
      </c>
      <c r="AC12" s="85">
        <v>60.0</v>
      </c>
      <c r="AD12" s="592">
        <f>IF(B12="","",(((C12+F12+H12+K12+Q12+N12+O12)*50))+((E12*10))+(((I12+J12+D12+G12+L12+M12+U12)*25)+(X12*25)+(Y12*25)+(Z12*25)+(AA12*25)+(AB12*40)+(AC12*50)+(R12*1)+(S12*1)+(T12*1)))</f>
        <v>176953</v>
      </c>
      <c r="AE12" s="55">
        <f>IF(B12="","",C12+F12+H12+K12+Q12+N12+O12+((I12+J12+D12+G12+U12)/2)+(R12/50)+(S12/50)+(T12/50)+(E12/5))</f>
        <v>2923.55999999999995</v>
      </c>
      <c r="AF12" s="56">
        <f>IF(B12="","",((AE12*50)/AD12))</f>
        <v>0.82608376235498</v>
      </c>
      <c r="AG12" s="57">
        <f>IF(C12="","",((Z12)*25)/AD12)</f>
        <v>0</v>
      </c>
      <c r="AH12" s="57">
        <f>IF(B12="","",(X12*25)/AD12)</f>
        <v>0</v>
      </c>
      <c r="AI12" s="57">
        <f>IF(B12="","",(Y12*25)/AD12)</f>
        <v>0</v>
      </c>
      <c r="AJ12" s="57">
        <f>IF(B12="","",(AA12*25)/AD12)</f>
        <v>0.03094041920736</v>
      </c>
      <c r="AK12" s="58">
        <f>IF(B12="","",(AB12*40)/AD12)</f>
        <v>0.055381937576645</v>
      </c>
      <c r="AL12" s="58">
        <f>IF(B12="","",(AC12*50)/AD12)</f>
        <v>0.016953654360197</v>
      </c>
      <c r="AM12" s="59">
        <f>IF(B12="","",B12)</f>
        <v>46093</v>
      </c>
      <c r="AN12" s="82">
        <v>24</v>
      </c>
      <c r="AO12" s="82">
        <f>+AN12-AP12</f>
        <v>22.25</v>
      </c>
      <c r="AP12" s="234">
        <v>1.75</v>
      </c>
      <c r="AQ12" s="63">
        <f>IF(AN12="","",AN12/AO12)</f>
        <v>1.078651685393258</v>
      </c>
      <c r="AR12" s="64">
        <f>IF(AN12="","",(AD12/AN12)/1000)</f>
        <v>7.37304166666667</v>
      </c>
      <c r="AS12" s="64">
        <f>IF(AN12="","",AR12*24)</f>
        <v>176.95300000000003</v>
      </c>
      <c r="AT12" s="65">
        <f>IF(AN12="","",(AD12/1000)*100%/AS12)</f>
        <v>1</v>
      </c>
      <c r="AU12" s="64">
        <f>IF(AN12="","",(AE12/AN12))</f>
        <v>121.815</v>
      </c>
      <c r="AV12" s="229">
        <f>IF(AN12="","",(AD12/AO12)/1000)</f>
        <v>7.95294382022472</v>
      </c>
      <c r="AW12" s="714"/>
      <c r="AX12" s="714"/>
      <c r="AY12" s="714"/>
      <c r="AZ12" s="723"/>
      <c r="BA12" s="714"/>
      <c r="BB12" s="725"/>
      <c r="BC12" s="727"/>
      <c r="BD12" s="727"/>
      <c r="BE12" s="727"/>
      <c r="BF12" s="729"/>
    </row>
    <row r="13" spans="1:58" customHeight="1" ht="13.9">
      <c r="A13" s="485">
        <f>IF(B13="","",11)</f>
        <v>11</v>
      </c>
      <c r="B13" s="226">
        <v>46094</v>
      </c>
      <c r="C13" s="69">
        <v>1030.0</v>
      </c>
      <c r="D13" s="70"/>
      <c r="E13" s="76">
        <v>100.0</v>
      </c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>
        <v>96016.0</v>
      </c>
      <c r="S13" s="242">
        <v>49200</v>
      </c>
      <c r="T13" s="401"/>
      <c r="U13" s="407"/>
      <c r="V13" s="249"/>
      <c r="W13" s="401"/>
      <c r="X13" s="278"/>
      <c r="Y13" s="78"/>
      <c r="Z13" s="403"/>
      <c r="AA13" s="281">
        <v>218.0</v>
      </c>
      <c r="AB13" s="79">
        <v>379.0</v>
      </c>
      <c r="AC13" s="85">
        <v>565.0</v>
      </c>
      <c r="AD13" s="592">
        <f>IF(B13="","",(((C13+F13+H13+K13+Q13+N13+O13)*50))+((E13*10))+(((I13+J13+D13+G13+L13+M13+U13)*25)+(X13*25)+(Y13*25)+(Z13*25)+(AA13*25)+(AB13*40)+(AC13*50)+(R13*1)+(S13*1)+(T13*1)))</f>
        <v>246576</v>
      </c>
      <c r="AE13" s="55">
        <f>IF(B13="","",C13+F13+H13+K13+Q13+N13+O13+((I13+J13+D13+G13+U13)/2)+(R13/50)+(S13/50)+(T13/50)+(E13/5))</f>
        <v>3954.31999999999971</v>
      </c>
      <c r="AF13" s="56">
        <f>IF(B13="","",((AE13*50)/AD13))</f>
        <v>0.801846083966</v>
      </c>
      <c r="AG13" s="57">
        <f>IF(C13="","",((Z13)*25)/AD13)</f>
        <v>0</v>
      </c>
      <c r="AH13" s="57">
        <f>IF(B13="","",(X13*25)/AD13)</f>
        <v>0</v>
      </c>
      <c r="AI13" s="57">
        <f>IF(B13="","",(Y13*25)/AD13)</f>
        <v>0</v>
      </c>
      <c r="AJ13" s="57">
        <f>IF(B13="","",(AA13*25)/AD13)</f>
        <v>0.022102718837194</v>
      </c>
      <c r="AK13" s="58">
        <f>IF(B13="","",(AB13*40)/AD13)</f>
        <v>0.061482058270067</v>
      </c>
      <c r="AL13" s="58">
        <f>IF(B13="","",(AC13*50)/AD13)</f>
        <v>0.11456913892674</v>
      </c>
      <c r="AM13" s="59">
        <f>IF(B13="","",B13)</f>
        <v>46094</v>
      </c>
      <c r="AN13" s="82">
        <v>24</v>
      </c>
      <c r="AO13" s="82">
        <f>+AN13-AP13</f>
        <v>23.41666666666667</v>
      </c>
      <c r="AP13" s="234">
        <v>0.58333333333333</v>
      </c>
      <c r="AQ13" s="63">
        <f>IF(AN13="","",AN13/AO13)</f>
        <v>1.02491103202847</v>
      </c>
      <c r="AR13" s="64">
        <f>IF(AN13="","",(AD13/AN13)/1000)</f>
        <v>10.274</v>
      </c>
      <c r="AS13" s="64">
        <f>IF(AN13="","",AR13*24)</f>
        <v>246.57599999999996</v>
      </c>
      <c r="AT13" s="65">
        <f>IF(AN13="","",(AD13/1000)*100%/AS13)</f>
        <v>1</v>
      </c>
      <c r="AU13" s="64">
        <f>IF(AN13="","",(AE13/AN13))</f>
        <v>164.76333333333332</v>
      </c>
      <c r="AV13" s="229">
        <f>IF(AN13="","",(AD13/AO13)/1000)</f>
        <v>10.5299359430605</v>
      </c>
      <c r="AW13" s="714"/>
      <c r="AX13" s="714"/>
      <c r="AY13" s="714"/>
      <c r="AZ13" s="723"/>
      <c r="BA13" s="714"/>
      <c r="BB13" s="725"/>
      <c r="BC13" s="727"/>
      <c r="BD13" s="727"/>
      <c r="BE13" s="727"/>
      <c r="BF13" s="729"/>
    </row>
    <row r="14" spans="1:58" customHeight="1" ht="13.9">
      <c r="A14" s="485">
        <f>IF(B14="","",12)</f>
        <v>12</v>
      </c>
      <c r="B14" s="226">
        <v>46097</v>
      </c>
      <c r="C14" s="69">
        <v>270.0</v>
      </c>
      <c r="D14" s="70">
        <v>897.0</v>
      </c>
      <c r="E14" s="76"/>
      <c r="F14" s="70">
        <v>900.0</v>
      </c>
      <c r="G14" s="76">
        <v>200.0</v>
      </c>
      <c r="H14" s="70"/>
      <c r="I14" s="491"/>
      <c r="J14" s="491"/>
      <c r="K14" s="70">
        <v>297.0</v>
      </c>
      <c r="L14" s="494">
        <v>644.0</v>
      </c>
      <c r="M14" s="494"/>
      <c r="N14" s="76"/>
      <c r="O14" s="76"/>
      <c r="P14" s="467"/>
      <c r="Q14" s="412"/>
      <c r="R14" s="410">
        <v>41168.0</v>
      </c>
      <c r="S14" s="242">
        <v>24080.0</v>
      </c>
      <c r="T14" s="401"/>
      <c r="U14" s="407"/>
      <c r="V14" s="249"/>
      <c r="W14" s="401"/>
      <c r="X14" s="278"/>
      <c r="Y14" s="78"/>
      <c r="Z14" s="403"/>
      <c r="AA14" s="281">
        <v>254.0</v>
      </c>
      <c r="AB14" s="79">
        <v>230.0</v>
      </c>
      <c r="AC14" s="85">
        <v>60.0</v>
      </c>
      <c r="AD14" s="592">
        <f>IF(B14="","",(((C14+F14+H14+K14+Q14+N14+O14)*50))+((E14*10))+(((I14+J14+D14+G14+L14+M14+U14)*25)+(X14*25)+(Y14*25)+(Z14*25)+(AA14*25)+(AB14*40)+(AC14*50)+(R14*1)+(S14*1)+(T14*1)))</f>
        <v>200673</v>
      </c>
      <c r="AE14" s="55">
        <f>IF(B14="","",C14+F14+H14+K14+Q14+N14+O14+((I14+J14+D14+G14+U14)/2)+(R14/50)+(S14/50)+(T14/50)+(E14/5))</f>
        <v>3320.46000000000004</v>
      </c>
      <c r="AF14" s="56">
        <f>IF(B14="","",((AE14*50)/AD14))</f>
        <v>0.82733103108041</v>
      </c>
      <c r="AG14" s="57">
        <f>IF(C14="","",((Z14)*25)/AD14)</f>
        <v>0</v>
      </c>
      <c r="AH14" s="57">
        <f>IF(B14="","",(X14*25)/AD14)</f>
        <v>0</v>
      </c>
      <c r="AI14" s="57">
        <f>IF(B14="","",(Y14*25)/AD14)</f>
        <v>0</v>
      </c>
      <c r="AJ14" s="57">
        <f>IF(B14="","",(AA14*25)/AD14)</f>
        <v>0.031643519556692</v>
      </c>
      <c r="AK14" s="58">
        <f>IF(B14="","",(AB14*40)/AD14)</f>
        <v>0.045845729121506</v>
      </c>
      <c r="AL14" s="58">
        <f>IF(B14="","",(AC14*50)/AD14)</f>
        <v>0.014949694278752</v>
      </c>
      <c r="AM14" s="59">
        <f>IF(B14="","",B14)</f>
        <v>46097</v>
      </c>
      <c r="AN14" s="82">
        <v>24</v>
      </c>
      <c r="AO14" s="82">
        <f>+AN14-AP14</f>
        <v>23.41666666666667</v>
      </c>
      <c r="AP14" s="234">
        <v>0.58333333333333</v>
      </c>
      <c r="AQ14" s="63">
        <f>IF(AN14="","",AN14/AO14)</f>
        <v>1.02491103202847</v>
      </c>
      <c r="AR14" s="64">
        <f>IF(AN14="","",(AD14/AN14)/1000)</f>
        <v>8.361375</v>
      </c>
      <c r="AS14" s="64">
        <f>IF(AN14="","",AR14*24)</f>
        <v>200.673</v>
      </c>
      <c r="AT14" s="65">
        <f>IF(AN14="","",(AD14/1000)*100%/AS14)</f>
        <v>1</v>
      </c>
      <c r="AU14" s="64">
        <f>IF(AN14="","",(AE14/AN14))</f>
        <v>138.35249999999999</v>
      </c>
      <c r="AV14" s="229">
        <f>IF(AN14="","",(AD14/AO14)/1000)</f>
        <v>8.56966548042704</v>
      </c>
      <c r="AW14" s="714"/>
      <c r="AX14" s="714"/>
      <c r="AY14" s="714"/>
      <c r="AZ14" s="723"/>
      <c r="BA14" s="714"/>
      <c r="BB14" s="725"/>
      <c r="BC14" s="727"/>
      <c r="BD14" s="727"/>
      <c r="BE14" s="727"/>
      <c r="BF14" s="729"/>
    </row>
    <row r="15" spans="1:58" customHeight="1" ht="13.9">
      <c r="A15" s="485">
        <f>IF(B15="","",13)</f>
        <v>13</v>
      </c>
      <c r="B15" s="226">
        <v>46098</v>
      </c>
      <c r="C15" s="69">
        <v>1040.0</v>
      </c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>
        <v>33936.0</v>
      </c>
      <c r="S15" s="242"/>
      <c r="T15" s="401"/>
      <c r="U15" s="407"/>
      <c r="V15" s="249"/>
      <c r="W15" s="401"/>
      <c r="X15" s="278"/>
      <c r="Y15" s="78"/>
      <c r="Z15" s="403"/>
      <c r="AA15" s="281">
        <v>97.0</v>
      </c>
      <c r="AB15" s="1">
        <v>206.0</v>
      </c>
      <c r="AC15" s="85">
        <v>45.0</v>
      </c>
      <c r="AD15" s="592">
        <f>IF(B15="","",(((C15+F15+H15+K15+Q15+N15+O15)*50))+((E15*10))+(((I15+J15+D15+G15+L15+M15+U15)*25)+(X15*25)+(Y15*25)+(Z15*25)+(AA15*25)+(AB15*40)+(AC15*50)+(R15*1)+(S15*1)+(T15*1)))</f>
        <v>98851</v>
      </c>
      <c r="AE15" s="55">
        <f>IF(B15="","",C15+F15+H15+K15+Q15+N15+O15+((I15+J15+D15+G15+U15)/2)+(R15/50)+(S15/50)+(T15/50)+(E15/5))</f>
        <v>1718.72000000000003</v>
      </c>
      <c r="AF15" s="56">
        <f>IF(B15="","",((AE15*50)/AD15))</f>
        <v>0.86934881791788</v>
      </c>
      <c r="AG15" s="57">
        <f>IF(C15="","",((Z15)*25)/AD15)</f>
        <v>0</v>
      </c>
      <c r="AH15" s="57">
        <f>IF(B15="","",(X15*25)/AD15)</f>
        <v>0</v>
      </c>
      <c r="AI15" s="57">
        <f>IF(B15="","",(Y15*25)/AD15)</f>
        <v>0</v>
      </c>
      <c r="AJ15" s="57">
        <f>IF(B15="","",(AA15*25)/AD15)</f>
        <v>0.024531871200089</v>
      </c>
      <c r="AK15" s="58">
        <f>IF(B15="","",(AC15*40)/AD15)</f>
        <v>0.018209223983571</v>
      </c>
      <c r="AL15" s="58">
        <f>IF(B15="","",(AC15*50)/AD15)</f>
        <v>0.022761529979464</v>
      </c>
      <c r="AM15" s="59">
        <f>IF(B15="","",B15)</f>
        <v>46098</v>
      </c>
      <c r="AN15" s="82">
        <v>24</v>
      </c>
      <c r="AO15" s="82">
        <f>+AN15-AP15</f>
        <v>16.33333333333333</v>
      </c>
      <c r="AP15" s="234">
        <v>7.66666666666667</v>
      </c>
      <c r="AQ15" s="63">
        <f>IF(AN15="","",AN15/AO15)</f>
        <v>1.46938775510204</v>
      </c>
      <c r="AR15" s="64">
        <f>IF(AN15="","",(AD15/AN15)/1000)</f>
        <v>4.11879166666667</v>
      </c>
      <c r="AS15" s="64">
        <f>IF(AN15="","",AR15*24)</f>
        <v>98.851</v>
      </c>
      <c r="AT15" s="65">
        <f>IF(AN15="","",(AD15/1000)*100%/AS15)</f>
        <v>1</v>
      </c>
      <c r="AU15" s="64">
        <f>IF(AN15="","",(AE15/AN15))</f>
        <v>71.61333333333333</v>
      </c>
      <c r="AV15" s="229">
        <f>IF(AN15="","",(AD15/AO15)/1000)</f>
        <v>6.052102040816329</v>
      </c>
      <c r="AW15" s="714"/>
      <c r="AX15" s="714"/>
      <c r="AY15" s="714"/>
      <c r="AZ15" s="723"/>
      <c r="BA15" s="714"/>
      <c r="BB15" s="725"/>
      <c r="BC15" s="727"/>
      <c r="BD15" s="727"/>
      <c r="BE15" s="727"/>
      <c r="BF15" s="729"/>
    </row>
    <row r="16" spans="1:58" customHeight="1" ht="13.9">
      <c r="A16" s="485">
        <f>IF(B16="","",1+A15)</f>
        <v>14</v>
      </c>
      <c r="B16" s="226">
        <v>46099</v>
      </c>
      <c r="C16" s="69">
        <v>100.0</v>
      </c>
      <c r="D16" s="70"/>
      <c r="E16" s="76"/>
      <c r="F16" s="70">
        <v>900.0</v>
      </c>
      <c r="G16" s="76"/>
      <c r="H16" s="70"/>
      <c r="I16" s="491">
        <v>524.0</v>
      </c>
      <c r="J16" s="491">
        <v>80.0</v>
      </c>
      <c r="K16" s="70"/>
      <c r="L16" s="494"/>
      <c r="M16" s="494"/>
      <c r="N16" s="76"/>
      <c r="O16" s="76"/>
      <c r="P16" s="467"/>
      <c r="Q16" s="412"/>
      <c r="R16" s="410">
        <v>26944.0</v>
      </c>
      <c r="S16" s="242">
        <v>46496.0</v>
      </c>
      <c r="T16" s="401"/>
      <c r="U16" s="407"/>
      <c r="V16" s="249"/>
      <c r="W16" s="401"/>
      <c r="X16" s="278"/>
      <c r="Y16" s="78"/>
      <c r="Z16" s="403"/>
      <c r="AA16" s="281">
        <v>141.0</v>
      </c>
      <c r="AB16" s="79">
        <v>305.0</v>
      </c>
      <c r="AC16" s="85">
        <v>45.0</v>
      </c>
      <c r="AD16" s="592">
        <f>IF(B16="","",(((C16+F16+H16+K16+Q16+N16+O16)*50))+((E16*10))+(((I16+J16+D16+G16+L16+M16+U16)*25)+(X16*25)+(Y16*25)+(Z16*25)+(AA16*25)+(AB16*40)+(AC16*50)+(R16*1)+(S16*1)+(T16*1)))</f>
        <v>156515</v>
      </c>
      <c r="AE16" s="55">
        <f>IF(B16="","",C16+F16+H16+K16+Q16+N16+O16+((I16+J16+D16+G16+U16)/2)+(R16/50)+(S16/50)+(T16/50)+(E16/5))</f>
        <v>2770.80000000000018</v>
      </c>
      <c r="AF16" s="56">
        <f>IF(B16="","",((AE16*50)/AD16))</f>
        <v>0.88515477749736</v>
      </c>
      <c r="AG16" s="57">
        <f>IF(C16="","",((Z16)*25)/AD16)</f>
        <v>0</v>
      </c>
      <c r="AH16" s="57">
        <f>IF(B16="","",(X16*25)/AD16)</f>
        <v>0</v>
      </c>
      <c r="AI16" s="57">
        <f>IF(B16="","",(Y16*25)/AD16)</f>
        <v>0</v>
      </c>
      <c r="AJ16" s="57">
        <f>IF(B16="","",(AA16*25)/AD16)</f>
        <v>0.022521803022075</v>
      </c>
      <c r="AK16" s="58">
        <f>IF(B16="","",(AB16*40)/AD16)</f>
        <v>0.077947800530301</v>
      </c>
      <c r="AL16" s="58">
        <f>IF(B16="","",(AC16*50)/AD16)</f>
        <v>0.01437561895026</v>
      </c>
      <c r="AM16" s="59">
        <f>IF(B16="","",B16)</f>
        <v>46099</v>
      </c>
      <c r="AN16" s="82">
        <v>24</v>
      </c>
      <c r="AO16" s="82">
        <f>+AN16-AP16</f>
        <v>24</v>
      </c>
      <c r="AP16" s="623">
        <v>0</v>
      </c>
      <c r="AQ16" s="63">
        <f>IF(AN16="","",AN16/AO16)</f>
        <v>1</v>
      </c>
      <c r="AR16" s="64">
        <f>IF(AN16="","",(AD16/AN16)/1000)</f>
        <v>6.52145833333333</v>
      </c>
      <c r="AS16" s="64">
        <f>IF(AN16="","",AR16*24)</f>
        <v>156.51499999999999</v>
      </c>
      <c r="AT16" s="65">
        <f>IF(AN16="","",(AD16/1000)*100%/AS16)</f>
        <v>1</v>
      </c>
      <c r="AU16" s="64">
        <f>IF(AN16="","",(AE16/AN16))</f>
        <v>115.45</v>
      </c>
      <c r="AV16" s="229">
        <f>IF(AN16="","",(AD16/AO16)/1000)</f>
        <v>6.52145833333333</v>
      </c>
      <c r="AW16" s="714"/>
      <c r="AX16" s="714"/>
      <c r="AY16" s="714"/>
      <c r="AZ16" s="723"/>
      <c r="BA16" s="714"/>
      <c r="BB16" s="725"/>
      <c r="BC16" s="727"/>
      <c r="BD16" s="727"/>
      <c r="BE16" s="727"/>
      <c r="BF16" s="729"/>
    </row>
    <row r="17" spans="1:58" customHeight="1" ht="13.9">
      <c r="A17" s="485">
        <f>IF(B17="","",15)</f>
        <v>15</v>
      </c>
      <c r="B17" s="226">
        <v>46100</v>
      </c>
      <c r="C17" s="69">
        <v>527.0</v>
      </c>
      <c r="D17" s="70"/>
      <c r="E17" s="76"/>
      <c r="F17" s="70">
        <v>500.0</v>
      </c>
      <c r="G17" s="76">
        <v>397</v>
      </c>
      <c r="H17" s="70">
        <v>360.0</v>
      </c>
      <c r="I17" s="491">
        <v>659.0</v>
      </c>
      <c r="J17" s="491">
        <v>140.0</v>
      </c>
      <c r="K17" s="70"/>
      <c r="L17" s="494"/>
      <c r="M17" s="494"/>
      <c r="N17" s="76"/>
      <c r="O17" s="76"/>
      <c r="P17" s="467"/>
      <c r="Q17" s="412"/>
      <c r="R17" s="410">
        <v>28160.0</v>
      </c>
      <c r="S17" s="242"/>
      <c r="T17" s="401"/>
      <c r="U17" s="407"/>
      <c r="V17" s="249"/>
      <c r="W17" s="401"/>
      <c r="X17" s="278"/>
      <c r="Y17" s="78"/>
      <c r="Z17" s="403"/>
      <c r="AA17" s="281">
        <v>165.0</v>
      </c>
      <c r="AB17" s="79">
        <v>407.0</v>
      </c>
      <c r="AC17" s="85">
        <v>14.0</v>
      </c>
      <c r="AD17" s="592">
        <f>IF(B17="","",(((C17+F17+H17+K17+Q17+N17+O17)*50))+((E17*10))+(((I17+J17+D17+G17+L17+M17+U17)*25)+(X17*25)+(Y17*25)+(Z17*25)+(AA17*25)+(AB17*40)+(AC17*50)+(R17*1)+(S17*1)+(T17*1)))</f>
        <v>148515</v>
      </c>
      <c r="AE17" s="55">
        <f>IF(B17="","",C17+F17+H17+K17+Q17+N17+O17+((I17+J17+D17+G17+U17)/2)+(R17/50)+(S17/50)+(T17/50)+(E17/5))</f>
        <v>2548.19999999999982</v>
      </c>
      <c r="AF17" s="56">
        <f>IF(B17="","",((AE17*50)/AD17))</f>
        <v>0.85789314210686</v>
      </c>
      <c r="AG17" s="57">
        <f>IF(C17="","",((Z17)*25)/AD17)</f>
        <v>0</v>
      </c>
      <c r="AH17" s="57">
        <f>IF(B17="","",(X17*25)/AD17)</f>
        <v>0</v>
      </c>
      <c r="AI17" s="57">
        <f>IF(B17="","",(Y17*25)/AD17)</f>
        <v>0</v>
      </c>
      <c r="AJ17" s="57">
        <f>IF(B17="","",(AA17*25)/AD17)</f>
        <v>0.027774972225028</v>
      </c>
      <c r="AK17" s="58">
        <f>IF(B17="","",(AB17*40)/AD17)</f>
        <v>0.10961855704811</v>
      </c>
      <c r="AL17" s="58">
        <f>IF(B17="","",(AC17*50)/AD17)</f>
        <v>0.0047133286200047</v>
      </c>
      <c r="AM17" s="59">
        <f>IF(B17="","",B17)</f>
        <v>46100</v>
      </c>
      <c r="AN17" s="82">
        <v>24</v>
      </c>
      <c r="AO17" s="82">
        <f>+AN17-AP17</f>
        <v>23.75</v>
      </c>
      <c r="AP17" s="234">
        <v>0.25</v>
      </c>
      <c r="AQ17" s="63">
        <f>IF(AN17="","",AN17/AO17)</f>
        <v>1.010526315789474</v>
      </c>
      <c r="AR17" s="64">
        <f>IF(AN17="","",(AD17/AN17)/1000)</f>
        <v>6.188125</v>
      </c>
      <c r="AS17" s="64">
        <f>IF(AN17="","",AR17*24)</f>
        <v>148.51500000000001</v>
      </c>
      <c r="AT17" s="65">
        <f>IF(AN17="","",(AD17/1000)*100%/AS17)</f>
        <v>1</v>
      </c>
      <c r="AU17" s="64">
        <f>IF(AN17="","",(AE17/AN17))</f>
        <v>106.175</v>
      </c>
      <c r="AV17" s="229">
        <f>IF(AN17="","",(AD17/AO17)/1000)</f>
        <v>6.25326315789474</v>
      </c>
      <c r="AW17" s="714"/>
      <c r="AX17" s="714"/>
      <c r="AY17" s="714"/>
      <c r="AZ17" s="723"/>
      <c r="BA17" s="714"/>
      <c r="BB17" s="725"/>
      <c r="BC17" s="727"/>
      <c r="BD17" s="727"/>
      <c r="BE17" s="727"/>
      <c r="BF17" s="729"/>
    </row>
    <row r="18" spans="1:58" customHeight="1" ht="13.9">
      <c r="A18" s="485">
        <f>IF(B18="","",16)</f>
        <v>16</v>
      </c>
      <c r="B18" s="226">
        <v>46101</v>
      </c>
      <c r="C18" s="69">
        <v>1314.0</v>
      </c>
      <c r="D18" s="70">
        <v>50.0</v>
      </c>
      <c r="E18" s="76"/>
      <c r="F18" s="70">
        <v>245.0</v>
      </c>
      <c r="G18" s="76">
        <v>200.0</v>
      </c>
      <c r="H18" s="70">
        <v>468</v>
      </c>
      <c r="I18" s="491"/>
      <c r="J18" s="491"/>
      <c r="K18" s="70"/>
      <c r="L18" s="494"/>
      <c r="M18" s="494"/>
      <c r="N18" s="76"/>
      <c r="O18" s="76"/>
      <c r="P18" s="467"/>
      <c r="Q18" s="412"/>
      <c r="R18" s="410">
        <v>23200.0</v>
      </c>
      <c r="S18" s="242">
        <v>25408.0</v>
      </c>
      <c r="T18" s="401"/>
      <c r="U18" s="407"/>
      <c r="V18" s="249"/>
      <c r="W18" s="401"/>
      <c r="X18" s="278"/>
      <c r="Y18" s="78"/>
      <c r="Z18" s="403"/>
      <c r="AA18" s="281">
        <v>225.0</v>
      </c>
      <c r="AB18" s="79">
        <v>355.0</v>
      </c>
      <c r="AC18" s="85">
        <v>80.0</v>
      </c>
      <c r="AD18" s="592">
        <f>IF(B18="","",(((C18+F18+H18+K18+Q18+N18+O18)*50))+((E18*10))+(((I18+J18+D18+G18+L18+M18+U18)*25)+(X18*25)+(Y18*25)+(Z18*25)+(AA18*25)+(AB18*40)+(AC18*50)+(R18*1)+(S18*1)+(T18*1)))</f>
        <v>180033</v>
      </c>
      <c r="AE18" s="55">
        <f>IF(B18="","",C18+F18+H18+K18+Q18+N18+O18+((I18+J18+D18+G18+U18)/2)+(R18/50)+(S18/50)+(T18/50)+(E18/5))</f>
        <v>3124.15999999999985</v>
      </c>
      <c r="AF18" s="56">
        <f>IF(B18="","",((AE18*50)/AD18))</f>
        <v>0.8676631506446</v>
      </c>
      <c r="AG18" s="57">
        <f>IF(C18="","",((Z18)*25)/AD18)</f>
        <v>0</v>
      </c>
      <c r="AH18" s="57">
        <f>IF(B18="","",(X18*25)/AD18)</f>
        <v>0</v>
      </c>
      <c r="AI18" s="57">
        <f>IF(B18="","",(Y18*25)/AD18)</f>
        <v>0</v>
      </c>
      <c r="AJ18" s="57">
        <f>IF(B18="","",(AA18*25)/AD18)</f>
        <v>0.031244271883488</v>
      </c>
      <c r="AK18" s="58">
        <f>IF(B18="","",(AB18*40)/AD18)</f>
        <v>0.078874428576983</v>
      </c>
      <c r="AL18" s="58">
        <f>IF(B18="","",(AC18*50)/AD18)</f>
        <v>0.022218148894925</v>
      </c>
      <c r="AM18" s="59">
        <f>IF(B18="","",B18)</f>
        <v>46101</v>
      </c>
      <c r="AN18" s="82">
        <v>24</v>
      </c>
      <c r="AO18" s="82">
        <f>+AN18-AP18</f>
        <v>24</v>
      </c>
      <c r="AP18" s="234">
        <v>0</v>
      </c>
      <c r="AQ18" s="63">
        <f>IF(AN18="","",AN18/AO18)</f>
        <v>1</v>
      </c>
      <c r="AR18" s="64">
        <f>IF(AN18="","",(AD18/AN18)/1000)</f>
        <v>7.501375</v>
      </c>
      <c r="AS18" s="64">
        <f>IF(AN18="","",AR18*24)</f>
        <v>180.033000000000015</v>
      </c>
      <c r="AT18" s="65">
        <f>IF(AN18="","",(AD18/1000)*100%/AS18)</f>
        <v>1</v>
      </c>
      <c r="AU18" s="64">
        <f>IF(AN18="","",(AE18/AN18))</f>
        <v>130.17333333333332</v>
      </c>
      <c r="AV18" s="229">
        <f>IF(AN18="","",(AD18/AO18)/1000)</f>
        <v>7.501375</v>
      </c>
      <c r="AW18" s="714"/>
      <c r="AX18" s="714"/>
      <c r="AY18" s="714"/>
      <c r="AZ18" s="723"/>
      <c r="BA18" s="714"/>
      <c r="BB18" s="725"/>
      <c r="BC18" s="727"/>
      <c r="BD18" s="727"/>
      <c r="BE18" s="727"/>
      <c r="BF18" s="729"/>
    </row>
    <row r="19" spans="1:58" customHeight="1" ht="13.9">
      <c r="A19" s="485">
        <f>IF(B19="","",17)</f>
        <v>17</v>
      </c>
      <c r="B19" s="68">
        <v>46105</v>
      </c>
      <c r="C19" s="69">
        <v>516.0</v>
      </c>
      <c r="D19" s="70">
        <v>999</v>
      </c>
      <c r="E19" s="76"/>
      <c r="F19" s="70">
        <v>155.0</v>
      </c>
      <c r="G19" s="76">
        <v>198.0</v>
      </c>
      <c r="H19" s="70">
        <v>494.0</v>
      </c>
      <c r="I19" s="491">
        <v>1017.0</v>
      </c>
      <c r="J19" s="491"/>
      <c r="K19" s="70"/>
      <c r="L19" s="494"/>
      <c r="M19" s="494"/>
      <c r="N19" s="76"/>
      <c r="O19" s="76"/>
      <c r="P19" s="467"/>
      <c r="Q19" s="412"/>
      <c r="R19" s="410">
        <v>8896.0</v>
      </c>
      <c r="S19" s="242">
        <v>51600</v>
      </c>
      <c r="T19" s="401"/>
      <c r="U19" s="407"/>
      <c r="V19" s="249"/>
      <c r="W19" s="401"/>
      <c r="X19" s="278"/>
      <c r="Y19" s="78"/>
      <c r="Z19" s="403"/>
      <c r="AA19" s="281">
        <v>203.0</v>
      </c>
      <c r="AB19" s="79">
        <v>379.0</v>
      </c>
      <c r="AC19" s="85">
        <v>123.0</v>
      </c>
      <c r="AD19" s="592">
        <f>IF(B19="","",(((C19+F19+H19+K19+Q19+N19+O19)*50))+((E19*10))+(((I19+J19+D19+G19+L19+M19+U19)*25)+(X19*25)+(Y19*25)+(Z19*25)+(AA19*25)+(AB19*40)+(AC19*50)+(R19*1)+(S19*1)+(T19*1)))</f>
        <v>200481</v>
      </c>
      <c r="AE19" s="55">
        <f>IF(B19="","",C19+F19+H19+K19+Q19+N19+O19+((I19+J19+D19+G19+U19)/2)+(R19/50)+(S19/50)+(T19/50)+(E19/5))</f>
        <v>3481.92000000000007</v>
      </c>
      <c r="AF19" s="56">
        <f>IF(B19="","",((AE19*50)/AD19))</f>
        <v>0.86839151839825</v>
      </c>
      <c r="AG19" s="57">
        <f>IF(C19="","",((Z19)*25)/AD19)</f>
        <v>0</v>
      </c>
      <c r="AH19" s="57">
        <f>IF(B19="","",(X19*25)/AD19)</f>
        <v>0</v>
      </c>
      <c r="AI19" s="57">
        <f>IF(B19="","",(Y19*25)/AD19)</f>
        <v>0</v>
      </c>
      <c r="AJ19" s="57">
        <f>IF(B19="","",(AA19*25)/AD19)</f>
        <v>0.0253141195425</v>
      </c>
      <c r="AK19" s="58">
        <f>IF(B19="","",(AB19*40)/AD19)</f>
        <v>0.075618138377203</v>
      </c>
      <c r="AL19" s="58">
        <f>IF(B19="","",(AC19*50)/AD19)</f>
        <v>0.030676223682045</v>
      </c>
      <c r="AM19" s="59">
        <f>IF(B19="","",B19)</f>
        <v>46105</v>
      </c>
      <c r="AN19" s="82">
        <v>24</v>
      </c>
      <c r="AO19" s="82">
        <f>+AN19-AP19</f>
        <v>22</v>
      </c>
      <c r="AP19" s="234">
        <v>2</v>
      </c>
      <c r="AQ19" s="63">
        <f>IF(AN19="","",AN19/AO19)</f>
        <v>1.090909090909091</v>
      </c>
      <c r="AR19" s="64">
        <f>IF(AN19="","",(AD19/AN19)/1000)</f>
        <v>8.353375</v>
      </c>
      <c r="AS19" s="64">
        <f>IF(AN19="","",AR19*24)</f>
        <v>200.48099999999999</v>
      </c>
      <c r="AT19" s="65">
        <f>IF(AN19="","",(AD19/1000)*100%/AS19)</f>
        <v>1</v>
      </c>
      <c r="AU19" s="64">
        <f>IF(AN19="","",(AE19/AN19))</f>
        <v>145.080000000000013</v>
      </c>
      <c r="AV19" s="229">
        <f>IF(AN19="","",(AD19/AO19)/1000)</f>
        <v>9.11277272727273</v>
      </c>
      <c r="AW19" s="714"/>
      <c r="AX19" s="714"/>
      <c r="AY19" s="714"/>
      <c r="AZ19" s="723"/>
      <c r="BA19" s="714"/>
      <c r="BB19" s="725"/>
      <c r="BC19" s="727"/>
      <c r="BD19" s="727"/>
      <c r="BE19" s="727"/>
      <c r="BF19" s="729"/>
    </row>
    <row r="20" spans="1:58" customHeight="1" ht="13.9">
      <c r="A20" s="485">
        <f>IF(B20="","",1+A19)</f>
        <v>18</v>
      </c>
      <c r="B20" s="68">
        <v>46106</v>
      </c>
      <c r="C20" s="69">
        <v>882.0</v>
      </c>
      <c r="D20" s="70">
        <v>1</v>
      </c>
      <c r="E20" s="76"/>
      <c r="F20" s="70"/>
      <c r="G20" s="76">
        <v>2000.0</v>
      </c>
      <c r="H20" s="70">
        <v>496.0</v>
      </c>
      <c r="I20" s="491"/>
      <c r="J20" s="491"/>
      <c r="K20" s="70"/>
      <c r="L20" s="494"/>
      <c r="M20" s="494"/>
      <c r="N20" s="76"/>
      <c r="O20" s="76"/>
      <c r="P20" s="467"/>
      <c r="Q20" s="412"/>
      <c r="R20" s="410">
        <v>33336.0</v>
      </c>
      <c r="S20" s="242">
        <v>24656.0</v>
      </c>
      <c r="T20" s="401">
        <v>20656.0</v>
      </c>
      <c r="U20" s="407"/>
      <c r="V20" s="249"/>
      <c r="W20" s="401"/>
      <c r="X20" s="278"/>
      <c r="Y20" s="78">
        <v>23.0</v>
      </c>
      <c r="Z20" s="403"/>
      <c r="AA20" s="281">
        <v>326.0</v>
      </c>
      <c r="AB20" s="79">
        <v>400.0</v>
      </c>
      <c r="AC20" s="85">
        <v>306.0</v>
      </c>
      <c r="AD20" s="592">
        <f>IF(B20="","",(((C20+F20+H20+K20+Q20+N20+O20)*50))+((E20*10))+(((I20+J20+D20+G20+L20+M20+U20)*25)+(X20*25)+(Y20*25)+(Z20*25)+(AA20*25)+(AB20*40)+(AC20*50)+(R20*1)+(S20*1)+(T20*1)))</f>
        <v>237598</v>
      </c>
      <c r="AE20" s="55">
        <f>IF(B20="","",C20+F20+H20+K20+Q20+N20+O20+((I20+J20+D20+G20+U20)/2)+(R20/50)+(S20/50)+(T20/50)+(E20/5))</f>
        <v>3951.46000000000004</v>
      </c>
      <c r="AF20" s="56">
        <f>IF(B20="","",((AE20*50)/AD20))</f>
        <v>0.83154319480804</v>
      </c>
      <c r="AG20" s="57">
        <f>IF(C20="","",((Z20)*25)/AD20)</f>
        <v>0</v>
      </c>
      <c r="AH20" s="57">
        <f>IF(B20="","",(X20*25)/AD20)</f>
        <v>0</v>
      </c>
      <c r="AI20" s="57">
        <f>IF(B20="","",(Y20*25)/AD20)</f>
        <v>0.0024200540408589</v>
      </c>
      <c r="AJ20" s="57">
        <f>IF(B20="","",(AA20*25)/AD20)</f>
        <v>0.034301635535653</v>
      </c>
      <c r="AK20" s="58">
        <f>IF(B20="","",(AB20*40)/AD20)</f>
        <v>0.067340634180422</v>
      </c>
      <c r="AL20" s="58">
        <f>IF(B20="","",(AC20*50)/AD20)</f>
        <v>0.064394481435029</v>
      </c>
      <c r="AM20" s="59">
        <f>IF(B20="","",B20)</f>
        <v>46106</v>
      </c>
      <c r="AN20" s="82">
        <v>24</v>
      </c>
      <c r="AO20" s="82">
        <f>+AN20-AP20</f>
        <v>23.75</v>
      </c>
      <c r="AP20" s="234">
        <v>0.25</v>
      </c>
      <c r="AQ20" s="63">
        <f>IF(AN20="","",AN20/AO20)</f>
        <v>1.010526315789474</v>
      </c>
      <c r="AR20" s="64">
        <f>IF(AN20="","",(AD20/AN20)/1000)</f>
        <v>9.89991666666667</v>
      </c>
      <c r="AS20" s="64">
        <f>IF(AN20="","",AR20*24)</f>
        <v>237.59799999999998</v>
      </c>
      <c r="AT20" s="65">
        <f>IF(AN20="","",(AD20/1000)*100%/AS20)</f>
        <v>1</v>
      </c>
      <c r="AU20" s="64">
        <f>IF(AN20="","",(AE20/AN20))</f>
        <v>164.64416666666668</v>
      </c>
      <c r="AV20" s="229">
        <f>IF(AN20="","",(AD20/AO20)/1000)</f>
        <v>10.004126315789474</v>
      </c>
      <c r="AW20" s="714"/>
      <c r="AX20" s="714"/>
      <c r="AY20" s="714"/>
      <c r="AZ20" s="723"/>
      <c r="BA20" s="714"/>
      <c r="BB20" s="725"/>
      <c r="BC20" s="727"/>
      <c r="BD20" s="727"/>
      <c r="BE20" s="727"/>
      <c r="BF20" s="729"/>
    </row>
    <row r="21" spans="1:58" customHeight="1" ht="13.9">
      <c r="A21" s="485">
        <f>IF(B21="","",1+A20)</f>
        <v>19</v>
      </c>
      <c r="B21" s="68">
        <v>46107</v>
      </c>
      <c r="C21" s="69">
        <v>1040.0</v>
      </c>
      <c r="D21" s="70"/>
      <c r="E21" s="76">
        <v>300.0</v>
      </c>
      <c r="F21" s="70"/>
      <c r="G21" s="76"/>
      <c r="H21" s="70"/>
      <c r="I21" s="491">
        <v>868</v>
      </c>
      <c r="J21" s="491">
        <v>80</v>
      </c>
      <c r="K21" s="70"/>
      <c r="L21" s="494"/>
      <c r="M21" s="494"/>
      <c r="N21" s="76"/>
      <c r="O21" s="76"/>
      <c r="P21" s="467"/>
      <c r="Q21" s="412"/>
      <c r="R21" s="410">
        <v>32960.0</v>
      </c>
      <c r="S21" s="242">
        <v>5760</v>
      </c>
      <c r="T21" s="401"/>
      <c r="U21" s="407"/>
      <c r="V21" s="249"/>
      <c r="W21" s="401"/>
      <c r="X21" s="278"/>
      <c r="Y21" s="78"/>
      <c r="Z21" s="403"/>
      <c r="AA21" s="281">
        <v>175.0</v>
      </c>
      <c r="AB21" s="79">
        <v>395.0</v>
      </c>
      <c r="AC21" s="85">
        <v>55.0</v>
      </c>
      <c r="AD21" s="592">
        <f>IF(B21="","",(((C21+F21+H21+K21+Q21+N21+O21)*50))+((E21*10))+(((I21+J21+D21+G21+L21+M21+U21)*25)+(X21*25)+(Y21*25)+(Z21*25)+(AA21*25)+(AB21*40)+(AC21*50)+(R21*1)+(S21*1)+(T21*1)))</f>
        <v>140345</v>
      </c>
      <c r="AE21" s="55">
        <f>IF(B21="","",C21+F21+H21+K21+Q21+N21+O21+((I21+J21+D21+G21+U21)/2)+(R21/50)+(S21/50)+(T21/50)+(E21/5))</f>
        <v>2348.39999999999964</v>
      </c>
      <c r="AF21" s="56">
        <f>IF(B21="","",((AE21*50)/AD21))</f>
        <v>0.8366525348249</v>
      </c>
      <c r="AG21" s="57">
        <f>IF(C21="","",((Z21)*25)/AD21)</f>
        <v>0</v>
      </c>
      <c r="AH21" s="57">
        <f>IF(B21="","",(X21*25)/AD21)</f>
        <v>0</v>
      </c>
      <c r="AI21" s="57">
        <f>IF(B21="","",(Y21*25)/AD21)</f>
        <v>0</v>
      </c>
      <c r="AJ21" s="57">
        <f>IF(B21="","",(AA21*25)/AD21)</f>
        <v>0.031173180376928</v>
      </c>
      <c r="AK21" s="58">
        <f>IF(B21="","",(AB21*40)/AD21)</f>
        <v>0.11257971427554</v>
      </c>
      <c r="AL21" s="58">
        <f>IF(B21="","",(AC21*50)/AD21)</f>
        <v>0.019594570522641</v>
      </c>
      <c r="AM21" s="59">
        <f>IF(B21="","",B21)</f>
        <v>46107</v>
      </c>
      <c r="AN21" s="82">
        <v>24</v>
      </c>
      <c r="AO21" s="82">
        <f>+AN21-AP21</f>
        <v>23.58333333333333</v>
      </c>
      <c r="AP21" s="234">
        <v>0.41666666666667</v>
      </c>
      <c r="AQ21" s="63">
        <f>IF(AN21="","",AN21/AO21)</f>
        <v>1.017667844522968</v>
      </c>
      <c r="AR21" s="64">
        <f>IF(AN21="","",(AD21/AN21)/1000)</f>
        <v>5.84770833333333</v>
      </c>
      <c r="AS21" s="64">
        <f>IF(AN21="","",AR21*24)</f>
        <v>140.345</v>
      </c>
      <c r="AT21" s="65">
        <f>IF(AN21="","",(AD21/1000)*100%/AS21)</f>
        <v>1</v>
      </c>
      <c r="AU21" s="64">
        <f>IF(AN21="","",(AE21/AN21))</f>
        <v>97.84999999999998</v>
      </c>
      <c r="AV21" s="229">
        <f>IF(AN21="","",(AD21/AO21)/1000)</f>
        <v>5.95102473498233</v>
      </c>
      <c r="AW21" s="714"/>
      <c r="AX21" s="714"/>
      <c r="AY21" s="714"/>
      <c r="AZ21" s="723"/>
      <c r="BA21" s="714"/>
      <c r="BB21" s="725"/>
      <c r="BC21" s="727"/>
      <c r="BD21" s="727"/>
      <c r="BE21" s="727"/>
      <c r="BF21" s="729"/>
    </row>
    <row r="22" spans="1:58" customHeight="1" ht="13.9">
      <c r="A22" s="485">
        <f>IF(B22="","",1+A21)</f>
        <v>20</v>
      </c>
      <c r="B22" s="68">
        <v>46108</v>
      </c>
      <c r="C22" s="69">
        <v>1040.0</v>
      </c>
      <c r="D22" s="70"/>
      <c r="E22" s="76">
        <v>100.0</v>
      </c>
      <c r="F22" s="70"/>
      <c r="G22" s="76">
        <v>178.0</v>
      </c>
      <c r="H22" s="70"/>
      <c r="I22" s="76"/>
      <c r="J22" s="76"/>
      <c r="K22" s="70"/>
      <c r="L22" s="494"/>
      <c r="M22" s="494"/>
      <c r="N22" s="76"/>
      <c r="O22" s="76"/>
      <c r="P22" s="467"/>
      <c r="Q22" s="412">
        <v>266</v>
      </c>
      <c r="R22" s="410">
        <v>30816.0</v>
      </c>
      <c r="S22" s="242">
        <v>47328.0</v>
      </c>
      <c r="T22" s="401">
        <v>21040.0</v>
      </c>
      <c r="U22" s="407"/>
      <c r="V22" s="249"/>
      <c r="W22" s="401"/>
      <c r="X22" s="278"/>
      <c r="Y22" s="78"/>
      <c r="Z22" s="403"/>
      <c r="AA22" s="281">
        <v>223.0</v>
      </c>
      <c r="AB22" s="79">
        <v>543.0</v>
      </c>
      <c r="AC22" s="85">
        <v>357.0</v>
      </c>
      <c r="AD22" s="620">
        <f>IF(B22="","",(((C22+F22+H22+K22+Q22+N22+O22)*50))+((E22*10))+(((I22+J22+D22+G22+L22+M22+U22)*25)+(X22*25)+(Y22*25)+(Z22*25)+(AA22*25)+(AB22*40)+(AC22*50)+(R22*1)+(S22*1)+(T22*1)))</f>
        <v>215079</v>
      </c>
      <c r="AE22" s="55">
        <f>IF(B22="","",C22+F22+H22+K22+Q22+N22+O22+((I22+J22+D22+G22+U22)/2)+(R22/50)+(S22/50)+(T22/50)+(E22/5))</f>
        <v>3398.68000000000029</v>
      </c>
      <c r="AF22" s="56">
        <f>IF(B22="","",((AE22*50)/AD22))</f>
        <v>0.79010038172021</v>
      </c>
      <c r="AG22" s="57">
        <f>IF(C22="","",((Z22)*25)/AD22)</f>
        <v>0</v>
      </c>
      <c r="AH22" s="57">
        <f>IF(B22="","",(X22*25)/AD22)</f>
        <v>0</v>
      </c>
      <c r="AI22" s="57">
        <f>IF(B22="","",(Y22*25)/AD22)</f>
        <v>0</v>
      </c>
      <c r="AJ22" s="57">
        <f>IF(B22="","",(AA22*25)/AD22)</f>
        <v>0.025920708204892</v>
      </c>
      <c r="AK22" s="58">
        <f>IF(B22="","",(AB22*40)/AD22)</f>
        <v>0.10098614927538</v>
      </c>
      <c r="AL22" s="58">
        <f>IF(B22="","",(AC22*50)/AD22)</f>
        <v>0.08299276079952</v>
      </c>
      <c r="AM22" s="59">
        <f>IF(B22="","",B22)</f>
        <v>46108</v>
      </c>
      <c r="AN22" s="82">
        <v>24</v>
      </c>
      <c r="AO22" s="82">
        <f>+AN22-AP22</f>
        <v>21.41666666666667</v>
      </c>
      <c r="AP22" s="234">
        <v>2.58333333333333</v>
      </c>
      <c r="AQ22" s="63">
        <f>IF(AN22="","",AN22/AO22)</f>
        <v>1.12062256809339</v>
      </c>
      <c r="AR22" s="64">
        <f>IF(AN22="","",(AD22/AN22)/1000)</f>
        <v>8.961625</v>
      </c>
      <c r="AS22" s="64">
        <f>IF(AN22="","",AR22*24)</f>
        <v>215.079000000000008</v>
      </c>
      <c r="AT22" s="65">
        <f>IF(AN22="","",(AD22/1000)*100%/AS22)</f>
        <v>1</v>
      </c>
      <c r="AU22" s="64">
        <f>IF(AN22="","",(AE22/AN22))</f>
        <v>141.61166666666668</v>
      </c>
      <c r="AV22" s="229">
        <f>IF(AN22="","",(AD22/AO22)/1000)</f>
        <v>10.04259922178988</v>
      </c>
      <c r="AW22" s="714"/>
      <c r="AX22" s="714"/>
      <c r="AY22" s="714"/>
      <c r="AZ22" s="723"/>
      <c r="BA22" s="714"/>
      <c r="BB22" s="725"/>
      <c r="BC22" s="727"/>
      <c r="BD22" s="727"/>
      <c r="BE22" s="727"/>
      <c r="BF22" s="729"/>
    </row>
    <row r="23" spans="1:58" customHeight="1" ht="13.9">
      <c r="A23" s="485">
        <f>IF(B23="","",1+A22)</f>
        <v>21</v>
      </c>
      <c r="B23" s="68">
        <v>46111</v>
      </c>
      <c r="C23" s="69">
        <v>1300.0</v>
      </c>
      <c r="D23" s="70"/>
      <c r="E23" s="76"/>
      <c r="F23" s="70">
        <v>350.0</v>
      </c>
      <c r="G23" s="76">
        <v>300.0</v>
      </c>
      <c r="H23" s="70"/>
      <c r="I23" s="76"/>
      <c r="J23" s="76"/>
      <c r="K23" s="70"/>
      <c r="L23" s="494"/>
      <c r="M23" s="494"/>
      <c r="N23" s="76"/>
      <c r="O23" s="76"/>
      <c r="P23" s="467"/>
      <c r="Q23" s="412"/>
      <c r="R23" s="410">
        <v>26256.0</v>
      </c>
      <c r="S23" s="242"/>
      <c r="T23" s="401"/>
      <c r="U23" s="407"/>
      <c r="V23" s="249"/>
      <c r="W23" s="401"/>
      <c r="X23" s="278"/>
      <c r="Y23" s="78"/>
      <c r="Z23" s="403"/>
      <c r="AA23" s="281">
        <v>174.0</v>
      </c>
      <c r="AB23" s="79">
        <v>240.0</v>
      </c>
      <c r="AC23" s="85">
        <v>50.0</v>
      </c>
      <c r="AD23" s="55">
        <f>IF(B23="","",(((C23+F23+H23+K23+Q23+N23+O23)*50))+((E23*10))+(((I23+J23+D23+G23+L23+M23+U23)*25)+(X23*25)+(Y23*25)+(Z23*25)+(AA23*25)+(AB23*40)+(AC23*50)+(R23*1)+(S23*1)+(T23*1)))</f>
        <v>132706</v>
      </c>
      <c r="AE23" s="55">
        <f>IF(B23="","",C23+F23+H23+K23+Q23+N23+O23+((I23+J23+D23+G23+U23)/2)+(R23/50)+(S23/50)+(T23/50)+(E23/5))</f>
        <v>2325.11999999999989</v>
      </c>
      <c r="AF23" s="56">
        <f>IF(B23="","",((AE23*50)/AD23))</f>
        <v>0.87604177655871</v>
      </c>
      <c r="AG23" s="57">
        <f>IF(C23="","",((Z23)*25)/AD23)</f>
        <v>0</v>
      </c>
      <c r="AH23" s="57">
        <f>IF(B23="","",(X23*25)/AD23)</f>
        <v>0</v>
      </c>
      <c r="AI23" s="57">
        <f>IF(B23="","",(Y23*25)/AD23)</f>
        <v>0</v>
      </c>
      <c r="AJ23" s="57">
        <f>IF(B23="","",(AA23*25)/AD23)</f>
        <v>0.032779226259551</v>
      </c>
      <c r="AK23" s="58">
        <f>IF(B23="","",(AB23*40)/AD23)</f>
        <v>0.072340361400389</v>
      </c>
      <c r="AL23" s="58">
        <f>IF(B23="","",(AC23*50)/AD23)</f>
        <v>0.018838635781351</v>
      </c>
      <c r="AM23" s="59">
        <f>IF(B23="","",B23)</f>
        <v>46111</v>
      </c>
      <c r="AN23" s="82">
        <v>24</v>
      </c>
      <c r="AO23" s="82">
        <f>+AN23-AP23</f>
        <v>24</v>
      </c>
      <c r="AP23" s="234">
        <v>0</v>
      </c>
      <c r="AQ23" s="63">
        <f>IF(AN23="","",AN23/AO23)</f>
        <v>1</v>
      </c>
      <c r="AR23" s="64">
        <f>IF(AN23="","",(AD23/AN23)/1000)</f>
        <v>5.52941666666667</v>
      </c>
      <c r="AS23" s="64">
        <f>IF(AN23="","",AR23*24)</f>
        <v>132.70600000000002</v>
      </c>
      <c r="AT23" s="65">
        <f>IF(AN23="","",(AD23/1000)*100%/AS23)</f>
        <v>1</v>
      </c>
      <c r="AU23" s="64">
        <f>IF(AN23="","",(AE23/AN23))</f>
        <v>96.88</v>
      </c>
      <c r="AV23" s="229">
        <f>IF(AN23="","",(AD23/AO23)/1000)</f>
        <v>5.52941666666667</v>
      </c>
      <c r="AW23" s="714"/>
      <c r="AX23" s="714"/>
      <c r="AY23" s="714"/>
      <c r="AZ23" s="723"/>
      <c r="BA23" s="714"/>
      <c r="BB23" s="725"/>
      <c r="BC23" s="727"/>
      <c r="BD23" s="727"/>
      <c r="BE23" s="727"/>
      <c r="BF23" s="729"/>
    </row>
    <row r="24" spans="1:58" customHeight="1" ht="13.9">
      <c r="A24" s="485" t="str">
        <f>IF(B24="","",1+A23)</f>
        <v/>
      </c>
      <c r="B24" s="68"/>
      <c r="C24" s="69">
        <v>100.0</v>
      </c>
      <c r="D24" s="70">
        <v>1002.0</v>
      </c>
      <c r="E24" s="76">
        <v>201.0</v>
      </c>
      <c r="F24" s="70"/>
      <c r="G24" s="76"/>
      <c r="H24" s="70">
        <v>575.0</v>
      </c>
      <c r="I24" s="76">
        <v>2000.0</v>
      </c>
      <c r="J24" s="76"/>
      <c r="K24" s="70"/>
      <c r="L24" s="494"/>
      <c r="M24" s="494"/>
      <c r="N24" s="76"/>
      <c r="O24" s="76"/>
      <c r="P24" s="467"/>
      <c r="Q24" s="412"/>
      <c r="R24" s="410">
        <v>76608.0</v>
      </c>
      <c r="S24" s="242"/>
      <c r="T24" s="401"/>
      <c r="U24" s="407"/>
      <c r="V24" s="249"/>
      <c r="W24" s="401"/>
      <c r="X24" s="278"/>
      <c r="Y24" s="78"/>
      <c r="Z24" s="403"/>
      <c r="AA24" s="281">
        <v>304.0</v>
      </c>
      <c r="AB24" s="79">
        <v>531.0</v>
      </c>
      <c r="AC24" s="85">
        <v>19.0</v>
      </c>
      <c r="AD24" s="55" t="str">
        <f>IF(B24="","",(((C24+F24+H24+K24+Q24+N24+O24)*50))+((E24*10))+(((I24+J24+D24+G24+L24+M24+U24)*25)+(X24*25)+(Y24*25)+(Z24*25)+(AA24*25)+(AB24*40)+(AC24*50)+(R24*1)+(S24*1)+(T24*1)))</f>
        <v/>
      </c>
      <c r="AE24" s="55" t="str">
        <f>IF(B24="","",C24+F24+H24+K24+Q24+N24+O24+((I24+J24+D24+G24+U24)/2)+(R24/50)+(S24/50)+(T24/50)+(E24/5))</f>
        <v/>
      </c>
      <c r="AF24" s="56" t="str">
        <f>IF(B24="","",((AE24*50)/AD24))</f>
        <v/>
      </c>
      <c r="AG24" s="57" t="e">
        <f>IF(C24="","",((Z24)*25)/AD24)</f>
        <v>#VALUE!</v>
      </c>
      <c r="AH24" s="57" t="str">
        <f>IF(B24="","",(X24*25)/AD24)</f>
        <v/>
      </c>
      <c r="AI24" s="57" t="str">
        <f>IF(B24="","",(Y24*25)/AD24)</f>
        <v/>
      </c>
      <c r="AJ24" s="57" t="str">
        <f>IF(B24="","",(AA24*25)/AD24)</f>
        <v/>
      </c>
      <c r="AK24" s="58" t="str">
        <f>IF(B24="","",(AB24*40)/AD24)</f>
        <v/>
      </c>
      <c r="AL24" s="58" t="str">
        <f>IF(B24="","",(AC24*50)/AD24)</f>
        <v/>
      </c>
      <c r="AM24" s="59" t="str">
        <f>IF(B24="","",B24)</f>
        <v/>
      </c>
      <c r="AN24" s="82"/>
      <c r="AO24" s="82"/>
      <c r="AP24" s="234"/>
      <c r="AQ24" s="63" t="str">
        <f>IF(AN24="","",AN24/AO24)</f>
        <v/>
      </c>
      <c r="AR24" s="64" t="str">
        <f>IF(AN24="","",(AD24/AN24)/1000)</f>
        <v/>
      </c>
      <c r="AS24" s="64" t="str">
        <f>IF(AN24="","",AR24*24)</f>
        <v/>
      </c>
      <c r="AT24" s="65" t="str">
        <f>IF(AN24="","",(AD24/1000)*100%/AS24)</f>
        <v/>
      </c>
      <c r="AU24" s="64" t="str">
        <f>IF(AN24="","",(AE24/AN24))</f>
        <v/>
      </c>
      <c r="AV24" s="229" t="str">
        <f>IF(AN24="","",(AD24/AO24)/1000)</f>
        <v/>
      </c>
      <c r="AW24" s="714"/>
      <c r="AX24" s="714"/>
      <c r="AY24" s="714"/>
      <c r="AZ24" s="723"/>
      <c r="BA24" s="714"/>
      <c r="BB24" s="725"/>
      <c r="BC24" s="727"/>
      <c r="BD24" s="727"/>
      <c r="BE24" s="727"/>
      <c r="BF24" s="729"/>
    </row>
    <row r="25" spans="1:58" customHeight="1" ht="13.9">
      <c r="A25" s="485"/>
      <c r="B25" s="68"/>
      <c r="C25" s="415">
        <v>1866.0</v>
      </c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>
        <v>43376.0</v>
      </c>
      <c r="S25" s="242">
        <v>24192.0</v>
      </c>
      <c r="T25" s="401"/>
      <c r="U25" s="407"/>
      <c r="V25" s="249"/>
      <c r="W25" s="401"/>
      <c r="X25" s="278"/>
      <c r="Y25" s="78">
        <v>8.0</v>
      </c>
      <c r="Z25" s="403"/>
      <c r="AA25" s="281">
        <v>220.0</v>
      </c>
      <c r="AB25" s="79">
        <v>401.0</v>
      </c>
      <c r="AC25" s="85">
        <v>21.0</v>
      </c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e">
        <f>IF(C25="","",((Z25)*25)/AD25)</f>
        <v>#VALUE!</v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492" t="str">
        <f>IF(AN25="","",(AD25/AO25)/1000)</f>
        <v/>
      </c>
      <c r="AW25" s="714"/>
      <c r="AX25" s="714"/>
      <c r="AY25" s="714"/>
      <c r="AZ25" s="723"/>
      <c r="BA25" s="714"/>
      <c r="BB25" s="725"/>
      <c r="BC25" s="727"/>
      <c r="BD25" s="727"/>
      <c r="BE25" s="727"/>
      <c r="BF25" s="729"/>
    </row>
    <row r="26" spans="1:58" customHeight="1" ht="13.9">
      <c r="A26" s="485"/>
      <c r="B26" s="68"/>
      <c r="C26" s="69">
        <v>366.0</v>
      </c>
      <c r="D26" s="70">
        <v>999.0</v>
      </c>
      <c r="E26" s="76"/>
      <c r="F26" s="70">
        <v>388.0</v>
      </c>
      <c r="G26" s="76">
        <v>200.0</v>
      </c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>
        <v>12288.0</v>
      </c>
      <c r="S26" s="242">
        <v>11008.0</v>
      </c>
      <c r="T26" s="401"/>
      <c r="U26" s="407"/>
      <c r="V26" s="249"/>
      <c r="W26" s="401"/>
      <c r="X26" s="278"/>
      <c r="Y26" s="78">
        <v>9.0</v>
      </c>
      <c r="Z26" s="403"/>
      <c r="AA26" s="281">
        <v>216.0</v>
      </c>
      <c r="AB26" s="79">
        <v>376.0</v>
      </c>
      <c r="AC26" s="85">
        <v>199.0</v>
      </c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e">
        <f>IF(C26="","",((Z26)*25)/AD26)</f>
        <v>#VALUE!</v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229" t="str">
        <f>IF(AN26="","",(AD26/AO26)/1000)</f>
        <v/>
      </c>
      <c r="AW26" s="714"/>
      <c r="AX26" s="714"/>
      <c r="AY26" s="714"/>
      <c r="AZ26" s="723"/>
      <c r="BA26" s="714"/>
      <c r="BB26" s="725"/>
      <c r="BC26" s="727"/>
      <c r="BD26" s="727"/>
      <c r="BE26" s="727"/>
      <c r="BF26" s="729"/>
    </row>
    <row r="27" spans="1:58" customHeight="1" ht="13.9">
      <c r="A27" s="485"/>
      <c r="B27" s="68"/>
      <c r="C27" s="69">
        <v>1040.0</v>
      </c>
      <c r="D27" s="70">
        <v>50.0</v>
      </c>
      <c r="E27" s="76">
        <v>200.0</v>
      </c>
      <c r="F27" s="70">
        <v>407.0</v>
      </c>
      <c r="G27" s="76">
        <v>200.0</v>
      </c>
      <c r="H27" s="70"/>
      <c r="I27" s="76">
        <v>660.0</v>
      </c>
      <c r="J27" s="76"/>
      <c r="K27" s="70">
        <v>10752.0</v>
      </c>
      <c r="L27" s="494"/>
      <c r="M27" s="494"/>
      <c r="N27" s="76"/>
      <c r="O27" s="76"/>
      <c r="P27" s="467"/>
      <c r="Q27" s="412"/>
      <c r="R27" s="410">
        <v>54052.0</v>
      </c>
      <c r="S27" s="242">
        <v>23520.0</v>
      </c>
      <c r="T27" s="401"/>
      <c r="U27" s="407"/>
      <c r="V27" s="249"/>
      <c r="W27" s="401"/>
      <c r="X27" s="278"/>
      <c r="Y27" s="78">
        <v>40.0</v>
      </c>
      <c r="Z27" s="403"/>
      <c r="AA27" s="281">
        <v>154.0</v>
      </c>
      <c r="AB27" s="79">
        <v>235.0</v>
      </c>
      <c r="AC27" s="85">
        <v>50.0</v>
      </c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e">
        <f>IF(C27="","",((Z27)*25)/AD27)</f>
        <v>#VALUE!</v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23"/>
      <c r="BA27" s="714"/>
      <c r="BB27" s="725"/>
      <c r="BC27" s="727"/>
      <c r="BD27" s="727"/>
      <c r="BE27" s="727"/>
      <c r="BF27" s="729"/>
    </row>
    <row r="28" spans="1:58">
      <c r="A28" s="41"/>
      <c r="B28" s="68"/>
      <c r="C28" s="69">
        <v>1040.0</v>
      </c>
      <c r="D28" s="70"/>
      <c r="E28" s="76"/>
      <c r="F28" s="70"/>
      <c r="G28" s="76"/>
      <c r="H28" s="70"/>
      <c r="I28" s="75">
        <v>355.0</v>
      </c>
      <c r="J28" s="75"/>
      <c r="K28" s="70"/>
      <c r="L28" s="494"/>
      <c r="M28" s="494"/>
      <c r="N28" s="76"/>
      <c r="O28" s="76"/>
      <c r="P28" s="467"/>
      <c r="Q28" s="412"/>
      <c r="R28" s="410">
        <v>51224.0</v>
      </c>
      <c r="S28" s="242">
        <v>44112.0</v>
      </c>
      <c r="T28" s="401"/>
      <c r="U28" s="407"/>
      <c r="V28" s="249"/>
      <c r="W28" s="401"/>
      <c r="X28" s="278"/>
      <c r="Y28" s="78"/>
      <c r="Z28" s="403"/>
      <c r="AA28" s="281">
        <v>157.0</v>
      </c>
      <c r="AB28" s="79">
        <v>260.0</v>
      </c>
      <c r="AC28" s="85">
        <v>65.0</v>
      </c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e">
        <f>IF(C28="","",((Z28)*25)/AD28)</f>
        <v>#VALUE!</v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23"/>
      <c r="BA28" s="714"/>
      <c r="BB28" s="725"/>
      <c r="BC28" s="727"/>
      <c r="BD28" s="727"/>
      <c r="BE28" s="727"/>
      <c r="BF28" s="729"/>
    </row>
    <row r="29" spans="1:58">
      <c r="A29" s="41"/>
      <c r="B29" s="68"/>
      <c r="C29" s="69">
        <v>2080.0</v>
      </c>
      <c r="D29" s="70"/>
      <c r="E29" s="76"/>
      <c r="F29" s="70"/>
      <c r="G29" s="430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>
        <v>58240.0</v>
      </c>
      <c r="S29" s="242">
        <v>19894.0</v>
      </c>
      <c r="T29" s="401"/>
      <c r="U29" s="407"/>
      <c r="V29" s="249"/>
      <c r="W29" s="401"/>
      <c r="X29" s="278"/>
      <c r="Y29" s="78"/>
      <c r="Z29" s="403"/>
      <c r="AA29" s="281">
        <v>182.0</v>
      </c>
      <c r="AB29" s="79">
        <v>424.0</v>
      </c>
      <c r="AC29" s="85">
        <v>94.0</v>
      </c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e">
        <f>IF(C29="","",((Z29)*25)/AD29)</f>
        <v>#VALUE!</v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23"/>
      <c r="BA29" s="714"/>
      <c r="BB29" s="725"/>
      <c r="BC29" s="727"/>
      <c r="BD29" s="727"/>
      <c r="BE29" s="727"/>
      <c r="BF29" s="729"/>
    </row>
    <row r="30" spans="1:58">
      <c r="A30" s="41" t="str">
        <f>IF(B30="","",1+A29)</f>
        <v/>
      </c>
      <c r="B30" s="425"/>
      <c r="C30" s="426">
        <v>1070.0</v>
      </c>
      <c r="D30" s="427"/>
      <c r="E30" s="428"/>
      <c r="F30" s="460"/>
      <c r="G30" s="459"/>
      <c r="H30" s="427"/>
      <c r="I30" s="429">
        <v>2064.0</v>
      </c>
      <c r="J30" s="429"/>
      <c r="K30" s="427"/>
      <c r="L30" s="495"/>
      <c r="M30" s="495"/>
      <c r="N30" s="430"/>
      <c r="O30" s="430"/>
      <c r="P30" s="468"/>
      <c r="Q30" s="431"/>
      <c r="R30" s="432">
        <v>26400.0</v>
      </c>
      <c r="S30" s="433"/>
      <c r="T30" s="434"/>
      <c r="U30" s="435"/>
      <c r="V30" s="436"/>
      <c r="W30" s="434"/>
      <c r="X30" s="279"/>
      <c r="Y30" s="437">
        <v>8.0</v>
      </c>
      <c r="Z30" s="438"/>
      <c r="AA30" s="439">
        <v>161.0</v>
      </c>
      <c r="AB30" s="440">
        <v>250.0</v>
      </c>
      <c r="AC30" s="441">
        <v>45.0</v>
      </c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e">
        <f>IF(C30="","",((Z30)*25)/AD30)</f>
        <v>#VALUE!</v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443"/>
      <c r="AO30" s="444"/>
      <c r="AP30" s="445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23"/>
      <c r="BA30" s="714"/>
      <c r="BB30" s="725"/>
      <c r="BC30" s="727"/>
      <c r="BD30" s="727"/>
      <c r="BE30" s="727"/>
      <c r="BF30" s="729"/>
    </row>
    <row r="31" spans="1:58">
      <c r="A31" s="41" t="str">
        <f>IF(B31="","",1+A30)</f>
        <v/>
      </c>
      <c r="B31" s="425"/>
      <c r="C31" s="426">
        <v>1060.0</v>
      </c>
      <c r="D31" s="427"/>
      <c r="E31" s="428"/>
      <c r="F31" s="460"/>
      <c r="G31" s="428"/>
      <c r="H31" s="427"/>
      <c r="I31" s="429">
        <v>1024.0</v>
      </c>
      <c r="J31" s="429"/>
      <c r="K31" s="427"/>
      <c r="L31" s="495"/>
      <c r="M31" s="495"/>
      <c r="N31" s="430"/>
      <c r="O31" s="430"/>
      <c r="P31" s="468"/>
      <c r="Q31" s="431"/>
      <c r="R31" s="432">
        <v>7664.0</v>
      </c>
      <c r="S31" s="433"/>
      <c r="T31" s="434"/>
      <c r="U31" s="435"/>
      <c r="V31" s="436"/>
      <c r="W31" s="434"/>
      <c r="X31" s="279"/>
      <c r="Y31" s="437">
        <v>9.0</v>
      </c>
      <c r="Z31" s="438"/>
      <c r="AA31" s="439">
        <v>121.0</v>
      </c>
      <c r="AB31" s="440">
        <v>238.0</v>
      </c>
      <c r="AC31" s="441">
        <v>53.0</v>
      </c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e">
        <f>IF(C31="","",((Z31)*25)/AD31)</f>
        <v>#VALUE!</v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23"/>
      <c r="BA31" s="714"/>
      <c r="BB31" s="725"/>
      <c r="BC31" s="727"/>
      <c r="BD31" s="727"/>
      <c r="BE31" s="727"/>
      <c r="BF31" s="729"/>
    </row>
    <row r="32" spans="1:58">
      <c r="A32" s="41" t="str">
        <f>IF(B32="","",1+A31)</f>
        <v/>
      </c>
      <c r="B32" s="425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>
        <v>70096.0</v>
      </c>
      <c r="S32" s="433">
        <v>26160.0</v>
      </c>
      <c r="T32" s="434"/>
      <c r="U32" s="435"/>
      <c r="V32" s="436"/>
      <c r="W32" s="434"/>
      <c r="X32" s="279"/>
      <c r="Y32" s="437"/>
      <c r="Z32" s="438"/>
      <c r="AA32" s="439">
        <v>148.0</v>
      </c>
      <c r="AB32" s="440">
        <v>338.0</v>
      </c>
      <c r="AC32" s="441">
        <v>183.0</v>
      </c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23"/>
      <c r="BA32" s="714"/>
      <c r="BB32" s="725"/>
      <c r="BC32" s="727"/>
      <c r="BD32" s="727"/>
      <c r="BE32" s="727"/>
      <c r="BF32" s="729"/>
    </row>
    <row r="33" spans="1:58">
      <c r="A33" s="41" t="str">
        <f>IF(B33="","",1+A32)</f>
        <v/>
      </c>
      <c r="B33" s="425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23"/>
      <c r="BA33" s="714"/>
      <c r="BB33" s="725"/>
      <c r="BC33" s="727"/>
      <c r="BD33" s="727"/>
      <c r="BE33" s="727"/>
      <c r="BF33" s="729"/>
    </row>
    <row r="34" spans="1:58">
      <c r="A34" s="41" t="str">
        <f>IF(B34="","",1+A33)</f>
        <v/>
      </c>
      <c r="B34" s="442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452"/>
      <c r="AX34" s="452"/>
      <c r="AY34" s="452"/>
      <c r="AZ34" s="144"/>
      <c r="BA34" s="452"/>
      <c r="BB34" s="455"/>
      <c r="BC34" s="142"/>
      <c r="BD34" s="142"/>
      <c r="BE34" s="142"/>
      <c r="BF34" s="283"/>
    </row>
    <row r="35" spans="1:58">
      <c r="A35" s="41" t="str">
        <f>IF(B35="","",1+A34)</f>
        <v/>
      </c>
      <c r="B35" s="95"/>
      <c r="C35" s="96"/>
      <c r="D35" s="387"/>
      <c r="E35" s="250"/>
      <c r="F35" s="461"/>
      <c r="G35" s="100"/>
      <c r="H35" s="97"/>
      <c r="I35" s="101"/>
      <c r="J35" s="101"/>
      <c r="K35" s="97"/>
      <c r="L35" s="496"/>
      <c r="M35" s="496"/>
      <c r="N35" s="102"/>
      <c r="O35" s="102"/>
      <c r="P35" s="469"/>
      <c r="Q35" s="413"/>
      <c r="R35" s="411"/>
      <c r="S35" s="243"/>
      <c r="T35" s="402"/>
      <c r="U35" s="408"/>
      <c r="V35" s="250"/>
      <c r="W35" s="402"/>
      <c r="X35" s="400"/>
      <c r="Y35" s="104"/>
      <c r="Z35" s="404"/>
      <c r="AA35" s="282"/>
      <c r="AB35" s="105"/>
      <c r="AC35" s="106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6"/>
      <c r="AO35" s="447"/>
      <c r="AP35" s="383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3"/>
      <c r="AX35" s="453"/>
      <c r="AY35" s="453"/>
      <c r="AZ35" s="454"/>
      <c r="BA35" s="453"/>
      <c r="BB35" s="456"/>
      <c r="BC35" s="457"/>
      <c r="BD35" s="457"/>
      <c r="BE35" s="457"/>
      <c r="BF35" s="458"/>
    </row>
    <row r="36" spans="1:58" customHeight="1" ht="13.9">
      <c r="A36" s="114"/>
      <c r="B36" s="115" t="s">
        <v>67</v>
      </c>
      <c r="C36" s="536">
        <f>SUM(C4:C35)</f>
        <v>27591</v>
      </c>
      <c r="D36" s="536">
        <f>SUM(D4:D35)</f>
        <v>8024</v>
      </c>
      <c r="E36" s="536">
        <f>SUM(E4:E35)</f>
        <v>1582</v>
      </c>
      <c r="F36" s="536">
        <f>SUM(F4:F35)</f>
        <v>5121</v>
      </c>
      <c r="G36" s="536">
        <f>SUM(G4:G35)</f>
        <v>4671</v>
      </c>
      <c r="H36" s="536">
        <f>SUM(H4:H35)</f>
        <v>2894</v>
      </c>
      <c r="I36" s="536">
        <f>SUM(I4:I35)</f>
        <v>17119</v>
      </c>
      <c r="J36" s="536">
        <f>SUM(J4:J35)</f>
        <v>580</v>
      </c>
      <c r="K36" s="536">
        <f>SUM(K4:K35)</f>
        <v>12300</v>
      </c>
      <c r="L36" s="535">
        <f>SUM(L4:L35)</f>
        <v>2657</v>
      </c>
      <c r="M36" s="535">
        <f>SUM(M4:M35)</f>
        <v>0</v>
      </c>
      <c r="N36" s="535">
        <f>SUM(N4:N35)</f>
        <v>0</v>
      </c>
      <c r="O36" s="535">
        <f>SUM(O4:O35)</f>
        <v>0</v>
      </c>
      <c r="P36" s="535">
        <f>SUM(P4:P35)</f>
        <v>0</v>
      </c>
      <c r="Q36" s="536">
        <f>SUM(Q4:Q35)</f>
        <v>266</v>
      </c>
      <c r="R36" s="536">
        <f>SUM(R4:R21)</f>
        <v>723020</v>
      </c>
      <c r="S36" s="536">
        <f>SUM(S4:S35)</f>
        <v>494636</v>
      </c>
      <c r="T36" s="536">
        <f>SUM(T4:T35)</f>
        <v>61856</v>
      </c>
      <c r="U36" s="535">
        <f>SUM(U4:U35)</f>
        <v>0</v>
      </c>
      <c r="V36" s="535">
        <f>SUM(V4:V35)</f>
        <v>0</v>
      </c>
      <c r="W36" s="535">
        <f>SUM(W4:W35)</f>
        <v>0</v>
      </c>
      <c r="X36" s="535">
        <f>SUM(X4:X35)</f>
        <v>0</v>
      </c>
      <c r="Y36" s="535">
        <f>SUM(Y4:Y35)</f>
        <v>218</v>
      </c>
      <c r="Z36" s="535">
        <f>SUM(Z4:Z35)</f>
        <v>0</v>
      </c>
      <c r="AA36" s="536">
        <f>SUM(AA4:AA35)</f>
        <v>5493</v>
      </c>
      <c r="AB36" s="536">
        <f>SUM(AB4:AB35)</f>
        <v>9241</v>
      </c>
      <c r="AC36" s="536">
        <f>SUM(AC4:AC35)</f>
        <v>2889</v>
      </c>
      <c r="AD36" s="593">
        <f>(SUM(AD4:AD35))/1000</f>
        <v>3638.20299999999997</v>
      </c>
      <c r="AE36" s="118">
        <f>SUM(AE4:AE35)</f>
        <v>62338.16000000000349</v>
      </c>
      <c r="AF36" s="602">
        <f>IF(AD41=0,"",((AE36*50)/1000)/AD36)</f>
        <v>0.85671635145153</v>
      </c>
      <c r="AG36" s="120">
        <f>IF(AD41=0,"",(Z36*50)/AD36)</f>
        <v>0</v>
      </c>
      <c r="AH36" s="6">
        <f>IF(AD41=0,"",(X36*25)/AD36)</f>
        <v>0</v>
      </c>
      <c r="AI36" s="119">
        <f>IF(AD41=0,"",(Y36*25)/AD36)</f>
        <v>1.49799227805595</v>
      </c>
      <c r="AJ36" s="119">
        <f>IF(AD41=0,"",(AA36*25)/AD36)</f>
        <v>37.74528249248324</v>
      </c>
      <c r="AK36" s="119">
        <f>IF(AD41=0,"",(AB36*40)/AD36)</f>
        <v>101.59960837809216</v>
      </c>
      <c r="AL36" s="119">
        <f>IF(AD41=0,"",(AC36*50)/AD36)</f>
        <v>39.703666892694</v>
      </c>
      <c r="AM36" s="115" t="s">
        <v>67</v>
      </c>
      <c r="AN36" s="121">
        <f>SUM(AN4:AN35)</f>
        <v>480</v>
      </c>
      <c r="AO36" s="121">
        <f>SUM(AO4:AO35)</f>
        <v>462.66666666666669</v>
      </c>
      <c r="AP36" s="121">
        <f>SUM(AP4:AP35)</f>
        <v>17.33333333333333</v>
      </c>
      <c r="AQ36" s="122">
        <f>IF(AN36=0,"",AN36/AO36)</f>
        <v>1.037463976945245</v>
      </c>
      <c r="AR36" s="122">
        <f>IF(AN36=0,"",(AD36/AN36)/1000)</f>
        <v>0.0075795895833333</v>
      </c>
      <c r="AS36" s="121">
        <f>IF(AN36=0,"",AR36*24)</f>
        <v>0.18191015</v>
      </c>
      <c r="AT36" s="123">
        <f>IF(AN36=0,"",AD41/(AS36*26))</f>
        <v>769.23076923076917</v>
      </c>
      <c r="AU36" s="121">
        <f>IF(AN36=0,"",(AE36/AN36))</f>
        <v>129.87116666666668</v>
      </c>
      <c r="AV36" s="122">
        <f>IF(AO36=0,"",(AD36/AO36)/1000)</f>
        <v>0.0078635511527378</v>
      </c>
      <c r="AW36" s="124">
        <f>SUM(AW4:AW35)/1000</f>
        <v>0</v>
      </c>
      <c r="AX36" s="124">
        <f>SUM(AX4:AX35)/1000</f>
        <v>2397.59999999999991</v>
      </c>
      <c r="AY36" s="124">
        <f>SUM(AY4:AY35)/1000</f>
        <v>1869.48800000000006</v>
      </c>
      <c r="AZ36" s="124">
        <f>SUM(AZ4)</f>
        <v>537016</v>
      </c>
      <c r="BA36" s="124">
        <f>SUM(BA4:BA35)</f>
        <v>59372</v>
      </c>
      <c r="BB36" s="124">
        <f>SUM(BB4:BB35)</f>
        <v>372195</v>
      </c>
      <c r="BC36" s="1">
        <f>SUM(BC4:BC35)/1000</f>
        <v>1400.50399999999991</v>
      </c>
      <c r="BD36" s="1">
        <f>SUM(BD4:BD35)/1000</f>
        <v>30.058</v>
      </c>
      <c r="BE36" s="1">
        <f>SUM(BE4:BE35)/1000</f>
        <v>409.38</v>
      </c>
      <c r="BF36" s="1">
        <f>SUM(BF4:BF35)/1000</f>
        <v>811.54399999999998</v>
      </c>
    </row>
    <row r="37" spans="1:58" customHeight="1" ht="25.15">
      <c r="A37" s="114"/>
      <c r="B37" s="617" t="s">
        <v>168</v>
      </c>
      <c r="C37" s="618">
        <f>(C36*50)/1000</f>
        <v>1379.54999999999995</v>
      </c>
      <c r="D37" s="618">
        <f>(D36*25)/1000</f>
        <v>200.59999999999999</v>
      </c>
      <c r="E37" s="618">
        <f>(E36*10)/1000</f>
        <v>15.82</v>
      </c>
      <c r="F37" s="618">
        <f>(F36*50)/1000</f>
        <v>256.050000000000011</v>
      </c>
      <c r="G37" s="618">
        <f>(G36*25)/1000</f>
        <v>116.77500000000001</v>
      </c>
      <c r="H37" s="618">
        <f>(H36*50)/1000</f>
        <v>144.69999999999999</v>
      </c>
      <c r="I37" s="618">
        <f>(I36*25)/1000</f>
        <v>427.97500000000002</v>
      </c>
      <c r="J37" s="618">
        <f>(J36*25)/1000</f>
        <v>14.5</v>
      </c>
      <c r="K37" s="618">
        <f>(K36*50)/1000</f>
        <v>615</v>
      </c>
      <c r="L37" s="618">
        <f>(L36*25)/1000</f>
        <v>66.425</v>
      </c>
      <c r="M37" s="618">
        <f>(M36*25)/1000</f>
        <v>0</v>
      </c>
      <c r="N37" s="618">
        <f>(N36*25)/1000</f>
        <v>0</v>
      </c>
      <c r="O37" s="618">
        <f>(O36*50)/1000</f>
        <v>0</v>
      </c>
      <c r="P37" s="618">
        <f>(P36*50)/1000</f>
        <v>0</v>
      </c>
      <c r="Q37" s="618">
        <f>(Q36*50)/1000</f>
        <v>13.3</v>
      </c>
      <c r="R37" s="618">
        <f>(R36+R39)/1000</f>
        <v>1075.88000000000011</v>
      </c>
      <c r="S37" s="618">
        <f>(S36)/1000</f>
        <v>494.63600000000002</v>
      </c>
      <c r="T37" s="618">
        <f>(T36)/1000</f>
        <v>61.856</v>
      </c>
      <c r="U37" s="618">
        <f>(U36*25)/1000</f>
        <v>0</v>
      </c>
      <c r="V37" s="618">
        <f>(V36)/1000</f>
        <v>0</v>
      </c>
      <c r="W37" s="618">
        <f>(W36)/1000</f>
        <v>0</v>
      </c>
      <c r="X37" s="618">
        <f>(X36*25)/1000</f>
        <v>0</v>
      </c>
      <c r="Y37" s="618">
        <f>(Y36*25)/1000</f>
        <v>5.45</v>
      </c>
      <c r="Z37" s="618">
        <f>(Z36*25)/1000</f>
        <v>0</v>
      </c>
      <c r="AA37" s="618">
        <f>(AA36*25)/1000</f>
        <v>137.32499999999999</v>
      </c>
      <c r="AB37" s="618">
        <f>(AB36*40)/1000</f>
        <v>369.63999999999999</v>
      </c>
      <c r="AC37" s="618">
        <f>(AC36*50)/1000</f>
        <v>144.44999999999999</v>
      </c>
      <c r="AD37" s="619">
        <f>SUM(C37:AC37)</f>
        <v>5539.9320000000007</v>
      </c>
      <c r="AE37" s="118"/>
      <c r="AF37" s="119"/>
      <c r="AG37" s="120"/>
      <c r="AH37" s="6"/>
      <c r="AI37" s="119"/>
      <c r="AJ37" s="119"/>
      <c r="AK37" s="119"/>
      <c r="AL37" s="119"/>
      <c r="AM37" s="115"/>
      <c r="AN37" s="121"/>
      <c r="AO37" s="121"/>
      <c r="AP37" s="121"/>
      <c r="AQ37" s="122"/>
      <c r="AR37" s="122"/>
      <c r="AS37" s="121"/>
      <c r="AT37" s="123"/>
      <c r="AU37" s="121"/>
      <c r="AV37" s="122"/>
      <c r="AW37" s="124"/>
      <c r="AX37" s="124"/>
      <c r="AY37" s="124"/>
      <c r="AZ37" s="124"/>
      <c r="BA37" s="124"/>
      <c r="BB37" s="124"/>
    </row>
    <row r="38" spans="1:58">
      <c r="B38" s="115" t="s">
        <v>68</v>
      </c>
      <c r="C38" s="116">
        <f>IF(C36=0,"",AVERAGE(C4:C35))</f>
        <v>985.39285714285711</v>
      </c>
      <c r="D38" s="116">
        <f>IF(D36=0,"",AVERAGE(D4:D35))</f>
        <v>573.14285714285711</v>
      </c>
      <c r="E38" s="116">
        <f>IF(E36=0,"",AVERAGE(E4:E35))</f>
        <v>226</v>
      </c>
      <c r="F38" s="116">
        <f>IF(F36=0,"",AVERAGE(F4:F35))</f>
        <v>365.78571428571428</v>
      </c>
      <c r="G38" s="116">
        <f>IF(G36=0,"",AVERAGE(G4:G35))</f>
        <v>389.25</v>
      </c>
      <c r="H38" s="116">
        <f>IF(H36=0,"",AVERAGE(H4:H35))</f>
        <v>482.33333333333331</v>
      </c>
      <c r="I38" s="116">
        <f>IF(I36=0,"",AVERAGE(I4:I35))</f>
        <v>1007</v>
      </c>
      <c r="J38" s="116">
        <f>IF(J36=0,"",AVERAGE(J4:J35))</f>
        <v>116</v>
      </c>
      <c r="K38" s="116">
        <f>IF(K36=0,"",AVERAGE(K4:K35))</f>
        <v>2050</v>
      </c>
      <c r="L38" s="116"/>
      <c r="M38" s="116"/>
      <c r="N38" s="116" t="str">
        <f>IF(N36=0,"",AVERAGE(N4:N35))</f>
        <v/>
      </c>
      <c r="O38" s="116" t="str">
        <f>IF(O36=0,"",AVERAGE(O4:O35))</f>
        <v/>
      </c>
      <c r="P38" s="116" t="str">
        <f>IF(P36=0,"",AVERAGE(P4:P35))</f>
        <v/>
      </c>
      <c r="Q38" s="116">
        <f>IF(Q36=0,"",AVERAGE(Q4:Q35))</f>
        <v>266</v>
      </c>
      <c r="R38" s="116">
        <f>IF(R36=0,"",AVERAGE(R4:R35))</f>
        <v>40691.034482758623199</v>
      </c>
      <c r="S38" s="116">
        <f>IF(S36=0,"",AVERAGE(S4:S35))</f>
        <v>29096.23529411764684</v>
      </c>
      <c r="T38" s="116">
        <f>IF(T36=0,"",AVERAGE(T4:T35))</f>
        <v>20618.66666666666788</v>
      </c>
      <c r="U38" s="116" t="str">
        <f>IF(U36=0,"",AVERAGE(U4:U35))</f>
        <v/>
      </c>
      <c r="V38" s="116" t="str">
        <f>IF(V36=0,"",AVERAGE(V4:V35))</f>
        <v/>
      </c>
      <c r="W38" s="116" t="str">
        <f>IF(W36=0,"",AVERAGE(W4:W35))</f>
        <v/>
      </c>
      <c r="X38" s="116" t="str">
        <f>IF(X36=0,"",AVERAGE(X4:X35))</f>
        <v/>
      </c>
      <c r="Y38" s="116">
        <f>IF(Y36=0,"",AVERAGE(Y4:Y35))</f>
        <v>19.81818181818182</v>
      </c>
      <c r="Z38" s="116" t="str">
        <f>IF(Z36=0,"",AVERAGE(Z4:Z35))</f>
        <v/>
      </c>
      <c r="AA38" s="116">
        <f>IF(AA36=0,"",AVERAGE(AA4:AA35))</f>
        <v>189.41379310344828</v>
      </c>
      <c r="AB38" s="116">
        <f>IF(AB36=0,"",AVERAGE(AB4:AB35))</f>
        <v>318.65517241379308</v>
      </c>
      <c r="AC38" s="116">
        <f>IF(AC36=0,"",AVERAGE(AC4:AC35))</f>
        <v>99.62068965517241</v>
      </c>
      <c r="AD38" s="616">
        <f>AD36-AD37</f>
        <v>-1901.72900000000072</v>
      </c>
      <c r="AE38" s="7"/>
      <c r="AG38" s="119"/>
      <c r="AJ38" s="6"/>
      <c r="AK38" s="6"/>
      <c r="AL38" s="6"/>
      <c r="AM38" s="115" t="s">
        <v>68</v>
      </c>
      <c r="AN38" s="121">
        <f>IF(AN36=0,"",AVERAGE(AN4:AN35))</f>
        <v>24</v>
      </c>
      <c r="AO38" s="121">
        <f>IF(AO36=0,"",AVERAGE(AO4:AO35))</f>
        <v>23.13333333333333</v>
      </c>
      <c r="AP38" s="121">
        <f>IF(AP36=0,"",AVERAGE(AP4:AP35))</f>
        <v>0.86666666666667</v>
      </c>
      <c r="AQ38" s="122">
        <f>IF(AQ36="","",AVERAGE(AQ4:AQ35))</f>
        <v>1.045039749175831</v>
      </c>
      <c r="AR38" s="122">
        <f>IF(AR36="","",AVERAGE(AR4:AR35))</f>
        <v>7.57958958333333</v>
      </c>
      <c r="AS38" s="121">
        <f>IF(AS36="","",AVERAGE(AS4:AS35))</f>
        <v>181.91014999999999</v>
      </c>
      <c r="AT38" s="123">
        <f>IF(AT36="","",AVERAGE(AT4:AT35))</f>
        <v>1</v>
      </c>
      <c r="AU38" s="121">
        <f>IF(AU36="","",AVERAGE(AU4:AU35))</f>
        <v>129.87116666666665</v>
      </c>
      <c r="AV38" s="122">
        <f>IF(AV36="","",AVERAGE(AV4:AV35))</f>
        <v>7.85701393902129</v>
      </c>
      <c r="AW38" s="122"/>
      <c r="AX38" s="122"/>
      <c r="AY38" s="122"/>
      <c r="AZ38" s="122"/>
      <c r="BA38" s="122"/>
    </row>
    <row r="39" spans="1:58" customHeight="1" ht="23.85">
      <c r="B39" s="115" t="s">
        <v>69</v>
      </c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>
        <f>SUM(R22:R29)</f>
        <v>352860</v>
      </c>
      <c r="S39" s="116"/>
      <c r="T39" s="116"/>
      <c r="U39" s="116"/>
      <c r="V39" s="116"/>
      <c r="W39" s="116"/>
      <c r="X39" s="116"/>
      <c r="Y39" s="116"/>
      <c r="Z39" s="116"/>
      <c r="AA39" s="116"/>
      <c r="AC39" s="125"/>
      <c r="AD39" s="697" t="s">
        <v>70</v>
      </c>
      <c r="AE39" s="697"/>
      <c r="AF39" s="6"/>
      <c r="AG39" s="119"/>
      <c r="AH39" s="6"/>
      <c r="AI39" s="6"/>
      <c r="AJ39" s="6"/>
      <c r="AK39" s="6"/>
      <c r="AL39" s="6"/>
      <c r="AM39" s="6"/>
      <c r="AN39" s="121"/>
      <c r="AO39" s="121"/>
      <c r="AP39" s="121"/>
      <c r="AQ39" s="121"/>
      <c r="AR39" s="116"/>
      <c r="AS39" s="123"/>
      <c r="AT39" s="123"/>
      <c r="AU39" s="121"/>
    </row>
    <row r="40" spans="1:58">
      <c r="B40" s="115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25"/>
      <c r="AE40" s="697" t="s">
        <v>71</v>
      </c>
      <c r="AF40" s="697"/>
      <c r="AG40" s="119"/>
      <c r="AH40" s="127"/>
      <c r="AI40" s="127"/>
      <c r="AJ40" s="6"/>
      <c r="AK40" s="6"/>
      <c r="AL40" s="6"/>
      <c r="AM40" s="6"/>
      <c r="AN40" s="121"/>
      <c r="AO40" s="121"/>
      <c r="AP40" s="121"/>
      <c r="AQ40" s="121"/>
      <c r="AR40" s="121"/>
      <c r="AS40" s="116"/>
      <c r="AT40" s="123"/>
      <c r="AU40" s="116"/>
      <c r="AV40" s="121"/>
    </row>
    <row r="41" spans="1:58">
      <c r="A41" s="137"/>
      <c r="B41" s="499" t="s">
        <v>67</v>
      </c>
      <c r="C41" s="476">
        <f>SUM(C4:C35)</f>
        <v>27591</v>
      </c>
      <c r="D41" s="476">
        <f>SUM(D4:D35)</f>
        <v>8024</v>
      </c>
      <c r="E41" s="476">
        <f>SUM(E4:E35)</f>
        <v>1582</v>
      </c>
      <c r="F41" s="476">
        <f>SUM(F4:F35)</f>
        <v>5121</v>
      </c>
      <c r="G41" s="476">
        <f>SUM(G4:G35)</f>
        <v>4671</v>
      </c>
      <c r="H41" s="476">
        <f>SUM(H4:H35)</f>
        <v>2894</v>
      </c>
      <c r="I41" s="476">
        <f>SUM(I4:I35)</f>
        <v>17119</v>
      </c>
      <c r="J41" s="476">
        <f>SUM(J4:J35)</f>
        <v>580</v>
      </c>
      <c r="K41" s="476">
        <f>SUM(K4:K35)</f>
        <v>12300</v>
      </c>
      <c r="L41" s="476">
        <f>SUM(L4:L35)</f>
        <v>2657</v>
      </c>
      <c r="M41" s="476">
        <f>SUM(M4:M35)</f>
        <v>0</v>
      </c>
      <c r="N41" s="476">
        <f>SUM(N4:N35)</f>
        <v>0</v>
      </c>
      <c r="O41" s="476">
        <f>SUM(O4:O35)</f>
        <v>0</v>
      </c>
      <c r="P41" s="476">
        <f>SUM(P4:P35)</f>
        <v>0</v>
      </c>
      <c r="Q41" s="476">
        <f>SUM(Q4:Q35)</f>
        <v>266</v>
      </c>
      <c r="R41" s="476">
        <f>SUM(R4:R35)</f>
        <v>1180040</v>
      </c>
      <c r="S41" s="476">
        <f>SUM(S4:S35)</f>
        <v>494636</v>
      </c>
      <c r="T41" s="476">
        <f>SUM(T4:T35)</f>
        <v>61856</v>
      </c>
      <c r="U41" s="476">
        <f>SUM(U4:U35)</f>
        <v>0</v>
      </c>
      <c r="V41" s="476">
        <f>SUM(V4:V35)</f>
        <v>0</v>
      </c>
      <c r="W41" s="476">
        <f>SUM(W4:W35)</f>
        <v>0</v>
      </c>
      <c r="X41" s="476">
        <f>SUM(X4:X35)</f>
        <v>0</v>
      </c>
      <c r="Y41" s="476">
        <f>SUM(Y4:Y35)</f>
        <v>218</v>
      </c>
      <c r="Z41" s="476">
        <f>SUM(Z4:Z35)</f>
        <v>0</v>
      </c>
      <c r="AA41" s="476">
        <f>SUM(AA4:AA35)</f>
        <v>5493</v>
      </c>
      <c r="AB41" s="476">
        <f>SUM(AB4:AB35)</f>
        <v>9241</v>
      </c>
      <c r="AC41" s="476">
        <f>SUM(AC4:AC35)</f>
        <v>2889</v>
      </c>
      <c r="AD41" s="534">
        <f>AD36</f>
        <v>3638.20299999999997</v>
      </c>
      <c r="AE41" s="6"/>
      <c r="AF41" s="6"/>
      <c r="AG41" s="119"/>
      <c r="AH41" s="6"/>
      <c r="AI41" s="6"/>
      <c r="AJ41" s="6"/>
      <c r="AK41" s="6"/>
      <c r="AL41" s="115"/>
      <c r="AM41" s="115"/>
      <c r="AN41" s="121"/>
      <c r="AO41" s="121"/>
      <c r="AP41" s="121"/>
      <c r="AQ41" s="116"/>
      <c r="AR41" s="123"/>
      <c r="AS41" s="116"/>
      <c r="AT41" s="128"/>
    </row>
    <row r="42" spans="1:58">
      <c r="B42" s="115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4"/>
      <c r="AB42" s="7"/>
      <c r="AC42" s="6"/>
      <c r="AD42" s="6"/>
      <c r="AE42" s="115"/>
      <c r="AF42" s="121"/>
      <c r="AG42" s="129"/>
      <c r="AH42" s="121"/>
      <c r="AI42" s="121"/>
      <c r="AJ42" s="121"/>
      <c r="AK42" s="121"/>
      <c r="AL42" s="121"/>
      <c r="AM42" s="121"/>
      <c r="AN42" s="116"/>
      <c r="AO42" s="121"/>
    </row>
    <row r="43" spans="1:58">
      <c r="A43" s="130" t="s">
        <v>72</v>
      </c>
      <c r="B43" s="226">
        <v>46090</v>
      </c>
      <c r="C43" s="131"/>
      <c r="D43" s="75"/>
      <c r="E43" s="75"/>
      <c r="F43" s="75"/>
      <c r="G43" s="75"/>
      <c r="H43" s="75"/>
      <c r="I43" s="72"/>
      <c r="J43" s="71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249"/>
      <c r="V43" s="71"/>
      <c r="W43" s="75"/>
      <c r="X43" s="79"/>
      <c r="Y43" s="79"/>
      <c r="Z43" s="79">
        <f>103+105+66</f>
        <v>274</v>
      </c>
      <c r="AA43" s="79"/>
      <c r="AB43" s="79"/>
      <c r="AC43" s="85"/>
      <c r="AD43" s="55">
        <f>(Z43+AA43)*25.8</f>
        <v>7069.19999999999982</v>
      </c>
      <c r="AE43" s="55">
        <f>Z43</f>
        <v>274</v>
      </c>
      <c r="AF43" s="56">
        <f>IF(B43="","",((AE43*25)/AD43))</f>
        <v>0.96899224806202</v>
      </c>
      <c r="AG43" s="57">
        <f>IF(B43="","",((Z43)*25)/AD43)</f>
        <v>0.96899224806202</v>
      </c>
      <c r="AH43" s="57">
        <f>IF(B43="","",(X43*25)/AD43)</f>
        <v>0</v>
      </c>
      <c r="AI43" s="57">
        <f>IF(B43="","",(Y43*25)/AD43)</f>
        <v>0</v>
      </c>
      <c r="AJ43" s="57">
        <f>IF(B43="","",(AA43*25)/AD43)</f>
        <v>0</v>
      </c>
      <c r="AK43" s="58">
        <f>IF(B43="","",(AB43*40)/AD43)</f>
        <v>0</v>
      </c>
      <c r="AL43" s="58">
        <f>IF(B43="","",(AC43*50)/AD43)</f>
        <v>0</v>
      </c>
      <c r="AM43" s="59">
        <f>IF(B43="","",B43)</f>
        <v>46090</v>
      </c>
      <c r="AN43" s="81"/>
      <c r="AO43" s="94"/>
      <c r="AP43" s="83"/>
      <c r="AQ43" s="63" t="str">
        <f>IF(AN43="","",AN43/AO43)</f>
        <v/>
      </c>
      <c r="AR43" s="64" t="str">
        <f>IF(AN43="","",(AD43/AN43)/1000)</f>
        <v/>
      </c>
      <c r="AS43" s="64" t="str">
        <f>IF(AN43="","",AR43*24)</f>
        <v/>
      </c>
      <c r="AT43" s="65" t="str">
        <f>IF(AN43="","",(AD43/1000)*100%/AS43)</f>
        <v/>
      </c>
      <c r="AU43" s="64" t="str">
        <f>IF(AN43="","",(AE43/AN43))</f>
        <v/>
      </c>
      <c r="AV43" s="66" t="str">
        <f>IF(AN43="","",(AD43/AO43)/1000)</f>
        <v/>
      </c>
      <c r="AW43" s="389"/>
      <c r="AX43" s="390"/>
      <c r="AY43" s="390"/>
      <c r="AZ43" s="391"/>
      <c r="BA43" s="391"/>
      <c r="BB43" s="392"/>
      <c r="BC43" s="368"/>
      <c r="BD43" s="368"/>
      <c r="BE43" s="368"/>
      <c r="BF43" s="393"/>
    </row>
    <row r="44" spans="1:58">
      <c r="A44" s="130" t="s">
        <v>73</v>
      </c>
      <c r="B44" s="68"/>
      <c r="C44" s="131"/>
      <c r="D44" s="75"/>
      <c r="E44" s="75"/>
      <c r="F44" s="75"/>
      <c r="G44" s="75"/>
      <c r="H44" s="75"/>
      <c r="I44" s="72"/>
      <c r="J44" s="71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249"/>
      <c r="V44" s="71"/>
      <c r="W44" s="75"/>
      <c r="X44" s="79"/>
      <c r="Y44" s="79"/>
      <c r="Z44" s="79"/>
      <c r="AA44" s="79"/>
      <c r="AB44" s="79"/>
      <c r="AC44" s="85"/>
      <c r="AD44" s="55">
        <f>(Z44*25)+(AA44*25)+(AB44*40)+(AC44*50)</f>
        <v>0</v>
      </c>
      <c r="AE44" s="55" t="str">
        <f>IF(B44="","",C44+E44+G44+K44+N44+O44+Q44+R44+((D44+H44)/4)+((F44+I44+J44+T44+Z44)/2))</f>
        <v/>
      </c>
      <c r="AF44" s="56" t="str">
        <f>IF(B44="","",((AE44*50)/AD44))</f>
        <v/>
      </c>
      <c r="AG44" s="57" t="str">
        <f>IF(B44="","",((Z44)*25)/AD44)</f>
        <v/>
      </c>
      <c r="AH44" s="57" t="str">
        <f>IF(B44="","",(X44*25)/AD44)</f>
        <v/>
      </c>
      <c r="AI44" s="57" t="str">
        <f>IF(B44="","",(Y44*25)/AD44)</f>
        <v/>
      </c>
      <c r="AJ44" s="57" t="str">
        <f>IF(B44="","",(AA44*25)/AD44)</f>
        <v/>
      </c>
      <c r="AK44" s="58" t="str">
        <f>IF(B44="","",(AB44*40)/AD44)</f>
        <v/>
      </c>
      <c r="AL44" s="58" t="str">
        <f>IF(B44="","",(AC44*50)/AD44)</f>
        <v/>
      </c>
      <c r="AM44" s="59" t="str">
        <f>IF(B44="","",B44)</f>
        <v/>
      </c>
      <c r="AN44" s="81"/>
      <c r="AO44" s="94"/>
      <c r="AP44" s="83"/>
      <c r="AQ44" s="63" t="str">
        <f>IF(AN44="","",AN44/AO44)</f>
        <v/>
      </c>
      <c r="AR44" s="64" t="str">
        <f>IF(AN44="","",(AD44/AN44)/1000)</f>
        <v/>
      </c>
      <c r="AS44" s="64" t="str">
        <f>IF(AN44="","",AR44*24)</f>
        <v/>
      </c>
      <c r="AT44" s="65" t="str">
        <f>IF(AN44="","",(AD44/1000)*100%/AS44)</f>
        <v/>
      </c>
      <c r="AU44" s="64" t="str">
        <f>IF(AN44="","",(AE44/AN44))</f>
        <v/>
      </c>
      <c r="AV44" s="66" t="str">
        <f>IF(AN44="","",(AD44/AO44)/1000)</f>
        <v/>
      </c>
      <c r="AW44" s="394"/>
      <c r="AX44" s="92"/>
      <c r="AY44" s="92"/>
      <c r="AZ44" s="93"/>
      <c r="BA44" s="93"/>
      <c r="BB44" s="350"/>
      <c r="BC44" s="351"/>
      <c r="BD44" s="351"/>
      <c r="BE44" s="351"/>
      <c r="BF44" s="395"/>
    </row>
    <row r="45" spans="1:58">
      <c r="A45" s="130" t="s">
        <v>74</v>
      </c>
      <c r="B45" s="68"/>
      <c r="C45" s="131"/>
      <c r="D45" s="75"/>
      <c r="E45" s="75"/>
      <c r="F45" s="75"/>
      <c r="G45" s="75"/>
      <c r="H45" s="75"/>
      <c r="I45" s="72"/>
      <c r="J45" s="71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249"/>
      <c r="V45" s="71"/>
      <c r="W45" s="75"/>
      <c r="X45" s="79"/>
      <c r="Y45" s="79"/>
      <c r="Z45" s="79"/>
      <c r="AA45" s="79"/>
      <c r="AB45" s="79"/>
      <c r="AC45" s="85"/>
      <c r="AD45" s="55">
        <f>Z45*25</f>
        <v>0</v>
      </c>
      <c r="AE45" s="55" t="str">
        <f>IF(B45="","",C45+E45+G45+K45+N45+O45+Q45+R45+((D45+H45)/4)+((F45+I45+J45+T45)/2))</f>
        <v/>
      </c>
      <c r="AF45" s="56" t="str">
        <f>IF(B45="","",((AE45*50)/AD45))</f>
        <v/>
      </c>
      <c r="AG45" s="57" t="str">
        <f>IF(B45="","",((Z45)*25)/AD45)</f>
        <v/>
      </c>
      <c r="AH45" s="57" t="str">
        <f>IF(B45="","",(X45*25)/AD45)</f>
        <v/>
      </c>
      <c r="AI45" s="57" t="str">
        <f>IF(B45="","",(Y45*25)/AD45)</f>
        <v/>
      </c>
      <c r="AJ45" s="57" t="str">
        <f>IF(B45="","",(AA45*25)/AD45)</f>
        <v/>
      </c>
      <c r="AK45" s="58" t="str">
        <f>IF(B45="","",(AB45*40)/AD45)</f>
        <v/>
      </c>
      <c r="AL45" s="58" t="str">
        <f>IF(B45="","",(AC45*50)/AD45)</f>
        <v/>
      </c>
      <c r="AM45" s="59" t="str">
        <f>IF(B45="","",B45)</f>
        <v/>
      </c>
      <c r="AN45" s="81"/>
      <c r="AO45" s="94"/>
      <c r="AP45" s="83"/>
      <c r="AQ45" s="63" t="str">
        <f>IF(AN45="","",AN45/AO45)</f>
        <v/>
      </c>
      <c r="AR45" s="64" t="str">
        <f>IF(AN45="","",(AD45/AN45)/1000)</f>
        <v/>
      </c>
      <c r="AS45" s="64" t="str">
        <f>IF(AN45="","",AR45*24)</f>
        <v/>
      </c>
      <c r="AT45" s="65" t="str">
        <f>IF(AN45="","",(AD45/1000)*100%/AS45)</f>
        <v/>
      </c>
      <c r="AU45" s="64" t="str">
        <f>IF(AN45="","",(AE45/AN45))</f>
        <v/>
      </c>
      <c r="AV45" s="66" t="str">
        <f>IF(AN45="","",(AD45/AO45)/1000)</f>
        <v/>
      </c>
      <c r="AW45" s="394"/>
      <c r="AX45" s="92"/>
      <c r="AY45" s="92"/>
      <c r="AZ45" s="93"/>
      <c r="BA45" s="93"/>
      <c r="BB45" s="350"/>
      <c r="BC45" s="351"/>
      <c r="BD45" s="351"/>
      <c r="BE45" s="351"/>
      <c r="BF45" s="395"/>
    </row>
    <row r="46" spans="1:58">
      <c r="A46" s="130" t="s">
        <v>75</v>
      </c>
      <c r="B46" s="68">
        <v>46084</v>
      </c>
      <c r="C46" s="131"/>
      <c r="D46" s="75"/>
      <c r="E46" s="75"/>
      <c r="F46" s="75"/>
      <c r="G46" s="75"/>
      <c r="H46" s="75"/>
      <c r="I46" s="72"/>
      <c r="J46" s="71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249"/>
      <c r="V46" s="71"/>
      <c r="W46" s="75"/>
      <c r="X46" s="79"/>
      <c r="Y46" s="79"/>
      <c r="Z46" s="79">
        <f>400+360+400</f>
        <v>1160</v>
      </c>
      <c r="AA46" s="79"/>
      <c r="AB46" s="79"/>
      <c r="AC46" s="85"/>
      <c r="AD46" s="55">
        <f>(Z46+AA46)*25.275</f>
        <v>29319</v>
      </c>
      <c r="AE46" s="55">
        <f>IF(B46="","",C46+E46+G46+K46+N46+O46+Q46+R46+((D46+H46)/4)+((F46+I46+J46+T46)/2))</f>
        <v>0</v>
      </c>
      <c r="AF46" s="56">
        <f>IF(B46="","",((AE46*50)/AD46))</f>
        <v>0</v>
      </c>
      <c r="AG46" s="57">
        <f>IF(B46="","",((Z46)*25)/AD46)</f>
        <v>0.9891196834817</v>
      </c>
      <c r="AH46" s="57">
        <f>IF(B46="","",(X46*25)/AD46)</f>
        <v>0</v>
      </c>
      <c r="AI46" s="57">
        <f>IF(B46="","",(Y46*25)/AD46)</f>
        <v>0</v>
      </c>
      <c r="AJ46" s="57">
        <f>IF(B46="","",(AA46*25)/AD46)</f>
        <v>0</v>
      </c>
      <c r="AK46" s="58">
        <f>IF(B46="","",(AB46*40)/AD46)</f>
        <v>0</v>
      </c>
      <c r="AL46" s="58">
        <f>IF(B46="","",(AC46*50)/AD46)</f>
        <v>0</v>
      </c>
      <c r="AM46" s="59">
        <f>IF(B46="","",B46)</f>
        <v>46084</v>
      </c>
      <c r="AN46" s="81"/>
      <c r="AO46" s="94"/>
      <c r="AP46" s="83"/>
      <c r="AQ46" s="63" t="str">
        <f>IF(AN46="","",AN46/AO46)</f>
        <v/>
      </c>
      <c r="AR46" s="64" t="str">
        <f>IF(AN46="","",(AD46/AN46)/1000)</f>
        <v/>
      </c>
      <c r="AS46" s="64" t="str">
        <f>IF(AN46="","",AR46*24)</f>
        <v/>
      </c>
      <c r="AT46" s="65" t="str">
        <f>IF(AN46="","",(AD46/1000)*100%/AS46)</f>
        <v/>
      </c>
      <c r="AU46" s="64" t="str">
        <f>IF(AN46="","",(AE46/AN46))</f>
        <v/>
      </c>
      <c r="AV46" s="66" t="str">
        <f>IF(AN46="","",(AD46/AO46)/1000)</f>
        <v/>
      </c>
      <c r="AW46" s="396"/>
      <c r="AX46" s="231"/>
      <c r="AY46" s="231"/>
      <c r="AZ46" s="232"/>
      <c r="BA46" s="232"/>
      <c r="BB46" s="397"/>
      <c r="BC46" s="398"/>
      <c r="BD46" s="398"/>
      <c r="BE46" s="398"/>
      <c r="BF46" s="399"/>
    </row>
    <row r="47" spans="1:58">
      <c r="B47" s="115"/>
      <c r="C47" s="116"/>
      <c r="D47" s="116"/>
      <c r="E47" s="116"/>
      <c r="F47" s="116"/>
      <c r="G47" s="116"/>
      <c r="H47" s="116"/>
      <c r="O47" s="116"/>
      <c r="P47" s="116"/>
      <c r="Q47" s="116"/>
      <c r="R47" s="116"/>
      <c r="S47" s="116"/>
      <c r="T47" s="116"/>
      <c r="U47" s="116"/>
      <c r="V47" s="116"/>
      <c r="W47" s="7"/>
      <c r="X47" s="7"/>
      <c r="AB47" s="6"/>
      <c r="AC47" s="6"/>
      <c r="AD47" s="55">
        <f>SUM(AD43:AD46)</f>
        <v>36388.19999999999709</v>
      </c>
      <c r="AE47" s="121"/>
      <c r="AF47" s="121"/>
      <c r="AG47" s="121"/>
      <c r="AH47" s="116"/>
      <c r="AI47" s="123"/>
      <c r="AJ47" s="123"/>
      <c r="AK47" s="116"/>
      <c r="AL47" s="121"/>
      <c r="AX47" s="1">
        <f>AX43/1000</f>
        <v>0</v>
      </c>
    </row>
    <row r="48" spans="1:58">
      <c r="B48" s="115"/>
      <c r="C48" s="116"/>
      <c r="D48" s="116"/>
      <c r="E48" s="116"/>
      <c r="F48" s="116"/>
      <c r="G48" s="116"/>
      <c r="H48" s="116"/>
      <c r="I48" s="116"/>
      <c r="Q48" s="116"/>
      <c r="R48" s="116"/>
      <c r="S48" s="116"/>
      <c r="T48" s="116"/>
      <c r="U48" s="116"/>
      <c r="V48" s="116"/>
      <c r="W48" s="116"/>
      <c r="X48" s="7"/>
      <c r="Y48" s="7"/>
      <c r="AC48" s="6"/>
      <c r="AD48" s="697" t="s">
        <v>70</v>
      </c>
      <c r="AE48" s="697"/>
      <c r="AF48" s="121"/>
      <c r="AG48" s="121"/>
      <c r="AH48" s="121"/>
      <c r="AI48" s="116"/>
      <c r="AJ48" s="123"/>
      <c r="AK48" s="123"/>
      <c r="AL48" s="116"/>
      <c r="AM48" s="121"/>
    </row>
    <row r="49" spans="1:58">
      <c r="B49" s="115"/>
      <c r="C49" s="116"/>
      <c r="D49" s="116"/>
      <c r="E49" s="116"/>
      <c r="F49" s="116"/>
      <c r="G49" s="116"/>
      <c r="H49" s="116"/>
      <c r="I49" s="117">
        <v>3.6</v>
      </c>
      <c r="J49" s="116"/>
      <c r="K49" s="516"/>
      <c r="L49" s="516"/>
      <c r="M49" s="516"/>
      <c r="N49" s="5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7"/>
      <c r="Z49" s="7"/>
      <c r="AD49" s="126">
        <f>AD47/1000</f>
        <v>36.3882</v>
      </c>
      <c r="AE49" s="697" t="s">
        <v>71</v>
      </c>
      <c r="AF49" s="697"/>
      <c r="AG49" s="121"/>
      <c r="AH49" s="121"/>
      <c r="AI49" s="121"/>
      <c r="AJ49" s="116"/>
      <c r="AK49" s="123"/>
      <c r="AL49" s="123"/>
      <c r="AM49" s="116"/>
      <c r="AN49" s="121"/>
    </row>
    <row r="50" spans="1:58" customHeight="1" ht="13.9">
      <c r="A50" s="676" t="s">
        <v>76</v>
      </c>
      <c r="B50" s="677"/>
      <c r="C50" s="678" t="s">
        <v>77</v>
      </c>
      <c r="D50" s="133"/>
      <c r="F50" s="655" t="s">
        <v>78</v>
      </c>
      <c r="G50" s="656"/>
      <c r="H50" s="657"/>
      <c r="I50" s="355" t="s">
        <v>79</v>
      </c>
      <c r="J50" s="136"/>
      <c r="K50" s="679" t="s">
        <v>80</v>
      </c>
      <c r="L50" s="679"/>
      <c r="M50" s="680"/>
      <c r="N50" s="515" t="s">
        <v>81</v>
      </c>
      <c r="O50" s="688" t="s">
        <v>82</v>
      </c>
      <c r="P50" s="689"/>
      <c r="Q50" s="690"/>
      <c r="R50" s="688" t="s">
        <v>83</v>
      </c>
      <c r="S50" s="689"/>
      <c r="T50" s="689"/>
      <c r="U50" s="690"/>
      <c r="V50" s="500" t="s">
        <v>84</v>
      </c>
      <c r="W50" s="488"/>
      <c r="X50" s="501"/>
      <c r="AB50" s="247"/>
      <c r="AG50" s="6"/>
      <c r="AH50" s="6"/>
      <c r="AI50" s="121"/>
      <c r="AJ50" s="121"/>
      <c r="AK50" s="116"/>
      <c r="AL50" s="123"/>
      <c r="AM50" s="123"/>
      <c r="AN50" s="116"/>
      <c r="AO50" s="121"/>
    </row>
    <row r="51" spans="1:58" customHeight="1" ht="15">
      <c r="A51" s="369" t="s">
        <v>85</v>
      </c>
      <c r="B51" s="482">
        <f>AD41+AD49</f>
        <v>3674.59119999999984</v>
      </c>
      <c r="C51" s="678"/>
      <c r="E51" s="137"/>
      <c r="F51" s="662" t="s">
        <v>86</v>
      </c>
      <c r="G51" s="663"/>
      <c r="H51" s="325">
        <f>IF(G54="",0,G57/G54)</f>
        <v>0</v>
      </c>
      <c r="I51" s="138">
        <f>IF(I54="",0,I57/I54)</f>
        <v>0</v>
      </c>
      <c r="J51" s="136"/>
      <c r="K51" s="681">
        <v>0</v>
      </c>
      <c r="L51" s="681"/>
      <c r="M51" s="141">
        <f>IF($V$51="",0,K51/$V$56)</f>
        <v>-0</v>
      </c>
      <c r="N51" s="489"/>
      <c r="O51" s="695"/>
      <c r="P51" s="696"/>
      <c r="Q51" s="141">
        <f>IF($V$51="",0,O51/$V$56)</f>
        <v>-0</v>
      </c>
      <c r="R51" s="140" t="str">
        <f>D81</f>
        <v>CWRS</v>
      </c>
      <c r="S51" s="721">
        <f>(B83*D83)+(B86*D86)+(B87*D87)+(B88*D88)+(B90*D90)+(B93*D93)+(B95*D95)+(B96*D96)+(B99*D99)+(B100*D100)+(B101*D101)+(B103*D103)+(B104*D104)+(B109*D109)+(B112*D112)+(B84*D84)+(B105*D105)+(B85*D85)+(B92*D92)+(B116*D116)+(B107*D107)+(B106*D106)+(B114*D114)+(B111*D111)+(B89*D89)+(B91*D91)+(B97*D97)+(B98*D98)+(B108*D108)</f>
        <v>3262935.88855393882841</v>
      </c>
      <c r="T51" s="721"/>
      <c r="U51" s="486">
        <f>IF($S$56=0,0,S51/$S$56)</f>
        <v>0.57663292469211</v>
      </c>
      <c r="V51" s="695">
        <f>K51+O51-S51</f>
        <v>-3262935.88855393882841</v>
      </c>
      <c r="W51" s="696"/>
      <c r="X51" s="484">
        <f>IF($V$51="",0,V51/$V$56)</f>
        <v>0.57663292469211</v>
      </c>
      <c r="AB51" s="157"/>
      <c r="AJ51" s="121"/>
      <c r="AK51" s="116"/>
      <c r="AL51" s="123"/>
      <c r="AM51" s="123"/>
      <c r="AN51" s="116"/>
      <c r="AO51" s="121"/>
    </row>
    <row r="52" spans="1:58" customHeight="1" ht="15">
      <c r="A52" s="326" t="s">
        <v>87</v>
      </c>
      <c r="B52" s="318">
        <f>AE36</f>
        <v>62338.16000000000349</v>
      </c>
      <c r="C52" s="377">
        <f>B51/(B61*120)</f>
        <v>1.61166280701754</v>
      </c>
      <c r="E52" s="137"/>
      <c r="F52" s="662" t="s">
        <v>88</v>
      </c>
      <c r="G52" s="663"/>
      <c r="H52" s="318">
        <f>IF(G54="",0,G54/B51)</f>
        <v>0</v>
      </c>
      <c r="I52" s="272"/>
      <c r="J52" s="136"/>
      <c r="K52" s="685"/>
      <c r="L52" s="685"/>
      <c r="M52" s="141">
        <f>IF($V$52="",0,K52/$V$56)</f>
        <v>-0</v>
      </c>
      <c r="N52" s="489"/>
      <c r="O52" s="687"/>
      <c r="P52" s="681"/>
      <c r="Q52" s="141">
        <f>IF($V$52="",0,O52/$V$56)</f>
        <v>-0</v>
      </c>
      <c r="R52" s="140" t="str">
        <f>IF(E81="","",E81)</f>
        <v>CPS</v>
      </c>
      <c r="S52" s="720">
        <f>(B83*E83)+(B86*E86)+(B87*E87)+(B88*E88)+(B90*E90)+(B93*E93)+(B95*E95)+(B96*E96)+(B99*E99)+(B100*E100)+(B101*E101)+(B103*E103)+(B104*E104)+(B109*E109)+(B114*E114)+(B106*E106)+(B112*E112)+(B105*E105)+(B84*E84)+(B85*E85)+(B92*E92)+(B107*E107)+(B116*E116)+(B117*E117)+(B111*E111)+(B102*E102)+(B89*E89)+(B91*E91)+(B98*E98)+(B108*E108+B97*E97)</f>
        <v>119748.99621069341083</v>
      </c>
      <c r="T52" s="720"/>
      <c r="U52" s="486">
        <f>IF($S$56=0,0,S52/$S$56)</f>
        <v>0.021162295635701</v>
      </c>
      <c r="V52" s="687">
        <f>K52+O52-S52</f>
        <v>-119748.99621069341083</v>
      </c>
      <c r="W52" s="681"/>
      <c r="X52" s="141">
        <f>IF($V$52="",0,V52/$V$56)</f>
        <v>0.021162295635701</v>
      </c>
      <c r="AJ52" s="121"/>
      <c r="AK52" s="116"/>
      <c r="AL52" s="123"/>
      <c r="AM52" s="123"/>
      <c r="AN52" s="116"/>
      <c r="AO52" s="121"/>
    </row>
    <row r="53" spans="1:58" customHeight="1" ht="15">
      <c r="A53" s="326" t="s">
        <v>89</v>
      </c>
      <c r="B53" s="318">
        <f>(B52*50)/1000</f>
        <v>3116.9079999999999</v>
      </c>
      <c r="E53" s="120"/>
      <c r="F53" s="662" t="s">
        <v>90</v>
      </c>
      <c r="G53" s="663"/>
      <c r="H53" s="318">
        <f>IF(G54="",0,G54/((B52*50)/1000))</f>
        <v>0</v>
      </c>
      <c r="I53" s="272"/>
      <c r="J53" s="136"/>
      <c r="K53" s="685"/>
      <c r="L53" s="685"/>
      <c r="M53" s="141">
        <f>IF($V$51="",0,K53/$V$56)</f>
        <v>-0</v>
      </c>
      <c r="N53" s="489"/>
      <c r="O53" s="687"/>
      <c r="P53" s="681"/>
      <c r="Q53" s="141">
        <f>IF($V$51="",0,O53/$V$56)</f>
        <v>-0</v>
      </c>
      <c r="R53" s="148" t="s">
        <v>91</v>
      </c>
      <c r="S53" s="720">
        <f>(B83*G83)+(B86*G86)+(B87*G87)+(B88*G88)+(B90*G90)+(B93*G93)+(B95*G95)+(B96*G96)+(B99*G99)+(B100*G100)+(B101*G101)+(B103*G103)+(B104*G104)+(B109*G109)+(B114*G114)+(B110*G110)+(B117*G117)+(B115*G115)+(B116*G116)+(B84*G84)+(B85*G85)+(B105*G105)+(B107*G107)+(B97*G97)+(B98*G98)+(B91*G91)+(B89*G89)+(B106*G106)+(B92*G92)+(B111*G111)</f>
        <v>1223954.59311299514957</v>
      </c>
      <c r="T53" s="720"/>
      <c r="U53" s="486">
        <f>IF($S$56=0,0,S53/$S$56)</f>
        <v>0.21629984186722</v>
      </c>
      <c r="V53" s="687">
        <f>K53+O53-S53</f>
        <v>-1223954.59311299514957</v>
      </c>
      <c r="W53" s="681"/>
      <c r="X53" s="141">
        <f>IF($V$51="",0,V53/$V$56)</f>
        <v>0.21629984186722</v>
      </c>
      <c r="AJ53" s="121"/>
      <c r="AK53" s="116"/>
      <c r="AL53" s="123"/>
      <c r="AM53" s="123"/>
      <c r="AN53" s="116"/>
      <c r="AO53" s="121"/>
    </row>
    <row r="54" spans="1:58" customHeight="1" ht="15">
      <c r="A54" s="326" t="s">
        <v>92</v>
      </c>
      <c r="B54" s="580">
        <f>IF(AF36="",0,AF36)</f>
        <v>0.85671635145153</v>
      </c>
      <c r="E54" s="144"/>
      <c r="F54" s="326" t="s">
        <v>93</v>
      </c>
      <c r="G54" s="693"/>
      <c r="H54" s="694"/>
      <c r="I54" s="353"/>
      <c r="J54" s="136"/>
      <c r="K54" s="686">
        <v>0</v>
      </c>
      <c r="L54" s="686"/>
      <c r="M54" s="141">
        <f>IF($V$51="",0,L54/$V$56)</f>
        <v>-0</v>
      </c>
      <c r="N54" s="490"/>
      <c r="O54" s="687"/>
      <c r="P54" s="681"/>
      <c r="Q54" s="141">
        <f>IF($V$51="",0,O54/$V$56)</f>
        <v>-0</v>
      </c>
      <c r="R54" s="140" t="s">
        <v>94</v>
      </c>
      <c r="S54" s="720">
        <f>(B83*F83)+(B86*F86)+(B87*F87)+(B88*F88)+(B90*F90)+(B93*F93)+(B95*F95)+(B96*F96)+(B99*F99)+(B100*F100)+(B101*F101)+(B103*F103)+(B104*F104)+(B109*F109)+(B114*F114)+(B116*F116)+(B112*F112)+(B110*F110)+(B106*F106)+(B117*F117)+(B102*F102)+(B89*F89)+(B91*F91)+(B92*F92)+(B107*F107)+(B108*F108)+(B97*F97)</f>
        <v>1051961.94571639574133</v>
      </c>
      <c r="T54" s="720"/>
      <c r="U54" s="486">
        <f>IF($S$56=0,0,S54/$S$56)</f>
        <v>0.18590493780498</v>
      </c>
      <c r="V54" s="687">
        <f>L54+O54-S54</f>
        <v>-1051961.94571639574133</v>
      </c>
      <c r="W54" s="681"/>
      <c r="X54" s="141">
        <f>IF($V$51="",0,V54/$V$56)</f>
        <v>0.18590493780498</v>
      </c>
      <c r="AG54" s="6"/>
      <c r="AH54" s="6"/>
      <c r="AI54" s="121"/>
      <c r="AJ54" s="121"/>
      <c r="AK54" s="116"/>
      <c r="AL54" s="123"/>
      <c r="AM54" s="123"/>
      <c r="AN54" s="116"/>
      <c r="AO54" s="121"/>
    </row>
    <row r="55" spans="1:58" customHeight="1" ht="15">
      <c r="A55" s="326" t="s">
        <v>95</v>
      </c>
      <c r="B55" s="319">
        <f>AN36</f>
        <v>480</v>
      </c>
      <c r="E55" s="146"/>
      <c r="F55" s="326" t="s">
        <v>96</v>
      </c>
      <c r="G55" s="682"/>
      <c r="H55" s="683"/>
      <c r="I55" s="684"/>
      <c r="J55" s="136"/>
      <c r="K55" s="686">
        <v>0</v>
      </c>
      <c r="L55" s="686"/>
      <c r="M55" s="141">
        <f>IF($V$51="",0,L55/$V$56)</f>
        <v>-0</v>
      </c>
      <c r="N55" s="489"/>
      <c r="O55" s="691">
        <v>0</v>
      </c>
      <c r="P55" s="692"/>
      <c r="Q55" s="141">
        <f>IF($V$51="",0,O55/$V$56)</f>
        <v>-0</v>
      </c>
      <c r="R55" s="480" t="s">
        <v>97</v>
      </c>
      <c r="S55" s="719">
        <f>IF(AD44="",0,AD44)</f>
        <v>0</v>
      </c>
      <c r="T55" s="719"/>
      <c r="U55" s="141">
        <f>IF($S$56=0,0,S55/$S$56)</f>
        <v>0</v>
      </c>
      <c r="V55" s="691">
        <f>L55+O55-S55</f>
        <v>0</v>
      </c>
      <c r="W55" s="692"/>
      <c r="X55" s="141">
        <f>IF($V$51="",0,V55/$V$56)</f>
        <v>-0</v>
      </c>
      <c r="AC55" s="421"/>
      <c r="AF55" s="6"/>
      <c r="AG55" s="6"/>
      <c r="AH55" s="6"/>
      <c r="AJ55" s="147"/>
      <c r="AK55" s="147"/>
      <c r="AL55" s="6"/>
      <c r="AM55" s="6"/>
      <c r="AN55" s="147"/>
      <c r="AO55" s="147"/>
    </row>
    <row r="56" spans="1:58" customHeight="1" ht="15">
      <c r="A56" s="326" t="s">
        <v>98</v>
      </c>
      <c r="B56" s="320">
        <f>IF(B51=0,0,AP36/AN36)</f>
        <v>0.036111111111111</v>
      </c>
      <c r="E56" s="146"/>
      <c r="F56" s="326" t="s">
        <v>99</v>
      </c>
      <c r="G56" s="660"/>
      <c r="H56" s="661"/>
      <c r="I56" s="149"/>
      <c r="J56" s="136"/>
      <c r="K56" s="671">
        <f>SUM(K51:K55)</f>
        <v>0</v>
      </c>
      <c r="L56" s="670"/>
      <c r="M56" s="481"/>
      <c r="N56" s="487">
        <f>SUM(N51:N55)</f>
        <v>0</v>
      </c>
      <c r="O56" s="671">
        <f>SUM(O51:O55)</f>
        <v>0</v>
      </c>
      <c r="P56" s="670"/>
      <c r="Q56" s="481"/>
      <c r="R56" s="150"/>
      <c r="S56" s="670">
        <f>SUM(S51:S55)</f>
        <v>5658601.42359402310103</v>
      </c>
      <c r="T56" s="670"/>
      <c r="U56" s="479"/>
      <c r="V56" s="671">
        <f>SUM(V51:V55)</f>
        <v>-5658601.42359402310103</v>
      </c>
      <c r="W56" s="670"/>
      <c r="X56" s="481"/>
      <c r="AH56" s="6"/>
      <c r="AJ56" s="147"/>
      <c r="AK56" s="147"/>
      <c r="AL56" s="6"/>
      <c r="AM56" s="6"/>
      <c r="AN56" s="147"/>
      <c r="AO56" s="147"/>
    </row>
    <row r="57" spans="1:58" customHeight="1" ht="13.9">
      <c r="A57" s="326" t="s">
        <v>100</v>
      </c>
      <c r="B57" s="321">
        <f>AT38</f>
        <v>1</v>
      </c>
      <c r="E57" s="146"/>
      <c r="F57" s="326" t="s">
        <v>101</v>
      </c>
      <c r="G57" s="672">
        <v>77284230</v>
      </c>
      <c r="H57" s="673"/>
      <c r="I57" s="153">
        <v>2803509</v>
      </c>
      <c r="K57" s="216"/>
      <c r="L57" s="216"/>
      <c r="M57" s="216"/>
      <c r="N57" s="216"/>
      <c r="O57" s="375"/>
      <c r="P57" s="517"/>
      <c r="Q57" s="517"/>
      <c r="AH57" s="6"/>
      <c r="AJ57" s="147"/>
      <c r="AK57" s="147"/>
      <c r="AL57" s="6"/>
      <c r="AM57" s="6"/>
      <c r="AN57" s="147"/>
      <c r="AO57" s="147"/>
    </row>
    <row r="58" spans="1:58" customHeight="1" ht="13.9">
      <c r="A58" s="326" t="s">
        <v>102</v>
      </c>
      <c r="B58" s="580">
        <f>+AT36</f>
        <v>769.23076923076917</v>
      </c>
      <c r="E58" s="137"/>
      <c r="F58" s="662" t="s">
        <v>103</v>
      </c>
      <c r="G58" s="663"/>
      <c r="H58" s="327"/>
      <c r="I58" s="155"/>
      <c r="K58" s="665" t="s">
        <v>104</v>
      </c>
      <c r="L58" s="666"/>
      <c r="M58" s="666"/>
      <c r="N58" s="666"/>
      <c r="O58" s="666"/>
      <c r="P58" s="518"/>
      <c r="Q58" s="246"/>
      <c r="X58" s="4"/>
      <c r="AD58" s="4"/>
      <c r="AH58" s="6"/>
      <c r="AJ58" s="147"/>
      <c r="AK58" s="147"/>
      <c r="AL58" s="6"/>
      <c r="AM58" s="6"/>
      <c r="AN58" s="147"/>
      <c r="AO58" s="147"/>
    </row>
    <row r="59" spans="1:58" customHeight="1" ht="13.9">
      <c r="A59" s="326" t="s">
        <v>105</v>
      </c>
      <c r="B59" s="322">
        <f>IF(AS36="",0,AS36)</f>
        <v>0.18191015</v>
      </c>
      <c r="E59" s="137"/>
      <c r="F59" s="326"/>
      <c r="G59" s="216"/>
      <c r="H59" s="323"/>
      <c r="K59" s="326" t="s">
        <v>106</v>
      </c>
      <c r="L59" s="216"/>
      <c r="M59" s="332">
        <f>AX36</f>
        <v>2397.59999999999991</v>
      </c>
      <c r="N59" s="332"/>
      <c r="O59" s="216" t="s">
        <v>107</v>
      </c>
      <c r="P59" s="140"/>
      <c r="S59" s="156"/>
      <c r="V59" s="142"/>
      <c r="X59" s="4"/>
      <c r="AB59" s="157"/>
      <c r="AD59" s="4"/>
      <c r="AH59" s="6"/>
      <c r="AJ59" s="147"/>
      <c r="AK59" s="147"/>
      <c r="AL59" s="6"/>
      <c r="AM59" s="6"/>
      <c r="AN59" s="147"/>
      <c r="AO59" s="147"/>
    </row>
    <row r="60" spans="1:58" customHeight="1" ht="13.9">
      <c r="A60" s="326" t="s">
        <v>108</v>
      </c>
      <c r="B60" s="322">
        <f>IF(AU36="",0,AU36)</f>
        <v>129.87116666666668</v>
      </c>
      <c r="E60" s="137"/>
      <c r="F60" s="328" t="s">
        <v>109</v>
      </c>
      <c r="G60" s="329"/>
      <c r="H60" s="330" t="s">
        <v>110</v>
      </c>
      <c r="K60" s="326" t="s">
        <v>111</v>
      </c>
      <c r="L60" s="216"/>
      <c r="M60" s="332">
        <f>AY36</f>
        <v>1869.48800000000006</v>
      </c>
      <c r="N60" s="332"/>
      <c r="O60" s="323" t="s">
        <v>107</v>
      </c>
      <c r="S60" s="156"/>
      <c r="W60" s="156"/>
      <c r="AC60" s="247"/>
      <c r="AD60" s="157"/>
      <c r="AE60" s="157"/>
      <c r="AF60" s="157"/>
      <c r="AG60" s="6"/>
      <c r="AJ60" s="147"/>
      <c r="AK60" s="6"/>
      <c r="AL60" s="147"/>
      <c r="AM60" s="147"/>
      <c r="AN60" s="147"/>
    </row>
    <row r="61" spans="1:58" customHeight="1" ht="13.9">
      <c r="A61" s="326" t="s">
        <v>112</v>
      </c>
      <c r="B61" s="323">
        <f>31-COUNTBLANK(A4:A35)</f>
        <v>19</v>
      </c>
      <c r="F61" s="331" t="s">
        <v>113</v>
      </c>
      <c r="G61" s="664">
        <f>G60/(B51*1000)</f>
        <v>0</v>
      </c>
      <c r="H61" s="664"/>
      <c r="I61" s="376"/>
      <c r="J61" s="136"/>
      <c r="K61" s="418" t="s">
        <v>92</v>
      </c>
      <c r="L61" s="483"/>
      <c r="M61" s="419">
        <f>M60/M59</f>
        <v>0.77973306639973</v>
      </c>
      <c r="N61" s="419"/>
      <c r="O61" s="420"/>
      <c r="S61" s="145"/>
      <c r="T61" s="665" t="s">
        <v>114</v>
      </c>
      <c r="U61" s="666"/>
      <c r="V61" s="667"/>
      <c r="X61" s="4"/>
      <c r="Y61" s="472" t="s">
        <v>115</v>
      </c>
      <c r="Z61" s="273" t="s">
        <v>169</v>
      </c>
      <c r="AA61" s="273">
        <v>900</v>
      </c>
      <c r="AB61" s="273" t="s">
        <v>117</v>
      </c>
      <c r="AC61" s="273">
        <v>7200</v>
      </c>
      <c r="AD61" s="273">
        <v>4200</v>
      </c>
      <c r="AE61" s="273">
        <v>8530</v>
      </c>
      <c r="AF61" s="157"/>
      <c r="AG61" s="6"/>
      <c r="AJ61" s="147"/>
      <c r="AK61" s="6"/>
      <c r="AL61" s="147"/>
      <c r="AM61" s="147"/>
      <c r="AN61" s="147"/>
    </row>
    <row r="62" spans="1:58" customHeight="1" ht="13.9">
      <c r="A62" s="370" t="s">
        <v>118</v>
      </c>
      <c r="B62" s="324">
        <f>AD41+AD49</f>
        <v>3674.59119999999984</v>
      </c>
      <c r="G62" s="156" t="s">
        <v>119</v>
      </c>
      <c r="O62" s="4"/>
      <c r="P62" s="4"/>
      <c r="T62" s="354" t="s">
        <v>120</v>
      </c>
      <c r="U62" s="668"/>
      <c r="V62" s="669"/>
      <c r="X62" s="165" t="str">
        <f>C83</f>
        <v>Extrapan
 50</v>
      </c>
      <c r="Y62" s="531">
        <v>10</v>
      </c>
      <c r="Z62" s="531">
        <v>3</v>
      </c>
      <c r="AA62" s="531">
        <v>2.5</v>
      </c>
      <c r="AB62" s="531">
        <v>3</v>
      </c>
      <c r="AC62" s="531">
        <v>7</v>
      </c>
      <c r="AD62" s="531">
        <v>2</v>
      </c>
      <c r="AE62" s="531"/>
      <c r="AG62" s="147"/>
      <c r="AH62" s="147"/>
      <c r="AI62" s="6"/>
      <c r="AJ62" s="6"/>
      <c r="AK62" s="147"/>
      <c r="AL62" s="147"/>
      <c r="AM62" s="147"/>
    </row>
    <row r="63" spans="1:58" customHeight="1" ht="14.45">
      <c r="A63" s="259" t="s">
        <v>121</v>
      </c>
      <c r="B63" s="477">
        <f>B51/B68</f>
        <v>153.10796666666667</v>
      </c>
      <c r="E63" s="136"/>
      <c r="F63" s="655" t="s">
        <v>122</v>
      </c>
      <c r="G63" s="656"/>
      <c r="H63" s="657"/>
      <c r="K63" s="655" t="s">
        <v>123</v>
      </c>
      <c r="L63" s="656"/>
      <c r="M63" s="656"/>
      <c r="N63" s="656"/>
      <c r="O63" s="656"/>
      <c r="P63" s="519"/>
      <c r="Q63" s="133"/>
      <c r="R63" s="162"/>
      <c r="S63" s="162"/>
      <c r="T63" s="354" t="s">
        <v>124</v>
      </c>
      <c r="U63" s="658">
        <f>AZ4</f>
        <v>537016</v>
      </c>
      <c r="V63" s="659"/>
      <c r="W63" s="162"/>
      <c r="X63" s="165" t="str">
        <f>C86</f>
        <v>Extrapan
25</v>
      </c>
      <c r="Y63" s="532">
        <f>+Y62/2</f>
        <v>5</v>
      </c>
      <c r="Z63" s="532">
        <f>+Z62/2</f>
        <v>1.5</v>
      </c>
      <c r="AA63" s="532">
        <f>+AA62/2</f>
        <v>1.25</v>
      </c>
      <c r="AB63" s="532">
        <f>+AB62/2</f>
        <v>1.5</v>
      </c>
      <c r="AC63" s="532">
        <f>+AC62/2</f>
        <v>3.5</v>
      </c>
      <c r="AD63" s="532">
        <f>+AD62/2</f>
        <v>1</v>
      </c>
      <c r="AE63" s="532"/>
      <c r="AG63" s="147"/>
      <c r="AH63" s="147"/>
      <c r="AI63" s="6"/>
      <c r="AJ63" s="6"/>
      <c r="AK63" s="147"/>
      <c r="AL63" s="147"/>
      <c r="AM63" s="147"/>
    </row>
    <row r="64" spans="1:58" customHeight="1" ht="14.45">
      <c r="A64" s="256" t="s">
        <v>125</v>
      </c>
      <c r="B64" s="502">
        <f>B76/B51</f>
        <v>17433.83998742499534</v>
      </c>
      <c r="F64" s="632" t="s">
        <v>126</v>
      </c>
      <c r="G64" s="633"/>
      <c r="H64" s="268"/>
      <c r="I64" s="140"/>
      <c r="J64" s="136"/>
      <c r="K64" s="1" t="s">
        <v>127</v>
      </c>
      <c r="O64" s="520">
        <v>662</v>
      </c>
      <c r="R64" s="162"/>
      <c r="S64" s="162"/>
      <c r="T64" s="162"/>
      <c r="U64" s="162"/>
      <c r="V64" s="162"/>
      <c r="W64" s="162"/>
      <c r="X64" s="165" t="str">
        <f>C87</f>
        <v>Extrapan
10</v>
      </c>
      <c r="Y64" s="532">
        <f>+Y62/5</f>
        <v>2</v>
      </c>
      <c r="Z64" s="532">
        <f>+Z62/5</f>
        <v>0.6</v>
      </c>
      <c r="AA64" s="532">
        <f>+AA62/5</f>
        <v>0.5</v>
      </c>
      <c r="AB64" s="532">
        <f>+AB62/5</f>
        <v>0.6</v>
      </c>
      <c r="AC64" s="532">
        <f>+AC62/5</f>
        <v>1.4</v>
      </c>
      <c r="AD64" s="532">
        <f>+AD62/5</f>
        <v>0.4</v>
      </c>
      <c r="AE64" s="532"/>
      <c r="AG64" s="147"/>
      <c r="AH64" s="147"/>
      <c r="AI64" s="6"/>
      <c r="AJ64" s="6"/>
      <c r="AK64" s="147"/>
      <c r="AL64" s="147"/>
      <c r="AM64" s="147"/>
    </row>
    <row r="65" spans="1:58" customHeight="1" ht="14.45">
      <c r="A65" s="258" t="s">
        <v>128</v>
      </c>
      <c r="B65" s="503">
        <f>B77/B51</f>
        <v>2132.87181442115252</v>
      </c>
      <c r="F65" s="140" t="s">
        <v>129</v>
      </c>
      <c r="H65" s="474">
        <f>(H64*1)*2</f>
        <v>0</v>
      </c>
      <c r="I65" s="140"/>
      <c r="K65" s="140" t="s">
        <v>129</v>
      </c>
      <c r="O65" s="474">
        <f>O64/30</f>
        <v>22.066666666666666</v>
      </c>
      <c r="T65" s="634" t="s">
        <v>130</v>
      </c>
      <c r="U65" s="635"/>
      <c r="V65" s="636"/>
      <c r="X65" s="165" t="str">
        <f>C88</f>
        <v>Artesanal 
50</v>
      </c>
      <c r="Y65" s="531">
        <v>10</v>
      </c>
      <c r="Z65" s="531">
        <v>3</v>
      </c>
      <c r="AA65" s="531">
        <v>0</v>
      </c>
      <c r="AB65" s="531">
        <v>6</v>
      </c>
      <c r="AC65" s="531">
        <v>7</v>
      </c>
      <c r="AD65" s="531">
        <v>0</v>
      </c>
      <c r="AE65" s="531"/>
      <c r="AG65" s="147"/>
      <c r="AH65" s="147"/>
      <c r="AI65" s="6"/>
      <c r="AJ65" s="6"/>
      <c r="AK65" s="147"/>
      <c r="AL65" s="147"/>
      <c r="AM65" s="147"/>
    </row>
    <row r="66" spans="1:58">
      <c r="F66" s="637" t="s">
        <v>131</v>
      </c>
      <c r="G66" s="638"/>
      <c r="H66" s="639"/>
      <c r="I66" s="140"/>
      <c r="J66" s="136"/>
      <c r="K66" s="1" t="s">
        <v>132</v>
      </c>
      <c r="O66" s="1">
        <v>811544</v>
      </c>
      <c r="P66" s="140"/>
      <c r="T66" s="417" t="s">
        <v>133</v>
      </c>
      <c r="U66" s="732">
        <f>+BC4</f>
        <v>1400504</v>
      </c>
      <c r="V66" s="733"/>
      <c r="X66" s="165" t="str">
        <f>C90</f>
        <v>Artesanal
25</v>
      </c>
      <c r="Y66" s="532">
        <f>+Y65/2</f>
        <v>5</v>
      </c>
      <c r="Z66" s="532">
        <f>+Z65/2</f>
        <v>1.5</v>
      </c>
      <c r="AA66" s="532">
        <f>+AA65/2</f>
        <v>0</v>
      </c>
      <c r="AB66" s="532">
        <f>+AB65/2</f>
        <v>3</v>
      </c>
      <c r="AC66" s="532">
        <f>+AC65/2</f>
        <v>3.5</v>
      </c>
      <c r="AD66" s="532">
        <f>+AD65/2</f>
        <v>0</v>
      </c>
      <c r="AE66" s="532"/>
      <c r="AG66" s="147"/>
      <c r="AH66" s="147"/>
      <c r="AI66" s="6"/>
      <c r="AJ66" s="6"/>
      <c r="AK66" s="147"/>
      <c r="AL66" s="147"/>
      <c r="AM66" s="147"/>
    </row>
    <row r="67" spans="1:58" customHeight="1" ht="14.45">
      <c r="A67" s="371" t="s">
        <v>134</v>
      </c>
      <c r="B67" s="373"/>
      <c r="F67" s="630" t="s">
        <v>91</v>
      </c>
      <c r="G67" s="642"/>
      <c r="H67" s="270"/>
      <c r="I67" s="140"/>
      <c r="K67" s="159" t="s">
        <v>94</v>
      </c>
      <c r="L67" s="158"/>
      <c r="M67" s="158"/>
      <c r="N67" s="158"/>
      <c r="O67" s="478"/>
      <c r="P67" s="524"/>
      <c r="T67" s="417" t="s">
        <v>135</v>
      </c>
      <c r="U67" s="651">
        <f>+BD4+BF4</f>
        <v>841602</v>
      </c>
      <c r="V67" s="652"/>
      <c r="X67" s="165" t="str">
        <f>C93</f>
        <v>Natural 
50</v>
      </c>
      <c r="Y67" s="532">
        <v>0</v>
      </c>
      <c r="Z67" s="532">
        <v>0</v>
      </c>
      <c r="AA67" s="532">
        <v>0</v>
      </c>
      <c r="AB67" s="532">
        <v>0</v>
      </c>
      <c r="AC67" s="532">
        <v>0</v>
      </c>
      <c r="AD67" s="532">
        <v>0</v>
      </c>
      <c r="AE67" s="532"/>
      <c r="AG67" s="147"/>
      <c r="AH67" s="147"/>
      <c r="AI67" s="147"/>
      <c r="AJ67" s="147"/>
      <c r="AK67" s="6"/>
      <c r="AL67" s="6"/>
      <c r="AM67" s="147"/>
      <c r="AN67" s="147"/>
    </row>
    <row r="68" spans="1:58" customHeight="1" ht="14.45">
      <c r="A68" s="255" t="s">
        <v>136</v>
      </c>
      <c r="B68" s="264">
        <v>24</v>
      </c>
      <c r="F68" s="140" t="s">
        <v>137</v>
      </c>
      <c r="G68" s="475"/>
      <c r="H68" s="267">
        <f>H65*G68</f>
        <v>0</v>
      </c>
      <c r="K68" s="140" t="s">
        <v>137</v>
      </c>
      <c r="L68" s="475">
        <v>100</v>
      </c>
      <c r="M68" s="367">
        <f>(O65*L68)</f>
        <v>2206.66666666666652</v>
      </c>
      <c r="P68" s="524"/>
      <c r="Q68" s="521"/>
      <c r="T68" s="417" t="s">
        <v>94</v>
      </c>
      <c r="U68" s="730">
        <f>+BE4</f>
        <v>409380</v>
      </c>
      <c r="V68" s="731"/>
      <c r="X68" s="165" t="str">
        <f>C100</f>
        <v>Harina Tortas y Ponques</v>
      </c>
      <c r="Y68" s="531">
        <v>0</v>
      </c>
      <c r="Z68" s="531">
        <v>0</v>
      </c>
      <c r="AA68" s="531">
        <v>0</v>
      </c>
      <c r="AB68" s="531">
        <v>0</v>
      </c>
      <c r="AC68" s="531">
        <v>0</v>
      </c>
      <c r="AD68" s="531">
        <v>0</v>
      </c>
      <c r="AE68" s="531"/>
      <c r="AG68" s="147"/>
      <c r="AH68" s="147"/>
      <c r="AI68" s="6"/>
      <c r="AJ68" s="6"/>
      <c r="AK68" s="147"/>
      <c r="AL68" s="147"/>
      <c r="AM68" s="147"/>
    </row>
    <row r="69" spans="1:58" customHeight="1" ht="14.45">
      <c r="A69" s="255" t="s">
        <v>138</v>
      </c>
      <c r="B69" s="265">
        <v>28760</v>
      </c>
      <c r="F69" s="148" t="s">
        <v>139</v>
      </c>
      <c r="G69" s="649">
        <f>(G68*436*1.7321*0.96)/1000</f>
        <v>0</v>
      </c>
      <c r="H69" s="650">
        <f>(H68*436*1.7321*0.96)/1000</f>
        <v>0</v>
      </c>
      <c r="K69" s="148" t="s">
        <v>139</v>
      </c>
      <c r="L69" s="271">
        <f>(L68*436*1.7321*0.96)/1000</f>
        <v>72.4987776</v>
      </c>
      <c r="M69" s="156"/>
      <c r="O69" s="525"/>
      <c r="P69" s="522"/>
      <c r="T69" s="354" t="s">
        <v>140</v>
      </c>
      <c r="U69" s="651"/>
      <c r="V69" s="652"/>
      <c r="X69" s="165" t="str">
        <f>C101</f>
        <v>Harina Galeras Ligera</v>
      </c>
      <c r="Y69" s="532">
        <v>0</v>
      </c>
      <c r="Z69" s="532">
        <v>0</v>
      </c>
      <c r="AA69" s="532">
        <v>0</v>
      </c>
      <c r="AB69" s="532">
        <v>0</v>
      </c>
      <c r="AC69" s="532">
        <v>0</v>
      </c>
      <c r="AD69" s="532">
        <v>0</v>
      </c>
      <c r="AE69" s="532"/>
      <c r="AG69" s="147"/>
      <c r="AH69" s="147"/>
      <c r="AI69" s="147"/>
      <c r="AJ69" s="147"/>
      <c r="AK69" s="6"/>
      <c r="AL69" s="6"/>
      <c r="AM69" s="147"/>
      <c r="AN69" s="147"/>
    </row>
    <row r="70" spans="1:58">
      <c r="A70" s="156" t="s">
        <v>142</v>
      </c>
      <c r="B70" s="424">
        <v>36087</v>
      </c>
      <c r="F70" s="140" t="s">
        <v>143</v>
      </c>
      <c r="G70" s="653">
        <f>G69*H64</f>
        <v>0</v>
      </c>
      <c r="H70" s="639"/>
      <c r="K70" s="140" t="s">
        <v>143</v>
      </c>
      <c r="M70" s="653">
        <f>L69*O65</f>
        <v>1599.80635903999996</v>
      </c>
      <c r="N70" s="653"/>
      <c r="O70" s="654"/>
      <c r="X70" s="165" t="str">
        <f>C104</f>
        <v>Harina de alta proteina x 1
G</v>
      </c>
      <c r="Y70" s="532">
        <v>0</v>
      </c>
      <c r="Z70" s="532">
        <v>0</v>
      </c>
      <c r="AA70" s="532">
        <v>0</v>
      </c>
      <c r="AB70" s="532">
        <v>0</v>
      </c>
      <c r="AC70" s="532">
        <v>0</v>
      </c>
      <c r="AD70" s="532">
        <v>0</v>
      </c>
      <c r="AE70" s="532"/>
      <c r="AG70" s="147"/>
      <c r="AH70" s="147"/>
      <c r="AI70" s="147"/>
      <c r="AJ70" s="147"/>
      <c r="AK70" s="6"/>
      <c r="AL70" s="6"/>
      <c r="AM70" s="147"/>
      <c r="AN70" s="147"/>
    </row>
    <row r="71" spans="1:58" customHeight="1" ht="14.45">
      <c r="A71" s="257" t="s">
        <v>144</v>
      </c>
      <c r="B71" s="266">
        <f>+B52/B69</f>
        <v>2.16752990264256</v>
      </c>
      <c r="F71" s="632" t="s">
        <v>86</v>
      </c>
      <c r="G71" s="633"/>
      <c r="H71" s="269">
        <f>G70*H51</f>
        <v>0</v>
      </c>
      <c r="K71" s="140" t="s">
        <v>86</v>
      </c>
      <c r="M71" s="352">
        <f>M70*H51</f>
        <v>0</v>
      </c>
      <c r="O71" s="136"/>
      <c r="P71" s="523"/>
      <c r="Q71" s="523"/>
      <c r="T71" s="374" t="s">
        <v>145</v>
      </c>
      <c r="U71" s="374"/>
      <c r="V71" s="374"/>
      <c r="X71" s="165" t="s">
        <v>67</v>
      </c>
      <c r="Y71" s="533">
        <f>+SUM(Y62:Y70)</f>
        <v>32</v>
      </c>
      <c r="Z71" s="533">
        <f>+SUM(Z62:Z70)</f>
        <v>9.6</v>
      </c>
      <c r="AA71" s="533">
        <f>+SUM(AA62:AA70)</f>
        <v>4.25</v>
      </c>
      <c r="AB71" s="533">
        <f>+SUM(AB62:AB70)</f>
        <v>14.1</v>
      </c>
      <c r="AC71" s="533">
        <f>+SUM(AC62:AC70)</f>
        <v>22.4</v>
      </c>
      <c r="AD71" s="533">
        <f>+SUM(AD62:AD70)</f>
        <v>3.4</v>
      </c>
      <c r="AE71" s="533"/>
      <c r="AG71" s="6"/>
      <c r="AI71" s="147"/>
      <c r="AJ71" s="147"/>
      <c r="AK71" s="147"/>
      <c r="AL71" s="147"/>
      <c r="AM71" s="147"/>
      <c r="AN71" s="6"/>
      <c r="AO71" s="147"/>
      <c r="AP71" s="147"/>
    </row>
    <row r="72" spans="1:58" customHeight="1" ht="22.5">
      <c r="A72" s="257" t="s">
        <v>146</v>
      </c>
      <c r="B72" s="266">
        <f>+B52/B70</f>
        <v>1.7274409066977</v>
      </c>
      <c r="F72" s="159"/>
      <c r="G72" s="158"/>
      <c r="H72" s="151"/>
      <c r="K72" s="159"/>
      <c r="L72" s="158"/>
      <c r="M72" s="158"/>
      <c r="N72" s="158"/>
      <c r="O72" s="151"/>
      <c r="T72" s="253" t="s">
        <v>147</v>
      </c>
      <c r="U72" s="254"/>
      <c r="V72" s="645">
        <f>AP36*(U72+U73)</f>
        <v>0</v>
      </c>
      <c r="X72" s="202" t="s">
        <v>141</v>
      </c>
      <c r="Y72" s="203"/>
      <c r="Z72" s="203"/>
      <c r="AA72" s="203"/>
      <c r="AB72" s="203"/>
      <c r="AC72" s="203"/>
      <c r="AE72" s="6"/>
      <c r="AG72" s="6"/>
      <c r="AI72" s="147"/>
      <c r="AJ72" s="147"/>
      <c r="AK72" s="147"/>
      <c r="AL72" s="147"/>
      <c r="AM72" s="147"/>
      <c r="AN72" s="6"/>
      <c r="AO72" s="147"/>
      <c r="AP72" s="147"/>
    </row>
    <row r="73" spans="1:58">
      <c r="T73" s="253" t="s">
        <v>151</v>
      </c>
      <c r="U73" s="254"/>
      <c r="V73" s="646"/>
      <c r="X73" s="202"/>
      <c r="Y73" s="245"/>
      <c r="Z73" s="245"/>
      <c r="AA73" s="245"/>
      <c r="AB73" s="245"/>
      <c r="AC73" s="245"/>
      <c r="AE73" s="6"/>
      <c r="AG73" s="6"/>
      <c r="AI73" s="147"/>
      <c r="AJ73" s="147"/>
      <c r="AK73" s="147"/>
      <c r="AL73" s="147"/>
      <c r="AM73" s="147"/>
      <c r="AN73" s="6"/>
      <c r="AO73" s="147"/>
      <c r="AP73" s="147"/>
    </row>
    <row r="74" spans="1:58">
      <c r="AE74" s="6"/>
      <c r="AG74" s="6"/>
      <c r="AI74" s="147"/>
      <c r="AJ74" s="147"/>
      <c r="AK74" s="147"/>
      <c r="AL74" s="147"/>
      <c r="AM74" s="147"/>
      <c r="AN74" s="6"/>
      <c r="AO74" s="147"/>
      <c r="AP74" s="147"/>
    </row>
    <row r="75" spans="1:58" customHeight="1" ht="14.45">
      <c r="A75" s="371" t="s">
        <v>154</v>
      </c>
      <c r="B75" s="372"/>
      <c r="C75" s="140"/>
      <c r="Y75" s="156" t="s">
        <v>148</v>
      </c>
      <c r="Z75" s="1" t="s">
        <v>149</v>
      </c>
      <c r="AA75" s="1" t="s">
        <v>150</v>
      </c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8" customHeight="1" ht="14.45">
      <c r="A76" s="260" t="s">
        <v>155</v>
      </c>
      <c r="B76" s="262">
        <v>64062235</v>
      </c>
      <c r="Y76" s="209" t="s">
        <v>152</v>
      </c>
      <c r="Z76" s="7">
        <v>12.5</v>
      </c>
      <c r="AA76" s="7">
        <v>13.5</v>
      </c>
      <c r="AB76" s="7"/>
      <c r="AC76" s="1" t="s">
        <v>152</v>
      </c>
      <c r="AE76" s="6"/>
      <c r="AG76" s="6"/>
      <c r="AI76" s="147"/>
      <c r="AJ76" s="147"/>
      <c r="AK76" s="147"/>
      <c r="AL76" s="147"/>
      <c r="AM76" s="147"/>
      <c r="AN76" s="6"/>
      <c r="AO76" s="147"/>
      <c r="AP76" s="147"/>
    </row>
    <row r="77" spans="1:58" customHeight="1" ht="14.45">
      <c r="A77" s="261" t="s">
        <v>156</v>
      </c>
      <c r="B77" s="263">
        <v>7837432</v>
      </c>
      <c r="Y77" s="209" t="s">
        <v>67</v>
      </c>
      <c r="Z77" s="212">
        <f>SUM(A83+A86+A87+A88+A90+A93+A95+A99+A101+A103+A104+A109+A106+A111+A114+A116+A110+A84+A85+A91+A89+A92+A97+A98+A105+A107+A112)*Z76</f>
        <v>1209498</v>
      </c>
      <c r="AA77" s="212">
        <f>(A96+A100)*AA76</f>
        <v>3915</v>
      </c>
      <c r="AB77" s="240"/>
      <c r="AC77" s="156" t="s">
        <v>153</v>
      </c>
      <c r="AE77" s="206"/>
      <c r="AK77" s="147"/>
      <c r="AL77" s="147"/>
      <c r="AM77" s="147"/>
      <c r="AN77" s="6"/>
      <c r="AO77" s="147"/>
      <c r="AP77" s="147"/>
    </row>
    <row r="78" spans="1:58">
      <c r="Y78" s="202" t="s">
        <v>141</v>
      </c>
      <c r="Z78" s="142"/>
      <c r="AA78" s="142"/>
      <c r="AB78" s="142"/>
      <c r="AC78" s="156" t="s">
        <v>153</v>
      </c>
      <c r="AE78" s="206"/>
      <c r="AK78" s="147"/>
      <c r="AL78" s="147"/>
      <c r="AM78" s="147"/>
      <c r="AN78" s="6"/>
      <c r="AO78" s="147"/>
      <c r="AP78" s="147"/>
      <c r="AQ78" s="147"/>
      <c r="AR78" s="147"/>
    </row>
    <row r="79" spans="1:58">
      <c r="X79" s="169"/>
      <c r="AK79" s="147"/>
      <c r="AL79" s="147"/>
      <c r="AM79" s="147"/>
      <c r="AN79" s="6"/>
      <c r="AO79" s="147"/>
      <c r="AP79" s="147"/>
      <c r="AQ79" s="147"/>
      <c r="AR79" s="147"/>
    </row>
    <row r="80" spans="1:58">
      <c r="N80" s="4"/>
      <c r="X80" s="169"/>
      <c r="AE80" s="6"/>
      <c r="AK80" s="147"/>
      <c r="AL80" s="147"/>
      <c r="AM80" s="147"/>
      <c r="AN80" s="6"/>
      <c r="AO80" s="147"/>
      <c r="AP80" s="147"/>
      <c r="AQ80" s="147"/>
      <c r="AR80" s="147"/>
    </row>
    <row r="81" spans="1:58" customHeight="1" ht="16.35">
      <c r="A81" s="170"/>
      <c r="C81" s="171"/>
      <c r="D81" s="423" t="s">
        <v>157</v>
      </c>
      <c r="E81" s="423" t="s">
        <v>158</v>
      </c>
      <c r="F81" s="423" t="s">
        <v>94</v>
      </c>
      <c r="G81" s="423" t="s">
        <v>91</v>
      </c>
      <c r="AE81" s="6"/>
      <c r="AK81" s="147"/>
      <c r="AL81" s="147"/>
      <c r="AM81" s="147"/>
    </row>
    <row r="82" spans="1:58" customHeight="1" ht="16.35">
      <c r="A82" s="356" t="s">
        <v>45</v>
      </c>
      <c r="B82" s="472" t="s">
        <v>159</v>
      </c>
      <c r="C82" s="176" t="s">
        <v>160</v>
      </c>
      <c r="D82" s="178" t="s">
        <v>161</v>
      </c>
      <c r="E82" s="178" t="s">
        <v>161</v>
      </c>
      <c r="F82" s="178" t="s">
        <v>161</v>
      </c>
      <c r="G82" s="178" t="s">
        <v>161</v>
      </c>
      <c r="AE82" s="6"/>
      <c r="AK82" s="147"/>
      <c r="AL82" s="147"/>
      <c r="AM82" s="147"/>
    </row>
    <row r="83" spans="1:58" customHeight="1" ht="16.35">
      <c r="A83" s="139">
        <f>C36</f>
        <v>27591</v>
      </c>
      <c r="B83" s="139">
        <f>IF(A83=0,0,((A83*50)/$B$54))</f>
        <v>1610276.25731975398958</v>
      </c>
      <c r="C83" s="180" t="s">
        <v>16</v>
      </c>
      <c r="D83" s="569">
        <v>0.7</v>
      </c>
      <c r="E83" s="570">
        <v>0</v>
      </c>
      <c r="F83" s="571"/>
      <c r="G83" s="572">
        <v>0.3</v>
      </c>
      <c r="Z83" s="213"/>
      <c r="AA83" s="213"/>
      <c r="AB83" s="213"/>
      <c r="AC83" s="213"/>
      <c r="AD83" s="213"/>
      <c r="AE83" s="6"/>
      <c r="AK83" s="147"/>
      <c r="AL83" s="147"/>
      <c r="AM83" s="147"/>
    </row>
    <row r="84" spans="1:58" customHeight="1" ht="16.35">
      <c r="A84" s="139">
        <f>C39</f>
        <v>0</v>
      </c>
      <c r="B84" s="139">
        <f>IF(A84=0,0,((A84*50)/$B$54))</f>
        <v>0</v>
      </c>
      <c r="C84" s="180" t="s">
        <v>16</v>
      </c>
      <c r="D84" s="573"/>
      <c r="E84" s="186"/>
      <c r="F84" s="462"/>
      <c r="G84" s="574"/>
      <c r="Z84" s="213"/>
      <c r="AA84" s="213"/>
      <c r="AB84" s="213"/>
      <c r="AC84" s="213"/>
      <c r="AD84" s="213"/>
      <c r="AE84" s="6"/>
      <c r="AK84" s="147"/>
      <c r="AL84" s="147"/>
      <c r="AM84" s="147"/>
    </row>
    <row r="85" spans="1:58" customHeight="1" ht="16.35">
      <c r="A85" s="139">
        <f>C40</f>
        <v>0</v>
      </c>
      <c r="B85" s="139">
        <f>IF(A85=0,0,((A85*50)/$B$54))</f>
        <v>0</v>
      </c>
      <c r="C85" s="180" t="s">
        <v>16</v>
      </c>
      <c r="D85" s="575">
        <v>0.8</v>
      </c>
      <c r="E85" s="382">
        <v>0.2</v>
      </c>
      <c r="F85" s="382"/>
      <c r="G85" s="574"/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8" customHeight="1" ht="16.35">
      <c r="A86" s="139">
        <f>D36/2</f>
        <v>4012</v>
      </c>
      <c r="B86" s="139">
        <f>IF(A86=0,0,((A86*50)/$B$54))</f>
        <v>234149.84394791247905</v>
      </c>
      <c r="C86" s="180" t="str">
        <f>D3</f>
        <v>Extrapan
25</v>
      </c>
      <c r="D86" s="573">
        <v>0.7</v>
      </c>
      <c r="E86" s="186">
        <v>0</v>
      </c>
      <c r="F86" s="186"/>
      <c r="G86" s="576">
        <v>0.3</v>
      </c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8" customHeight="1" ht="16.35">
      <c r="A87" s="139">
        <f>E36/5</f>
        <v>316.39999999999998</v>
      </c>
      <c r="B87" s="139">
        <f>IF(A87=0,0,((A87*50)/$B$54))</f>
        <v>18465.85509100685522</v>
      </c>
      <c r="C87" s="189" t="str">
        <f>E3</f>
        <v>Extrapan
10</v>
      </c>
      <c r="D87" s="573">
        <v>0.7</v>
      </c>
      <c r="E87" s="186">
        <v>0</v>
      </c>
      <c r="F87" s="186"/>
      <c r="G87" s="576">
        <v>0.3</v>
      </c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8" customHeight="1" ht="16.35">
      <c r="A88" s="139">
        <f>F36</f>
        <v>5121</v>
      </c>
      <c r="B88" s="139">
        <f>IF(A88=0,0,((A88*50)/$B$54))</f>
        <v>298873.71656462107785</v>
      </c>
      <c r="C88" s="189" t="str">
        <f>F3</f>
        <v>Artesanal 
50</v>
      </c>
      <c r="D88" s="573">
        <v>0.52</v>
      </c>
      <c r="E88" s="186">
        <v>0</v>
      </c>
      <c r="F88" s="186">
        <v>0.25</v>
      </c>
      <c r="G88" s="576">
        <v>0.23</v>
      </c>
      <c r="J88" s="137"/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8" customHeight="1" ht="16.35">
      <c r="A89" s="139">
        <f>F39</f>
        <v>0</v>
      </c>
      <c r="B89" s="139">
        <f>IF(A89=0,0,((A89*50)/$B$54))</f>
        <v>0</v>
      </c>
      <c r="C89" s="568" t="str">
        <f>C88</f>
        <v>Artesanal 
50</v>
      </c>
      <c r="D89" s="573">
        <v>0.52</v>
      </c>
      <c r="E89" s="186">
        <v>0</v>
      </c>
      <c r="F89" s="186">
        <v>0.25</v>
      </c>
      <c r="G89" s="576">
        <v>0.23</v>
      </c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8" customHeight="1" ht="16.35">
      <c r="A90" s="139">
        <f>G36/2</f>
        <v>2335.5</v>
      </c>
      <c r="B90" s="139">
        <f>IF(A90=0,0,((A90*50)/$B$54))</f>
        <v>136305.32416259960155</v>
      </c>
      <c r="C90" s="190" t="str">
        <f>G3</f>
        <v>Artesanal
25</v>
      </c>
      <c r="D90" s="573">
        <v>0.52</v>
      </c>
      <c r="E90" s="186">
        <v>0</v>
      </c>
      <c r="F90" s="186">
        <v>0.25</v>
      </c>
      <c r="G90" s="576">
        <v>0.23</v>
      </c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8" customHeight="1" ht="16.35">
      <c r="A91" s="139">
        <f>G39/2</f>
        <v>0</v>
      </c>
      <c r="B91" s="139">
        <f>IF(A91=0,0,((A91*50)/$B$54))</f>
        <v>0</v>
      </c>
      <c r="C91" s="190" t="str">
        <f>C90</f>
        <v>Artesanal
25</v>
      </c>
      <c r="D91" s="573">
        <v>0.52</v>
      </c>
      <c r="E91" s="186">
        <v>0</v>
      </c>
      <c r="F91" s="186">
        <v>0.25</v>
      </c>
      <c r="G91" s="576">
        <v>0.23</v>
      </c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8" customHeight="1" ht="16.35">
      <c r="A92" s="139">
        <f>H36</f>
        <v>2894</v>
      </c>
      <c r="B92" s="139">
        <f>IF(A92=0,0,((A92*50)/$B$54))</f>
        <v>168900.70996641542297</v>
      </c>
      <c r="C92" s="180" t="str">
        <f>H3</f>
        <v>Natural 
50</v>
      </c>
      <c r="D92" s="573">
        <v>0.63</v>
      </c>
      <c r="E92" s="186">
        <v>0</v>
      </c>
      <c r="F92" s="186">
        <v>0.14</v>
      </c>
      <c r="G92" s="576">
        <v>0.23</v>
      </c>
      <c r="Z92" s="213"/>
      <c r="AA92" s="213"/>
      <c r="AB92" s="213"/>
      <c r="AC92" s="213"/>
      <c r="AD92" s="213"/>
      <c r="AE92" s="6"/>
      <c r="AK92" s="147"/>
      <c r="AL92" s="147"/>
      <c r="AM92" s="147"/>
    </row>
    <row r="93" spans="1:58" customHeight="1" ht="16.35">
      <c r="A93" s="139">
        <f>H39</f>
        <v>0</v>
      </c>
      <c r="B93" s="139">
        <f>IF(A93=0,0,((A93*50)/$B$54))</f>
        <v>0</v>
      </c>
      <c r="C93" s="180" t="str">
        <f>H3</f>
        <v>Natural 
50</v>
      </c>
      <c r="D93" s="577">
        <v>0.63</v>
      </c>
      <c r="E93" s="578">
        <v>0.1</v>
      </c>
      <c r="F93" s="578"/>
      <c r="G93" s="579"/>
      <c r="V93" s="124"/>
      <c r="W93" s="124"/>
      <c r="Z93" s="6"/>
      <c r="AA93" s="6"/>
      <c r="AB93" s="6"/>
      <c r="AC93" s="6"/>
      <c r="AD93" s="6"/>
      <c r="AE93" s="6"/>
      <c r="AH93" s="147"/>
      <c r="AI93" s="147"/>
      <c r="AJ93" s="147"/>
    </row>
    <row r="94" spans="1:58" customHeight="1" ht="16.35">
      <c r="A94" s="139"/>
      <c r="B94" s="139">
        <f>IF(A94=0,0,((A94*50)/$B$54))</f>
        <v>0</v>
      </c>
      <c r="C94" s="548"/>
      <c r="D94" s="200"/>
      <c r="E94" s="200"/>
      <c r="F94" s="201"/>
      <c r="G94" s="201"/>
      <c r="V94" s="245"/>
      <c r="W94" s="245"/>
      <c r="Y94" s="213"/>
      <c r="Z94" s="6"/>
      <c r="AA94" s="6"/>
      <c r="AB94" s="6"/>
      <c r="AC94" s="6"/>
      <c r="AD94" s="6"/>
      <c r="AE94" s="6"/>
      <c r="AH94" s="147"/>
      <c r="AI94" s="147"/>
      <c r="AJ94" s="147"/>
    </row>
    <row r="95" spans="1:58" customHeight="1" ht="15.6">
      <c r="A95" s="139">
        <f>I36/2</f>
        <v>8559.5</v>
      </c>
      <c r="B95" s="139">
        <f>IF(A95=0,0,((A95*50)/$B$54))</f>
        <v>499552.73910073703155</v>
      </c>
      <c r="C95" s="379" t="str">
        <f>I3</f>
        <v>Fuerte
25</v>
      </c>
      <c r="D95" s="573">
        <v>0.52</v>
      </c>
      <c r="E95" s="186">
        <v>0</v>
      </c>
      <c r="F95" s="186">
        <v>0.25</v>
      </c>
      <c r="G95" s="576">
        <v>0.23</v>
      </c>
      <c r="Y95" s="213"/>
      <c r="Z95" s="6"/>
      <c r="AA95" s="6"/>
      <c r="AB95" s="6"/>
      <c r="AC95" s="6"/>
      <c r="AD95" s="6"/>
      <c r="AE95" s="6"/>
      <c r="AH95" s="147"/>
      <c r="AI95" s="147"/>
      <c r="AJ95" s="147"/>
    </row>
    <row r="96" spans="1:58" customHeight="1" ht="16.35">
      <c r="A96" s="139">
        <f>J36/2</f>
        <v>290</v>
      </c>
      <c r="B96" s="139">
        <f>IF(A96=0,0,((A96*50)/$B$54))</f>
        <v>16925.088420960772055</v>
      </c>
      <c r="C96" s="448" t="str">
        <f>J3</f>
        <v>Fuerte exp
25</v>
      </c>
      <c r="D96" s="573">
        <v>0.52</v>
      </c>
      <c r="E96" s="186">
        <v>0</v>
      </c>
      <c r="F96" s="186">
        <v>0.25</v>
      </c>
      <c r="G96" s="576">
        <v>0.23</v>
      </c>
      <c r="Y96" s="213"/>
      <c r="Z96" s="6"/>
      <c r="AA96" s="6"/>
      <c r="AB96" s="6"/>
      <c r="AC96" s="6"/>
      <c r="AD96" s="6"/>
      <c r="AE96" s="6"/>
      <c r="AH96" s="147"/>
      <c r="AI96" s="147"/>
      <c r="AJ96" s="147"/>
    </row>
    <row r="97" spans="1:58" customHeight="1" ht="16.35">
      <c r="A97" s="139">
        <f>I39/2</f>
        <v>0</v>
      </c>
      <c r="B97" s="139">
        <f>IF(A97=0,0,((A97*50)/$B$54))</f>
        <v>0</v>
      </c>
      <c r="C97" s="379" t="str">
        <f>I3</f>
        <v>Fuerte
25</v>
      </c>
      <c r="D97" s="573">
        <v>0.52</v>
      </c>
      <c r="E97" s="186">
        <v>0</v>
      </c>
      <c r="F97" s="186">
        <v>0.25</v>
      </c>
      <c r="G97" s="576">
        <v>0.23</v>
      </c>
      <c r="Y97" s="213"/>
      <c r="Z97" s="6"/>
      <c r="AA97" s="6"/>
      <c r="AB97" s="6"/>
      <c r="AC97" s="6"/>
      <c r="AD97" s="6"/>
      <c r="AE97" s="6"/>
      <c r="AH97" s="147"/>
      <c r="AI97" s="147"/>
      <c r="AJ97" s="147"/>
    </row>
    <row r="98" spans="1:58" customHeight="1" ht="16.35">
      <c r="A98" s="139">
        <f>I40/2</f>
        <v>0</v>
      </c>
      <c r="B98" s="139">
        <f>IF(A98=0,0,((A98*50)/$B$54))</f>
        <v>0</v>
      </c>
      <c r="C98" s="379" t="str">
        <f>C97</f>
        <v>Fuerte
25</v>
      </c>
      <c r="D98" s="462"/>
      <c r="E98" s="186"/>
      <c r="F98" s="382"/>
      <c r="G98" s="504"/>
      <c r="Y98" s="213"/>
      <c r="Z98" s="6"/>
      <c r="AA98" s="6"/>
      <c r="AB98" s="6"/>
      <c r="AC98" s="6"/>
      <c r="AD98" s="6"/>
      <c r="AE98" s="6"/>
      <c r="AH98" s="147"/>
      <c r="AI98" s="147"/>
      <c r="AJ98" s="147"/>
    </row>
    <row r="99" spans="1:58" customHeight="1" ht="16.35">
      <c r="A99" s="139">
        <f>K36</f>
        <v>12300</v>
      </c>
      <c r="B99" s="139">
        <f>IF(A99=0,0,((A99*50)/$B$54))</f>
        <v>717857.1985441982979</v>
      </c>
      <c r="C99" s="379" t="str">
        <f>K3</f>
        <v>Exclusiva
50</v>
      </c>
      <c r="D99" s="573">
        <v>0.52</v>
      </c>
      <c r="E99" s="186">
        <v>0</v>
      </c>
      <c r="F99" s="186">
        <v>0.25</v>
      </c>
      <c r="G99" s="576">
        <v>0.23</v>
      </c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8" customHeight="1" ht="26.85">
      <c r="A100" s="139">
        <f>N36</f>
        <v>0</v>
      </c>
      <c r="B100" s="139">
        <f>IF(A100=0,0,((A100*50)/$B$54))</f>
        <v>0</v>
      </c>
      <c r="C100" s="449" t="str">
        <f>N3</f>
        <v>Harina Tortas y Ponques</v>
      </c>
      <c r="D100" s="462"/>
      <c r="E100" s="186"/>
      <c r="F100" s="186"/>
      <c r="G100" s="504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8" customHeight="1" ht="29.25">
      <c r="A101" s="139">
        <f>O36</f>
        <v>0</v>
      </c>
      <c r="B101" s="139">
        <f>IF(A101=0,0,((A101*50)/$B$54))</f>
        <v>0</v>
      </c>
      <c r="C101" s="449" t="str">
        <f>O3</f>
        <v>Harina Galeras Ligera</v>
      </c>
      <c r="D101" s="462"/>
      <c r="E101" s="186"/>
      <c r="F101" s="508"/>
      <c r="G101" s="188"/>
      <c r="H101" s="214"/>
      <c r="I101" s="214"/>
      <c r="J101" s="214"/>
      <c r="K101" s="156"/>
      <c r="L101" s="156"/>
      <c r="M101" s="156"/>
      <c r="N101" s="156"/>
      <c r="O101" s="202"/>
      <c r="P101" s="202"/>
      <c r="Q101" s="214"/>
      <c r="R101" s="214"/>
      <c r="S101" s="214"/>
      <c r="T101" s="156"/>
      <c r="U101" s="156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8" customHeight="1" ht="29.25">
      <c r="A102" s="139">
        <f>O39</f>
        <v>0</v>
      </c>
      <c r="B102" s="139">
        <f>IF(A102=0,0,((A102*50)/$B$54))</f>
        <v>0</v>
      </c>
      <c r="C102" s="449" t="str">
        <f>C101</f>
        <v>Harina Galeras Ligera</v>
      </c>
      <c r="D102" s="462"/>
      <c r="E102" s="186"/>
      <c r="F102" s="186"/>
      <c r="G102" s="504"/>
      <c r="H102" s="214"/>
      <c r="I102" s="214"/>
      <c r="J102" s="214"/>
      <c r="K102" s="156"/>
      <c r="L102" s="156"/>
      <c r="M102" s="156"/>
      <c r="N102" s="156"/>
      <c r="O102" s="202"/>
      <c r="P102" s="202"/>
      <c r="Q102" s="214"/>
      <c r="R102" s="214"/>
      <c r="S102" s="214"/>
      <c r="T102" s="156"/>
      <c r="U102" s="156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8" customHeight="1" ht="17.1">
      <c r="A103" s="139">
        <f>Q36</f>
        <v>266</v>
      </c>
      <c r="B103" s="139">
        <f>IF(A103=0,0,((A103*50)/$B$54))</f>
        <v>15524.39144819160538</v>
      </c>
      <c r="C103" s="379" t="str">
        <f>Q3</f>
        <v>ESPECIAL
50</v>
      </c>
      <c r="D103" s="462"/>
      <c r="E103" s="186"/>
      <c r="F103" s="186">
        <v>1</v>
      </c>
      <c r="G103" s="505"/>
      <c r="X103" s="213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8" customHeight="1" ht="31.5">
      <c r="A104" s="139">
        <f>R36/50</f>
        <v>14460.39999999999964</v>
      </c>
      <c r="B104" s="139">
        <f>IF(A104=0,0,((A104*50)/$B$54))</f>
        <v>843943.27104296954349</v>
      </c>
      <c r="C104" s="449" t="str">
        <f>R3</f>
        <v>Harina de alta proteina x 1
G</v>
      </c>
      <c r="D104" s="462">
        <v>0.75</v>
      </c>
      <c r="E104" s="186"/>
      <c r="F104" s="186"/>
      <c r="G104" s="505">
        <v>0.25</v>
      </c>
      <c r="X104" s="213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8" customHeight="1" ht="16.35">
      <c r="A105" s="139">
        <f>R39/50</f>
        <v>7057.19999999999982</v>
      </c>
      <c r="B105" s="139">
        <f>IF(A105=0,0,((A105*50)/$B$54))</f>
        <v>411874.94484277366428</v>
      </c>
      <c r="C105" s="379" t="s">
        <v>170</v>
      </c>
      <c r="D105" s="381">
        <v>0.75</v>
      </c>
      <c r="E105" s="230">
        <v>0.25</v>
      </c>
      <c r="F105" s="230"/>
      <c r="G105" s="505"/>
      <c r="X105" s="213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8" customHeight="1" ht="27.6">
      <c r="A106" s="139">
        <f>S36/50</f>
        <v>9892.71999999999935</v>
      </c>
      <c r="B106" s="139">
        <f>IF(A106=0,0,((A106*50)/$B$54))</f>
        <v>577362.62318554148078</v>
      </c>
      <c r="C106" s="449" t="str">
        <f>S3</f>
        <v>Harina de baja proteina x 1</v>
      </c>
      <c r="D106" s="381"/>
      <c r="E106" s="230"/>
      <c r="F106" s="230">
        <v>1</v>
      </c>
      <c r="G106" s="505"/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8" customHeight="1" ht="16.35">
      <c r="A107" s="139">
        <f>S39/50</f>
        <v>0</v>
      </c>
      <c r="B107" s="139">
        <f>IF(A107=0,0,((A107*50)/$B$54))</f>
        <v>0</v>
      </c>
      <c r="C107" s="449" t="s">
        <v>171</v>
      </c>
      <c r="D107" s="381"/>
      <c r="E107" s="230"/>
      <c r="F107" s="230"/>
      <c r="G107" s="507"/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8" customHeight="1" ht="16.35">
      <c r="A108" s="139">
        <f>S40/50</f>
        <v>0</v>
      </c>
      <c r="B108" s="139">
        <f>IF(A108=0,0,((A108*50)/$B$54))</f>
        <v>0</v>
      </c>
      <c r="C108" s="449" t="s">
        <v>171</v>
      </c>
      <c r="D108" s="381"/>
      <c r="E108" s="230"/>
      <c r="F108" s="230"/>
      <c r="G108" s="507"/>
      <c r="X108" s="213"/>
      <c r="Y108" s="213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8" customHeight="1" ht="24">
      <c r="A109" s="139">
        <f>T36/50</f>
        <v>1237.11999999999989</v>
      </c>
      <c r="B109" s="139">
        <f>IF(A109=0,0,((A109*50)/$B$54))</f>
        <v>72201.25995634133869</v>
      </c>
      <c r="C109" s="449" t="str">
        <f>T3</f>
        <v>ARTESANAL X 1
G</v>
      </c>
      <c r="D109" s="573">
        <v>0.52</v>
      </c>
      <c r="E109" s="186">
        <v>0</v>
      </c>
      <c r="F109" s="186">
        <v>0.25</v>
      </c>
      <c r="G109" s="576">
        <v>0.23</v>
      </c>
      <c r="X109" s="213"/>
      <c r="Y109" s="213"/>
      <c r="Z109" s="6"/>
      <c r="AA109" s="6"/>
      <c r="AB109" s="6"/>
      <c r="AC109" s="6"/>
      <c r="AD109" s="6"/>
      <c r="AE109" s="6"/>
      <c r="AH109" s="147"/>
      <c r="AI109" s="147"/>
      <c r="AJ109" s="147"/>
    </row>
    <row r="110" spans="1:58" customHeight="1" ht="22.5">
      <c r="A110" s="139">
        <f>T39/50</f>
        <v>0</v>
      </c>
      <c r="B110" s="139">
        <f>IF(A110=0,0,((A110*50)/$B$54))</f>
        <v>0</v>
      </c>
      <c r="C110" s="449" t="str">
        <f>T3</f>
        <v>ARTESANAL X 1
G</v>
      </c>
      <c r="D110" s="573">
        <v>0.52</v>
      </c>
      <c r="E110" s="186">
        <v>0</v>
      </c>
      <c r="F110" s="186">
        <v>0.25</v>
      </c>
      <c r="G110" s="576">
        <v>0.23</v>
      </c>
      <c r="X110" s="213"/>
      <c r="Y110" s="213"/>
      <c r="Z110" s="6"/>
      <c r="AA110" s="6"/>
      <c r="AB110" s="6"/>
      <c r="AC110" s="6"/>
      <c r="AD110" s="6"/>
      <c r="AE110" s="6"/>
      <c r="AH110" s="147"/>
      <c r="AI110" s="147"/>
      <c r="AJ110" s="147"/>
    </row>
    <row r="111" spans="1:58" customHeight="1" ht="16.35">
      <c r="A111" s="139">
        <f>P36/2</f>
        <v>0</v>
      </c>
      <c r="B111" s="139">
        <f>IF(A111=0,0,((A111*50)/$B$54))</f>
        <v>0</v>
      </c>
      <c r="C111" s="379" t="str">
        <f>P3</f>
        <v>Harina Manitoba
</v>
      </c>
      <c r="D111" s="470"/>
      <c r="E111" s="186"/>
      <c r="F111" s="186"/>
      <c r="G111" s="507"/>
      <c r="X111" s="213"/>
      <c r="Y111" s="213"/>
      <c r="Z111" s="6"/>
      <c r="AA111" s="6"/>
      <c r="AB111" s="6"/>
      <c r="AC111" s="6"/>
      <c r="AD111" s="6"/>
      <c r="AE111" s="6"/>
      <c r="AH111" s="147"/>
      <c r="AI111" s="147"/>
      <c r="AJ111" s="147"/>
    </row>
    <row r="112" spans="1:58" customHeight="1" ht="16.35">
      <c r="A112" s="139">
        <f>U36/2</f>
        <v>0</v>
      </c>
      <c r="B112" s="139">
        <f>IF(A112=0,0,((A112*50)/$B$54))</f>
        <v>0</v>
      </c>
      <c r="C112" s="379" t="str">
        <f>U3</f>
        <v>H. espcial x 25
</v>
      </c>
      <c r="D112" s="378"/>
      <c r="E112" s="251">
        <v>0</v>
      </c>
      <c r="F112" s="509">
        <v>1</v>
      </c>
      <c r="G112" s="510"/>
      <c r="X112" s="213"/>
      <c r="Y112" s="213"/>
      <c r="Z112" s="6"/>
      <c r="AA112" s="6"/>
      <c r="AB112" s="6"/>
      <c r="AC112" s="6"/>
      <c r="AD112" s="6"/>
      <c r="AE112" s="6"/>
      <c r="AH112" s="147"/>
      <c r="AI112" s="147"/>
      <c r="AJ112" s="147"/>
    </row>
    <row r="113" spans="1:58" customHeight="1" ht="16.35">
      <c r="A113" s="139"/>
      <c r="B113" s="139"/>
      <c r="C113" s="216"/>
      <c r="D113" s="4"/>
      <c r="E113" s="4"/>
      <c r="F113" s="4"/>
      <c r="G113" s="464"/>
      <c r="X113" s="213"/>
      <c r="Y113" s="213"/>
      <c r="Z113" s="6"/>
      <c r="AA113" s="6"/>
      <c r="AB113" s="6"/>
      <c r="AC113" s="6"/>
      <c r="AD113" s="6"/>
      <c r="AE113" s="6"/>
      <c r="AH113" s="147"/>
      <c r="AI113" s="147"/>
      <c r="AJ113" s="147"/>
    </row>
    <row r="114" spans="1:58" customHeight="1" ht="16.35">
      <c r="A114" s="139">
        <f>Z43/2</f>
        <v>137</v>
      </c>
      <c r="B114" s="139">
        <f>IF(A114=0,0,((A114*51.6)))</f>
        <v>7069.19999999999982</v>
      </c>
      <c r="C114" s="217" t="str">
        <f>A43</f>
        <v>Grano entero</v>
      </c>
      <c r="D114" s="182">
        <v>0.7</v>
      </c>
      <c r="E114" s="182">
        <v>0.3</v>
      </c>
      <c r="F114" s="512"/>
      <c r="G114" s="511"/>
      <c r="X114" s="213"/>
      <c r="Y114" s="213"/>
      <c r="Z114" s="6"/>
      <c r="AA114" s="6"/>
      <c r="AB114" s="6"/>
      <c r="AC114" s="6"/>
      <c r="AD114" s="6"/>
      <c r="AE114" s="6"/>
      <c r="AH114" s="147"/>
      <c r="AI114" s="147"/>
      <c r="AJ114" s="147"/>
    </row>
    <row r="115" spans="1:58" customHeight="1" ht="16.35">
      <c r="A115" s="139">
        <f>Z44/2</f>
        <v>0</v>
      </c>
      <c r="B115" s="139">
        <f>IF(A115=0,0,((A115*50)))</f>
        <v>0</v>
      </c>
      <c r="C115" s="379" t="str">
        <f>A44</f>
        <v>Bio Convercion </v>
      </c>
      <c r="D115" s="462"/>
      <c r="E115" s="366"/>
      <c r="F115" s="186"/>
      <c r="G115" s="505"/>
      <c r="X115" s="213"/>
      <c r="Y115" s="213"/>
      <c r="Z115" s="6"/>
      <c r="AA115" s="6"/>
      <c r="AB115" s="6"/>
      <c r="AC115" s="6"/>
      <c r="AD115" s="6"/>
      <c r="AE115" s="6"/>
      <c r="AH115" s="147"/>
      <c r="AI115" s="147"/>
      <c r="AJ115" s="147"/>
    </row>
    <row r="116" spans="1:58" customHeight="1" ht="16.35">
      <c r="A116" s="139">
        <f>Z46/2</f>
        <v>580</v>
      </c>
      <c r="B116" s="139">
        <f>IF(A116=0,0,((A116*50.55)))</f>
        <v>29319</v>
      </c>
      <c r="C116" s="380" t="str">
        <f>A46</f>
        <v>Trigo entero </v>
      </c>
      <c r="D116" s="470"/>
      <c r="E116" s="230">
        <v>0.5</v>
      </c>
      <c r="F116" s="366"/>
      <c r="G116" s="513">
        <v>0.5</v>
      </c>
      <c r="X116" s="213"/>
      <c r="Y116" s="213"/>
      <c r="Z116" s="6"/>
      <c r="AA116" s="6"/>
      <c r="AB116" s="6"/>
      <c r="AC116" s="6"/>
      <c r="AD116" s="6"/>
      <c r="AE116" s="6"/>
      <c r="AH116" s="147"/>
      <c r="AI116" s="147"/>
      <c r="AJ116" s="147"/>
    </row>
    <row r="117" spans="1:58" customHeight="1" ht="16.35">
      <c r="A117" s="139">
        <f>AA46/2</f>
        <v>0</v>
      </c>
      <c r="B117" s="139">
        <f>IF(A117=0,0,((A117*52)))</f>
        <v>0</v>
      </c>
      <c r="C117" s="380" t="str">
        <f>C116</f>
        <v>Trigo entero </v>
      </c>
      <c r="D117" s="378"/>
      <c r="E117" s="192"/>
      <c r="F117" s="192"/>
      <c r="G117" s="514"/>
      <c r="X117" s="213"/>
      <c r="Y117" s="213"/>
      <c r="Z117" s="6"/>
      <c r="AA117" s="6"/>
      <c r="AB117" s="6"/>
      <c r="AC117" s="6"/>
      <c r="AD117" s="6"/>
      <c r="AE117" s="6"/>
      <c r="AH117" s="147"/>
      <c r="AI117" s="147"/>
      <c r="AJ117" s="147"/>
    </row>
    <row r="118" spans="1:58" customHeight="1" ht="13.5">
      <c r="B118" s="139">
        <f>SUM(B83:B117)</f>
        <v>5658601.42359402403235</v>
      </c>
      <c r="X118" s="213"/>
      <c r="Y118" s="386"/>
      <c r="Z118" s="6"/>
      <c r="AA118" s="6"/>
      <c r="AB118" s="6"/>
      <c r="AC118" s="6"/>
      <c r="AD118" s="6"/>
      <c r="AE118" s="6"/>
      <c r="AH118" s="147"/>
      <c r="AI118" s="147"/>
      <c r="AJ118" s="147"/>
      <c r="AO118" s="147"/>
      <c r="AP118" s="147"/>
    </row>
    <row r="119" spans="1:58" customHeight="1" ht="12.75">
      <c r="X119" s="213"/>
      <c r="Y119" s="4"/>
      <c r="Z119" s="4"/>
      <c r="AB119" s="384"/>
      <c r="AC119" s="385"/>
      <c r="AD119" s="4"/>
      <c r="AE119" s="213"/>
      <c r="AF119" s="213"/>
      <c r="AG119" s="6"/>
      <c r="AH119" s="6"/>
      <c r="AI119" s="6"/>
      <c r="AJ119" s="6"/>
      <c r="AK119" s="6"/>
      <c r="AL119" s="6"/>
      <c r="AM119" s="6"/>
      <c r="AP119" s="147"/>
      <c r="AQ119" s="147"/>
      <c r="AV119" s="147"/>
      <c r="AW119" s="147"/>
    </row>
    <row r="120" spans="1:58">
      <c r="X120" s="213"/>
      <c r="Y120" s="4"/>
      <c r="Z120" s="4"/>
      <c r="AB120" s="4"/>
      <c r="AE120" s="213"/>
      <c r="AF120" s="473"/>
      <c r="AG120" s="6"/>
      <c r="AH120" s="6"/>
      <c r="AI120" s="6"/>
      <c r="AJ120" s="6"/>
      <c r="AK120" s="6"/>
      <c r="AL120" s="6"/>
      <c r="AM120" s="6"/>
      <c r="AP120" s="147"/>
      <c r="AQ120" s="147"/>
      <c r="AV120" s="147"/>
      <c r="AW120" s="147"/>
    </row>
    <row r="121" spans="1:58">
      <c r="X121" s="213"/>
      <c r="Y121" s="213"/>
      <c r="Z121" s="4"/>
      <c r="AA121" s="4"/>
      <c r="AC121" s="4"/>
      <c r="AF121" s="213"/>
      <c r="AG121" s="213"/>
      <c r="AH121" s="6"/>
      <c r="AI121" s="6"/>
      <c r="AJ121" s="6"/>
      <c r="AK121" s="6"/>
      <c r="AL121" s="6"/>
      <c r="AM121" s="6"/>
      <c r="AN121" s="6"/>
      <c r="AQ121" s="147"/>
      <c r="AR121" s="147"/>
      <c r="AW121" s="147"/>
      <c r="AX121" s="147"/>
    </row>
    <row r="122" spans="1:58">
      <c r="X122" s="213"/>
      <c r="Z122" s="4"/>
      <c r="AA122" s="4"/>
      <c r="AC122" s="4"/>
      <c r="AF122" s="213"/>
      <c r="AG122" s="213"/>
      <c r="AH122" s="6"/>
      <c r="AI122" s="6"/>
      <c r="AJ122" s="6"/>
      <c r="AK122" s="6"/>
      <c r="AL122" s="6"/>
      <c r="AM122" s="6"/>
      <c r="AN122" s="6"/>
      <c r="AQ122" s="147"/>
      <c r="AR122" s="147"/>
      <c r="AW122" s="147"/>
      <c r="AX122" s="147"/>
    </row>
    <row r="123" spans="1:58">
      <c r="N123" s="4"/>
      <c r="X123" s="213"/>
      <c r="AA123" s="4"/>
      <c r="AC123" s="4"/>
      <c r="AF123" s="213"/>
      <c r="AG123" s="213"/>
      <c r="AH123" s="6"/>
      <c r="AI123" s="6"/>
      <c r="AJ123" s="6"/>
      <c r="AK123" s="6"/>
      <c r="AL123" s="6"/>
      <c r="AM123" s="6"/>
      <c r="AN123" s="6"/>
      <c r="AQ123" s="147"/>
      <c r="AR123" s="147"/>
      <c r="AW123" s="147"/>
      <c r="AX123" s="147"/>
    </row>
    <row r="124" spans="1:58">
      <c r="N124" s="4"/>
      <c r="X124" s="213"/>
      <c r="Z124" s="6"/>
      <c r="AA124" s="6"/>
      <c r="AB124" s="6"/>
      <c r="AC124" s="6"/>
      <c r="AD124" s="6"/>
      <c r="AE124" s="6"/>
      <c r="AH124" s="147"/>
      <c r="AI124" s="147"/>
      <c r="AJ124" s="147"/>
      <c r="AO124" s="147"/>
      <c r="AP124" s="147"/>
    </row>
    <row r="125" spans="1:58">
      <c r="N125" s="4"/>
      <c r="X125" s="213"/>
      <c r="Z125" s="6"/>
      <c r="AA125" s="6"/>
      <c r="AB125" s="6"/>
      <c r="AC125" s="6"/>
      <c r="AD125" s="6"/>
      <c r="AE125" s="6"/>
      <c r="AH125" s="147"/>
      <c r="AI125" s="147"/>
      <c r="AJ125" s="147"/>
      <c r="AO125" s="147"/>
      <c r="AP125" s="147"/>
    </row>
    <row r="126" spans="1:58">
      <c r="N126" s="4"/>
      <c r="X126" s="213"/>
      <c r="AD126" s="6"/>
      <c r="AE126" s="6"/>
      <c r="AH126" s="147"/>
      <c r="AI126" s="147"/>
      <c r="AJ126" s="147"/>
      <c r="AO126" s="147"/>
      <c r="AP126" s="147"/>
    </row>
    <row r="127" spans="1:58">
      <c r="N127" s="4"/>
      <c r="X127" s="4"/>
    </row>
    <row r="128" spans="1:58">
      <c r="N128" s="4"/>
      <c r="X128" s="4"/>
    </row>
    <row r="129" spans="1:58">
      <c r="N129" s="4"/>
    </row>
    <row r="130" spans="1:58">
      <c r="N130" s="4"/>
      <c r="W130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58"/>
    <protectedRange name="Repaso y reproceso_2" sqref="V43:W46"/>
    <protectedRange name="Produccion Harinas_2" sqref="C43:U46"/>
    <protectedRange name="Produccion otros productos_2" sqref="X43:AC46"/>
    <protectedRange name="Datos basculas_2" sqref="AW43:BB46"/>
    <protectedRange name="Horas_2" sqref="AN43:AP46"/>
    <protectedRange name="Fecha_2" sqref="B43:B46"/>
    <protectedRange name="Produccion Harinas" sqref="T5:U8 D6:R8 J5:R5 C9:U35"/>
    <protectedRange name="Datos energia" sqref="H545 G56:H57"/>
    <protectedRange name="Formulas trigo" sqref="H88:J99 D94:F94 H83:J86 D113:F117 H103:J117"/>
    <protectedRange name="Produccion otros productos" sqref="X5:Z8 Z4 AC15 X9:AC13 X20:Z20 AB14:AC14 X14:AA19 AB16:AC19 X21:AC35"/>
    <protectedRange name="Formulas vitamina" sqref="Z76:AB76"/>
    <protectedRange name="Datos basculas" sqref="AW4:BB35"/>
    <protectedRange name="Horas" sqref="AN4:AP35"/>
    <protectedRange name="Datos Nomina" sqref="O57:Q57"/>
    <protectedRange name="Fecha" sqref="B23:B35"/>
    <protectedRange name="Trigos" sqref="D81:E81 H81:M81"/>
    <protectedRange name="Formulas trigo_3" sqref="H100:J100"/>
    <protectedRange name="Formulas trigo_5" sqref="H101:J102"/>
    <protectedRange name="Datos basculas_4_2_1_2" sqref="BD4:BE5 BC4:BC7"/>
    <protectedRange name="Datos energia_2" sqref="G55:H55"/>
    <protectedRange name="Repaso y reproceso_3" sqref="V4:W4"/>
    <protectedRange name="Produccion Harinas_4" sqref="D4:Q4 D5:I5"/>
    <protectedRange name="Produccion otros productos_3" sqref="X4:Y4"/>
    <protectedRange name="Produccion Harinas_3_1" sqref="R4 T4:U4"/>
    <protectedRange name="Formulas trigo_1" sqref="G83:G86 G113:G117 G93:G94"/>
    <protectedRange name="Formulas trigo_1_2_6_1" sqref="G87"/>
    <protectedRange name="Produccion Harinas_3" sqref="C4:C8"/>
    <protectedRange name="Produccion Harinas_6" sqref="S4:S8"/>
    <protectedRange name="Produccion otros productos_4" sqref="AA4:AC8"/>
    <protectedRange name="Datos energia_1" sqref="G54:H54"/>
    <protectedRange name="Fecha_1" sqref="B4:B22"/>
    <protectedRange name="Formulas trigo_2" sqref="F83:F86 D93:F93"/>
    <protectedRange name="Formulas trigo_1_3_1" sqref="D83:D86"/>
    <protectedRange name="Formulas trigo_1_8_1" sqref="E87"/>
    <protectedRange name="Formulas trigo_1_2_6_2" sqref="F87"/>
    <protectedRange name="Formulas trigo_4" sqref="D103:F108 D98:F98 D111:F112"/>
    <protectedRange name="Formulas trigo_1_4_1" sqref="E100"/>
    <protectedRange name="Formulas trigo_1_2_2_2" sqref="F100"/>
    <protectedRange name="Formulas trigo_1_3_2_1" sqref="D100"/>
    <protectedRange name="Formulas trigo_1_6_1" sqref="E101:E102"/>
    <protectedRange name="Formulas trigo_1_2_4_2" sqref="F101:F102"/>
    <protectedRange name="Formulas trigo_1_3_4_1" sqref="D101:D102"/>
    <protectedRange name="Formulas trigo_1_1" sqref="G98 G105:G108 G111:G112 G100:G102"/>
    <protectedRange name="Formulas trigo_1_2_2_1_1" sqref="G103"/>
    <protectedRange name="Formulas trigo_1_2_4_1_1" sqref="G104"/>
    <protectedRange name="Formulas trigo_1_2" sqref="G88 G95:G97 G99 G109:G110"/>
    <protectedRange name="Formulas trigo_2_2" sqref="D88:F88 D95:F97 D99:F99 D109:F110"/>
    <protectedRange name="Formulas trigo_1_3" sqref="G89"/>
    <protectedRange name="Formulas trigo_2_3" sqref="D89:F89"/>
    <protectedRange name="Formulas trigo_1_4" sqref="G90"/>
    <protectedRange name="Formulas trigo_2_4" sqref="D90:F90"/>
    <protectedRange name="Formulas trigo_1_5" sqref="G91"/>
    <protectedRange name="Formulas trigo_2_5" sqref="D91:F91"/>
    <protectedRange name="Formulas trigo_1_6" sqref="G92"/>
    <protectedRange name="Formulas trigo_2_6" sqref="D92:F92"/>
  </protectedRanges>
  <mergeCells>
    <mergeCell ref="B1:W1"/>
    <mergeCell ref="AH1:AM1"/>
    <mergeCell ref="AN1:AX1"/>
    <mergeCell ref="B2:Q2"/>
    <mergeCell ref="R2:T2"/>
    <mergeCell ref="V2:W2"/>
    <mergeCell ref="X2:Z2"/>
    <mergeCell ref="AA2:AC2"/>
    <mergeCell ref="AF2:AM2"/>
    <mergeCell ref="AN2:AP2"/>
    <mergeCell ref="AE49:AF49"/>
    <mergeCell ref="AQ2:AU2"/>
    <mergeCell ref="AW2:BF2"/>
    <mergeCell ref="AW4:AW33"/>
    <mergeCell ref="AX4:AX33"/>
    <mergeCell ref="AY4:AY33"/>
    <mergeCell ref="AZ4:AZ33"/>
    <mergeCell ref="BA4:BA33"/>
    <mergeCell ref="BB4:BB33"/>
    <mergeCell ref="BC4:BC33"/>
    <mergeCell ref="BD4:BD33"/>
    <mergeCell ref="BE4:BE33"/>
    <mergeCell ref="BF4:BF33"/>
    <mergeCell ref="AD39:AE39"/>
    <mergeCell ref="AE40:AF40"/>
    <mergeCell ref="AD48:AE48"/>
    <mergeCell ref="R50:U50"/>
    <mergeCell ref="F51:G51"/>
    <mergeCell ref="K51:L51"/>
    <mergeCell ref="O51:P51"/>
    <mergeCell ref="S51:T51"/>
    <mergeCell ref="A50:B50"/>
    <mergeCell ref="C50:C51"/>
    <mergeCell ref="F50:H50"/>
    <mergeCell ref="K50:M50"/>
    <mergeCell ref="O50:Q50"/>
    <mergeCell ref="V51:W51"/>
    <mergeCell ref="F52:G52"/>
    <mergeCell ref="K52:L52"/>
    <mergeCell ref="O52:P52"/>
    <mergeCell ref="S52:T52"/>
    <mergeCell ref="V52:W52"/>
    <mergeCell ref="G54:H54"/>
    <mergeCell ref="K54:L54"/>
    <mergeCell ref="O54:P54"/>
    <mergeCell ref="S54:T54"/>
    <mergeCell ref="V54:W54"/>
    <mergeCell ref="F53:G53"/>
    <mergeCell ref="K53:L53"/>
    <mergeCell ref="O53:P53"/>
    <mergeCell ref="S53:T53"/>
    <mergeCell ref="V53:W53"/>
    <mergeCell ref="G56:H56"/>
    <mergeCell ref="K56:L56"/>
    <mergeCell ref="O56:P56"/>
    <mergeCell ref="S56:T56"/>
    <mergeCell ref="V56:W56"/>
    <mergeCell ref="G55:I55"/>
    <mergeCell ref="K55:L55"/>
    <mergeCell ref="O55:P55"/>
    <mergeCell ref="S55:T55"/>
    <mergeCell ref="V55:W55"/>
    <mergeCell ref="F66:H66"/>
    <mergeCell ref="U66:V66"/>
    <mergeCell ref="G57:H57"/>
    <mergeCell ref="F58:G58"/>
    <mergeCell ref="K58:O58"/>
    <mergeCell ref="G61:H61"/>
    <mergeCell ref="T61:V61"/>
    <mergeCell ref="U62:V62"/>
    <mergeCell ref="F63:H63"/>
    <mergeCell ref="K63:O63"/>
    <mergeCell ref="U63:V63"/>
    <mergeCell ref="F64:G64"/>
    <mergeCell ref="T65:V65"/>
    <mergeCell ref="F71:G71"/>
    <mergeCell ref="V72:V73"/>
    <mergeCell ref="F67:G67"/>
    <mergeCell ref="U67:V67"/>
    <mergeCell ref="U68:V68"/>
    <mergeCell ref="G69:H69"/>
    <mergeCell ref="U69:V69"/>
    <mergeCell ref="G70:H70"/>
    <mergeCell ref="M70:O70"/>
  </mergeCells>
  <conditionalFormatting sqref="I56">
    <cfRule type="cellIs" dxfId="0" priority="4" operator="lessThan" stopIfTrue="1">
      <formula>0.935</formula>
    </cfRule>
  </conditionalFormatting>
  <conditionalFormatting sqref="AF3">
    <cfRule type="cellIs" dxfId="1" priority="3" operator="lessThan" stopIfTrue="1">
      <formula>0.76</formula>
    </cfRule>
  </conditionalFormatting>
  <conditionalFormatting sqref="AF4:AF35">
    <cfRule type="cellIs" dxfId="2" priority="5" operator="lessThan" stopIfTrue="1">
      <formula>0.765</formula>
    </cfRule>
  </conditionalFormatting>
  <conditionalFormatting sqref="AF36:AF37 AE77:AE78 AE80:AE92 Z93:AC118 AG119:AI120 AK119:AK120 AH121:AI123 AK121:AL123 Z124:AC125">
    <cfRule type="cellIs" dxfId="1" priority="6" operator="lessThan" stopIfTrue="1">
      <formula>0.76</formula>
    </cfRule>
  </conditionalFormatting>
  <conditionalFormatting sqref="AF43:AF46">
    <cfRule type="cellIs" dxfId="2" priority="1" operator="lessThan" stopIfTrue="1">
      <formula>0.765</formula>
    </cfRule>
  </conditionalFormatting>
  <conditionalFormatting sqref="AH1:AI1 AJ119:AJ123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29"/>
  <sheetViews>
    <sheetView tabSelected="0" workbookViewId="0" zoomScale="85" zoomScaleNormal="85" showGridLines="true" showRowColHeaders="1" topLeftCell="A41">
      <selection activeCell="N55" sqref="N55"/>
    </sheetView>
  </sheetViews>
  <sheetFormatPr defaultRowHeight="14.4" defaultColWidth="14.42578125" outlineLevelRow="0" outlineLevelCol="0"/>
  <cols>
    <col min="1" max="1" width="11.5703125" customWidth="true" style="1"/>
    <col min="2" max="2" width="16.5703125" customWidth="true" style="1"/>
    <col min="3" max="3" width="13.42578125" customWidth="true" style="1"/>
    <col min="4" max="4" width="10.570312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3.42578125" customWidth="true" style="1"/>
    <col min="10" max="10" width="12.28515625" customWidth="true" style="1"/>
    <col min="11" max="11" width="11.42578125" customWidth="true" style="1"/>
    <col min="12" max="12" width="10.7109375" customWidth="true" style="1"/>
    <col min="13" max="13" width="8.28515625" customWidth="true" style="1"/>
    <col min="14" max="14" width="12.28515625" customWidth="true" style="1"/>
    <col min="15" max="15" width="12" customWidth="true" style="1"/>
    <col min="16" max="16" width="12" customWidth="true" style="1"/>
    <col min="17" max="17" width="10.28515625" customWidth="true" style="1"/>
    <col min="18" max="18" width="13.42578125" customWidth="true" style="1"/>
    <col min="19" max="19" width="10.5703125" customWidth="true" style="1"/>
    <col min="20" max="20" width="12.28515625" customWidth="true" style="1"/>
    <col min="21" max="21" width="11.42578125" customWidth="true" style="1"/>
    <col min="22" max="22" width="8.28515625" customWidth="true" style="1"/>
    <col min="23" max="23" width="10.28515625" customWidth="true" style="1"/>
    <col min="24" max="24" width="13.42578125" customWidth="true" style="1"/>
    <col min="25" max="25" width="9.42578125" customWidth="true" style="1"/>
    <col min="26" max="26" width="7.5703125" customWidth="true" style="1"/>
    <col min="27" max="27" width="9.5703125" customWidth="true" style="1"/>
    <col min="28" max="28" width="9.5703125" customWidth="true" style="1"/>
    <col min="29" max="29" width="11.7109375" customWidth="true" style="1"/>
    <col min="30" max="30" width="10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0.5703125" customWidth="true" style="1"/>
    <col min="51" max="51" width="11.42578125" customWidth="true" style="1"/>
    <col min="52" max="52" width="8.28515625" customWidth="true" style="1"/>
    <col min="53" max="53" width="12" customWidth="true" style="1"/>
    <col min="54" max="54" width="12" customWidth="true" style="1"/>
    <col min="55" max="55" width="12" customWidth="true" style="1"/>
    <col min="56" max="56" width="14.42578125" style="1"/>
  </cols>
  <sheetData>
    <row r="1" spans="1:58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8" customHeight="1" ht="18.75">
      <c r="B2" s="701" t="s">
        <v>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2"/>
      <c r="Q2" s="703"/>
      <c r="R2" s="704" t="s">
        <v>4</v>
      </c>
      <c r="S2" s="705"/>
      <c r="T2" s="706"/>
      <c r="U2" s="416" t="s">
        <v>5</v>
      </c>
      <c r="V2" s="704" t="s">
        <v>6</v>
      </c>
      <c r="W2" s="707"/>
      <c r="X2" s="708" t="s">
        <v>7</v>
      </c>
      <c r="Y2" s="708"/>
      <c r="Z2" s="708"/>
      <c r="AA2" s="709" t="s">
        <v>8</v>
      </c>
      <c r="AB2" s="709"/>
      <c r="AC2" s="709"/>
      <c r="AD2" s="6"/>
      <c r="AE2" s="6"/>
      <c r="AF2" s="710" t="s">
        <v>9</v>
      </c>
      <c r="AG2" s="710"/>
      <c r="AH2" s="710"/>
      <c r="AI2" s="710"/>
      <c r="AJ2" s="710"/>
      <c r="AK2" s="710"/>
      <c r="AL2" s="710"/>
      <c r="AM2" s="710"/>
      <c r="AN2" s="711" t="s">
        <v>10</v>
      </c>
      <c r="AO2" s="711"/>
      <c r="AP2" s="711"/>
      <c r="AQ2" s="712" t="s">
        <v>11</v>
      </c>
      <c r="AR2" s="712"/>
      <c r="AS2" s="712"/>
      <c r="AT2" s="712"/>
      <c r="AU2" s="712"/>
      <c r="AV2" s="471" t="s">
        <v>12</v>
      </c>
      <c r="AW2" s="712" t="s">
        <v>13</v>
      </c>
      <c r="AX2" s="712"/>
      <c r="AY2" s="712"/>
      <c r="AZ2" s="712"/>
      <c r="BA2" s="712"/>
      <c r="BB2" s="712"/>
      <c r="BC2" s="712"/>
      <c r="BD2" s="712"/>
      <c r="BE2" s="712"/>
      <c r="BF2" s="712"/>
    </row>
    <row r="3" spans="1:58" customHeight="1" ht="53.25" s="40" customFormat="1">
      <c r="A3" s="8" t="s">
        <v>14</v>
      </c>
      <c r="B3" s="333" t="s">
        <v>15</v>
      </c>
      <c r="C3" s="566" t="s">
        <v>16</v>
      </c>
      <c r="D3" s="567" t="s">
        <v>17</v>
      </c>
      <c r="E3" s="549" t="s">
        <v>18</v>
      </c>
      <c r="F3" s="550" t="s">
        <v>19</v>
      </c>
      <c r="G3" s="551" t="s">
        <v>20</v>
      </c>
      <c r="H3" s="552" t="s">
        <v>21</v>
      </c>
      <c r="I3" s="553" t="s">
        <v>22</v>
      </c>
      <c r="J3" s="553" t="s">
        <v>23</v>
      </c>
      <c r="K3" s="554" t="s">
        <v>24</v>
      </c>
      <c r="L3" s="554" t="s">
        <v>25</v>
      </c>
      <c r="M3" s="555" t="s">
        <v>26</v>
      </c>
      <c r="N3" s="553" t="s">
        <v>27</v>
      </c>
      <c r="O3" s="553" t="s">
        <v>28</v>
      </c>
      <c r="P3" s="556" t="s">
        <v>29</v>
      </c>
      <c r="Q3" s="557" t="s">
        <v>30</v>
      </c>
      <c r="R3" s="409" t="s">
        <v>31</v>
      </c>
      <c r="S3" s="284" t="s">
        <v>32</v>
      </c>
      <c r="T3" s="559" t="s">
        <v>33</v>
      </c>
      <c r="U3" s="558" t="s">
        <v>34</v>
      </c>
      <c r="V3" s="405" t="s">
        <v>35</v>
      </c>
      <c r="W3" s="562" t="s">
        <v>36</v>
      </c>
      <c r="X3" s="560" t="s">
        <v>37</v>
      </c>
      <c r="Y3" s="561" t="s">
        <v>38</v>
      </c>
      <c r="Z3" s="565" t="s">
        <v>39</v>
      </c>
      <c r="AA3" s="563" t="s">
        <v>40</v>
      </c>
      <c r="AB3" s="334" t="s">
        <v>41</v>
      </c>
      <c r="AC3" s="564" t="s">
        <v>42</v>
      </c>
      <c r="AD3" s="27" t="s">
        <v>43</v>
      </c>
      <c r="AE3" s="27" t="s">
        <v>44</v>
      </c>
      <c r="AF3" s="335" t="s">
        <v>45</v>
      </c>
      <c r="AG3" s="336" t="s">
        <v>46</v>
      </c>
      <c r="AH3" s="337" t="str">
        <f>X3</f>
        <v>Germen 
25</v>
      </c>
      <c r="AI3" s="338" t="s">
        <v>47</v>
      </c>
      <c r="AJ3" s="337" t="str">
        <f>AA3</f>
        <v>Salvado 
25</v>
      </c>
      <c r="AK3" s="339" t="str">
        <f>AB3</f>
        <v>Mogolla 
40</v>
      </c>
      <c r="AL3" s="339" t="str">
        <f>AC3</f>
        <v>Segunda  
50</v>
      </c>
      <c r="AM3" s="340" t="str">
        <f>B3</f>
        <v>Fecha</v>
      </c>
      <c r="AN3" s="341" t="s">
        <v>48</v>
      </c>
      <c r="AO3" s="342" t="s">
        <v>49</v>
      </c>
      <c r="AP3" s="342" t="s">
        <v>50</v>
      </c>
      <c r="AQ3" s="343" t="s">
        <v>51</v>
      </c>
      <c r="AR3" s="344" t="s">
        <v>52</v>
      </c>
      <c r="AS3" s="344" t="s">
        <v>53</v>
      </c>
      <c r="AT3" s="344" t="s">
        <v>54</v>
      </c>
      <c r="AU3" s="344" t="s">
        <v>55</v>
      </c>
      <c r="AV3" s="343" t="s">
        <v>56</v>
      </c>
      <c r="AW3" s="345" t="s">
        <v>57</v>
      </c>
      <c r="AX3" s="345" t="s">
        <v>58</v>
      </c>
      <c r="AY3" s="345" t="s">
        <v>59</v>
      </c>
      <c r="AZ3" s="345" t="s">
        <v>60</v>
      </c>
      <c r="BA3" s="346" t="s">
        <v>61</v>
      </c>
      <c r="BB3" s="346" t="s">
        <v>62</v>
      </c>
      <c r="BC3" s="347" t="s">
        <v>63</v>
      </c>
      <c r="BD3" s="345" t="s">
        <v>64</v>
      </c>
      <c r="BE3" s="348" t="s">
        <v>65</v>
      </c>
      <c r="BF3" s="349" t="s">
        <v>66</v>
      </c>
    </row>
    <row r="4" spans="1:58" customHeight="1" ht="13.9">
      <c r="A4" s="485" t="str">
        <f>IF(B4="","",1)</f>
        <v/>
      </c>
      <c r="B4" s="42"/>
      <c r="C4" s="43"/>
      <c r="D4" s="526"/>
      <c r="E4" s="527"/>
      <c r="F4" s="241"/>
      <c r="G4" s="528"/>
      <c r="H4" s="44"/>
      <c r="I4" s="48"/>
      <c r="J4" s="48"/>
      <c r="K4" s="44"/>
      <c r="L4" s="493"/>
      <c r="M4" s="493"/>
      <c r="N4" s="244"/>
      <c r="O4" s="244"/>
      <c r="P4" s="465"/>
      <c r="Q4" s="529"/>
      <c r="R4" s="497"/>
      <c r="S4" s="275"/>
      <c r="T4" s="241"/>
      <c r="U4" s="450"/>
      <c r="V4" s="406"/>
      <c r="W4" s="241"/>
      <c r="X4" s="451"/>
      <c r="Y4" s="52"/>
      <c r="Z4" s="530"/>
      <c r="AA4" s="280"/>
      <c r="AB4" s="53"/>
      <c r="AC4" s="54"/>
      <c r="AD4" s="55" t="str">
        <f>IF(B4="","",(((C4+F4+H4+K4+Q4+N4+O4)*50))+((E4*10))+(((I4+J4+D4+G4+L4+M4+U4)*25)+(X4*25)+(Y4*25)+(Z4*25)+(AA4*25)+(AB4*40)+(AC4*50)+(R4*1)+(S4*1)+(T4*1)))</f>
        <v/>
      </c>
      <c r="AE4" s="55" t="str">
        <f>IF(B4="","",C4+F4+H4+K4+Q4+N4+O4+((I4+J4+D4+G4)/2)+(R4/50)+(S4/50)+(T4/50)+(U4/2)+(E4/5))</f>
        <v/>
      </c>
      <c r="AF4" s="56" t="str">
        <f>IF(B4="","",((AE4*50)/AD4))</f>
        <v/>
      </c>
      <c r="AG4" s="57" t="str">
        <f>IF(C4="","",((Z4)*25)/AD4)</f>
        <v/>
      </c>
      <c r="AH4" s="57" t="str">
        <f>IF(B4="","",(X4*25)/AD4)</f>
        <v/>
      </c>
      <c r="AI4" s="57" t="str">
        <f>IF(B4="","",(Y4*25)/AD4)</f>
        <v/>
      </c>
      <c r="AJ4" s="57" t="str">
        <f>IF(B4="","",(AA4*25)/AD4)</f>
        <v/>
      </c>
      <c r="AK4" s="58" t="str">
        <f>IF(B4="","",(AB4*40)/AD4)</f>
        <v/>
      </c>
      <c r="AL4" s="58" t="str">
        <f>IF(B4="","",(AC4*50)/AD4)</f>
        <v/>
      </c>
      <c r="AM4" s="59" t="str">
        <f>IF(B4="","",B4)</f>
        <v/>
      </c>
      <c r="AN4" s="235"/>
      <c r="AO4" s="61"/>
      <c r="AP4" s="236"/>
      <c r="AQ4" s="63" t="str">
        <f>IF(AN4="","",AN4/AO4)</f>
        <v/>
      </c>
      <c r="AR4" s="64" t="str">
        <f>IF(AN4="","",(AD4/AN4)/1000)</f>
        <v/>
      </c>
      <c r="AS4" s="64" t="str">
        <f>IF(AN4="","",AR4*24)</f>
        <v/>
      </c>
      <c r="AT4" s="65" t="str">
        <f>IF(AN4="","",(AD4/1000)*100%/AS4)</f>
        <v/>
      </c>
      <c r="AU4" s="64" t="str">
        <f>IF(AN4="","",(AE4/AN4))</f>
        <v/>
      </c>
      <c r="AV4" s="229" t="str">
        <f>IF(AN4="","",(AD4/AO4)/1000)</f>
        <v/>
      </c>
      <c r="AW4" s="713"/>
      <c r="AX4" s="713"/>
      <c r="AY4" s="713"/>
      <c r="AZ4" s="722"/>
      <c r="BA4" s="713"/>
      <c r="BB4" s="724"/>
      <c r="BC4" s="726"/>
      <c r="BD4" s="726"/>
      <c r="BE4" s="726"/>
      <c r="BF4" s="728"/>
    </row>
    <row r="5" spans="1:58" customHeight="1" ht="13.9">
      <c r="A5" s="485" t="str">
        <f>IF(B5="","",2)</f>
        <v/>
      </c>
      <c r="B5" s="68"/>
      <c r="C5" s="69"/>
      <c r="D5" s="70"/>
      <c r="E5" s="76"/>
      <c r="F5" s="70"/>
      <c r="G5" s="76"/>
      <c r="H5" s="70"/>
      <c r="I5" s="75"/>
      <c r="J5" s="75"/>
      <c r="K5" s="70"/>
      <c r="L5" s="494"/>
      <c r="M5" s="494"/>
      <c r="N5" s="76"/>
      <c r="O5" s="248"/>
      <c r="P5" s="466"/>
      <c r="Q5" s="412"/>
      <c r="R5" s="410"/>
      <c r="S5" s="277"/>
      <c r="T5" s="401"/>
      <c r="U5" s="407"/>
      <c r="V5" s="249"/>
      <c r="W5" s="401"/>
      <c r="X5" s="278"/>
      <c r="Y5" s="78"/>
      <c r="Z5" s="403"/>
      <c r="AA5" s="281"/>
      <c r="AB5" s="79"/>
      <c r="AC5" s="80"/>
      <c r="AD5" s="55" t="str">
        <f>IF(B5="","",(((C5+F5+H5+K5+Q5+N5+O5)*50))+((E5*10))+(((I5+J5+D5+G5+L5+M5+U5)*25)+(X5*25)+(Y5*25)+(Z5*25)+(AA5*25)+(AB5*40)+(AC5*50)+(R5*1)+(S5*1)+(T5*1)))</f>
        <v/>
      </c>
      <c r="AE5" s="55" t="str">
        <f>IF(B5="","",C5+F5+H5+K5+Q5+N5+O5+((I5+J5+D5+G5+U5)/2)+(R5/50)+(S5/50)+(T5/50)+(E5/5))</f>
        <v/>
      </c>
      <c r="AF5" s="56" t="str">
        <f>IF(B5="","",((AE5*50)/AD5))</f>
        <v/>
      </c>
      <c r="AG5" s="57" t="str">
        <f>IF(C5="","",((Z5)*25)/AD5)</f>
        <v/>
      </c>
      <c r="AH5" s="57" t="str">
        <f>IF(B5="","",(X5*25)/AD5)</f>
        <v/>
      </c>
      <c r="AI5" s="57" t="str">
        <f>IF(B5="","",(Y5*25)/AD5)</f>
        <v/>
      </c>
      <c r="AJ5" s="57" t="str">
        <f>IF(B5="","",(AA5*25)/AD5)</f>
        <v/>
      </c>
      <c r="AK5" s="58" t="str">
        <f>IF(B5="","",(AB5*40)/AD5)</f>
        <v/>
      </c>
      <c r="AL5" s="58" t="str">
        <f>IF(B5="","",(AC5*50)/AD5)</f>
        <v/>
      </c>
      <c r="AM5" s="59" t="str">
        <f>IF(B5="","",B5)</f>
        <v/>
      </c>
      <c r="AN5" s="233"/>
      <c r="AO5" s="82"/>
      <c r="AP5" s="234"/>
      <c r="AQ5" s="63" t="str">
        <f>IF(AN5="","",AN5/AO5)</f>
        <v/>
      </c>
      <c r="AR5" s="64" t="str">
        <f>IF(AN5="","",(AD5/AN5)/1000)</f>
        <v/>
      </c>
      <c r="AS5" s="64" t="str">
        <f>IF(AN5="","",AR5*24)</f>
        <v/>
      </c>
      <c r="AT5" s="65" t="str">
        <f>IF(AN5="","",(AD5/1000)*100%/AS5)</f>
        <v/>
      </c>
      <c r="AU5" s="64" t="str">
        <f>IF(AN5="","",(AE5/AN5))</f>
        <v/>
      </c>
      <c r="AV5" s="229" t="str">
        <f>IF(AN5="","",(AD5/AO5)/1000)</f>
        <v/>
      </c>
      <c r="AW5" s="714"/>
      <c r="AX5" s="714"/>
      <c r="AY5" s="714"/>
      <c r="AZ5" s="723"/>
      <c r="BA5" s="714"/>
      <c r="BB5" s="725"/>
      <c r="BC5" s="727"/>
      <c r="BD5" s="727"/>
      <c r="BE5" s="727"/>
      <c r="BF5" s="729"/>
    </row>
    <row r="6" spans="1:58" customHeight="1" ht="13.9">
      <c r="A6" s="485" t="str">
        <f>IF(B6="","",3)</f>
        <v/>
      </c>
      <c r="B6" s="68"/>
      <c r="C6" s="69"/>
      <c r="D6" s="70"/>
      <c r="E6" s="76"/>
      <c r="F6" s="70"/>
      <c r="G6" s="76"/>
      <c r="H6" s="70"/>
      <c r="I6" s="491"/>
      <c r="J6" s="491"/>
      <c r="K6" s="70"/>
      <c r="L6" s="494"/>
      <c r="M6" s="494"/>
      <c r="N6" s="76"/>
      <c r="O6" s="76"/>
      <c r="P6" s="467"/>
      <c r="Q6" s="412"/>
      <c r="R6" s="410"/>
      <c r="S6" s="276"/>
      <c r="T6" s="401"/>
      <c r="U6" s="407"/>
      <c r="V6" s="249"/>
      <c r="W6" s="401"/>
      <c r="X6" s="278"/>
      <c r="Y6" s="78"/>
      <c r="Z6" s="403"/>
      <c r="AA6" s="281"/>
      <c r="AB6" s="79"/>
      <c r="AC6" s="85"/>
      <c r="AD6" s="55" t="str">
        <f>IF(B6="","",(((C6+F6+H6+K6+Q6+N6+O6)*50))+((E6*10))+(((I6+J6+D6+G6+L6+M6+U6)*25)+(X6*25)+(Y6*25)+(Z6*25)+(AA6*25)+(AB6*40)+(AC6*50)+(R6*1)+(S6*1)+(T6*1)))</f>
        <v/>
      </c>
      <c r="AE6" s="55" t="str">
        <f>IF(B6="","",C6+F6+H6+K6+Q6+N6+O6+((I6+J6+D6+G6+U6)/2)+(R6/50)+(S6/50)+(T6/50)+(E6/5))</f>
        <v/>
      </c>
      <c r="AF6" s="56" t="str">
        <f>IF(B6="","",((AE6*50)/AD6))</f>
        <v/>
      </c>
      <c r="AG6" s="57" t="str">
        <f>IF(C6="","",((Z6)*25)/AD6)</f>
        <v/>
      </c>
      <c r="AH6" s="57" t="str">
        <f>IF(B6="","",(X6*25)/AD6)</f>
        <v/>
      </c>
      <c r="AI6" s="57" t="str">
        <f>IF(B6="","",(Y6*25)/AD6)</f>
        <v/>
      </c>
      <c r="AJ6" s="57" t="str">
        <f>IF(B6="","",(AA6*25)/AD6)</f>
        <v/>
      </c>
      <c r="AK6" s="58" t="str">
        <f>IF(B6="","",(AB6*40)/AD6)</f>
        <v/>
      </c>
      <c r="AL6" s="58" t="str">
        <f>IF(B6="","",(AC6*50)/AD6)</f>
        <v/>
      </c>
      <c r="AM6" s="59" t="str">
        <f>IF(B6="","",B6)</f>
        <v/>
      </c>
      <c r="AN6" s="233"/>
      <c r="AO6" s="82"/>
      <c r="AP6" s="234"/>
      <c r="AQ6" s="63" t="str">
        <f>IF(AN6="","",AN6/AO6)</f>
        <v/>
      </c>
      <c r="AR6" s="64" t="str">
        <f>IF(AN6="","",(AD6/AN6)/1000)</f>
        <v/>
      </c>
      <c r="AS6" s="64" t="str">
        <f>IF(AN6="","",AR6*24)</f>
        <v/>
      </c>
      <c r="AT6" s="65" t="str">
        <f>IF(AN6="","",(AD6/1000)*100%/AS6)</f>
        <v/>
      </c>
      <c r="AU6" s="64" t="str">
        <f>IF(AN6="","",(AE6/AN6))</f>
        <v/>
      </c>
      <c r="AV6" s="229" t="str">
        <f>IF(AN6="","",(AD6/AO6)/1000)</f>
        <v/>
      </c>
      <c r="AW6" s="714"/>
      <c r="AX6" s="714"/>
      <c r="AY6" s="714"/>
      <c r="AZ6" s="723"/>
      <c r="BA6" s="714"/>
      <c r="BB6" s="725"/>
      <c r="BC6" s="727"/>
      <c r="BD6" s="727"/>
      <c r="BE6" s="727"/>
      <c r="BF6" s="729"/>
    </row>
    <row r="7" spans="1:58" customHeight="1" ht="13.9">
      <c r="A7" s="485" t="str">
        <f>IF(B7="","",4)</f>
        <v/>
      </c>
      <c r="B7" s="68"/>
      <c r="C7" s="69"/>
      <c r="D7" s="70"/>
      <c r="E7" s="76"/>
      <c r="F7" s="70"/>
      <c r="G7" s="76"/>
      <c r="H7" s="70"/>
      <c r="I7" s="414"/>
      <c r="J7" s="414"/>
      <c r="K7" s="70"/>
      <c r="L7" s="494"/>
      <c r="M7" s="494"/>
      <c r="N7" s="76"/>
      <c r="O7" s="76"/>
      <c r="P7" s="467"/>
      <c r="Q7" s="412"/>
      <c r="R7" s="410"/>
      <c r="S7" s="274"/>
      <c r="T7" s="401"/>
      <c r="U7" s="407"/>
      <c r="V7" s="249"/>
      <c r="W7" s="401"/>
      <c r="X7" s="278"/>
      <c r="Y7" s="78"/>
      <c r="Z7" s="403"/>
      <c r="AA7" s="281"/>
      <c r="AB7" s="79"/>
      <c r="AC7" s="85"/>
      <c r="AD7" s="55" t="str">
        <f>IF(B7="","",(((C7+F7+H7+K7+Q7+N7+O7)*50))+((E7*10))+(((I7+J7+D7+G7+L7+M7+U7)*25)+(X7*25)+(Y7*25)+(Z7*25)+(AA7*25)+(AB7*40)+(AC7*50)+(R7*1)+(S7*1)+(T7*1)))</f>
        <v/>
      </c>
      <c r="AE7" s="55" t="str">
        <f>IF(B7="","",C7+F7+H7+K7+Q7+N7+O7+((I7+J7+D7+G7+U7)/2)+(R7/50)+(S7/50)+(T7/50)+(E7/5))</f>
        <v/>
      </c>
      <c r="AF7" s="56" t="str">
        <f>IF(B7="","",((AE7*50)/AD7))</f>
        <v/>
      </c>
      <c r="AG7" s="57" t="str">
        <f>IF(C7="","",((Z7)*25)/AD7)</f>
        <v/>
      </c>
      <c r="AH7" s="57" t="str">
        <f>IF(B7="","",(X7*25)/AD7)</f>
        <v/>
      </c>
      <c r="AI7" s="57" t="str">
        <f>IF(B7="","",(Y7*25)/AD7)</f>
        <v/>
      </c>
      <c r="AJ7" s="57" t="str">
        <f>IF(B7="","",(AA7*25)/AD7)</f>
        <v/>
      </c>
      <c r="AK7" s="58" t="str">
        <f>IF(B7="","",(AB7*40)/AD7)</f>
        <v/>
      </c>
      <c r="AL7" s="58" t="str">
        <f>IF(B7="","",(AC7*50)/AD7)</f>
        <v/>
      </c>
      <c r="AM7" s="59" t="str">
        <f>IF(B7="","",B7)</f>
        <v/>
      </c>
      <c r="AN7" s="233"/>
      <c r="AO7" s="82"/>
      <c r="AP7" s="234"/>
      <c r="AQ7" s="63" t="str">
        <f>IF(AN7="","",AN7/AO7)</f>
        <v/>
      </c>
      <c r="AR7" s="64" t="str">
        <f>IF(AN7="","",(AD7/AN7)/1000)</f>
        <v/>
      </c>
      <c r="AS7" s="64" t="str">
        <f>IF(AN7="","",AR7*24)</f>
        <v/>
      </c>
      <c r="AT7" s="65" t="str">
        <f>IF(AN7="","",(AD7/1000)*100%/AS7)</f>
        <v/>
      </c>
      <c r="AU7" s="64" t="str">
        <f>IF(AN7="","",(AE7/AN7))</f>
        <v/>
      </c>
      <c r="AV7" s="229" t="str">
        <f>IF(AN7="","",(AD7/AO7)/1000)</f>
        <v/>
      </c>
      <c r="AW7" s="714"/>
      <c r="AX7" s="714"/>
      <c r="AY7" s="714"/>
      <c r="AZ7" s="723"/>
      <c r="BA7" s="714"/>
      <c r="BB7" s="725"/>
      <c r="BC7" s="727"/>
      <c r="BD7" s="727"/>
      <c r="BE7" s="727"/>
      <c r="BF7" s="729"/>
    </row>
    <row r="8" spans="1:58" customHeight="1" ht="13.9">
      <c r="A8" s="485" t="str">
        <f>IF(B8="","",5)</f>
        <v/>
      </c>
      <c r="B8" s="68"/>
      <c r="C8" s="69"/>
      <c r="D8" s="70"/>
      <c r="E8" s="76"/>
      <c r="F8" s="70"/>
      <c r="G8" s="76"/>
      <c r="H8" s="70"/>
      <c r="I8" s="491"/>
      <c r="J8" s="491"/>
      <c r="K8" s="70"/>
      <c r="L8" s="494"/>
      <c r="M8" s="494"/>
      <c r="N8" s="76"/>
      <c r="O8" s="76"/>
      <c r="P8" s="467"/>
      <c r="Q8" s="412"/>
      <c r="R8" s="422"/>
      <c r="S8" s="274"/>
      <c r="T8" s="401"/>
      <c r="U8" s="407"/>
      <c r="V8" s="249"/>
      <c r="W8" s="401"/>
      <c r="X8" s="278"/>
      <c r="Y8" s="78"/>
      <c r="Z8" s="403"/>
      <c r="AA8" s="281"/>
      <c r="AB8" s="79"/>
      <c r="AC8" s="85"/>
      <c r="AD8" s="55" t="str">
        <f>IF(B8="","",(((C8+F8+H8+K8+Q8+N8+O8)*50))+((E8*10))+(((I8+J8+D8+G8+L8+M8+U8)*25)+(X8*25)+(Y8*25)+(Z8*25)+(AA8*25)+(AB8*40)+(AC8*50)+(R8*1)+(S8*1)+(T8*1)))</f>
        <v/>
      </c>
      <c r="AE8" s="55" t="str">
        <f>IF(B8="","",C8+F8+H8+K8+Q8+N8+O8+((I8+J8+D8+G8+U8)/2)+(R8/50)+(S8/50)+(T8/50)+(E8/5))</f>
        <v/>
      </c>
      <c r="AF8" s="56" t="str">
        <f>IF(B8="","",((AE8*50)/AD8))</f>
        <v/>
      </c>
      <c r="AG8" s="252" t="str">
        <f>IF(C8="","",((Z8)*25)/AD8)</f>
        <v/>
      </c>
      <c r="AH8" s="57" t="str">
        <f>IF(B8="","",(X8*25)/AD8)</f>
        <v/>
      </c>
      <c r="AI8" s="57" t="str">
        <f>IF(B8="","",(Y8*25)/AD8)</f>
        <v/>
      </c>
      <c r="AJ8" s="57" t="str">
        <f>IF(B8="","",(AA8*25)/AD8)</f>
        <v/>
      </c>
      <c r="AK8" s="58" t="str">
        <f>IF(B8="","",(AB8*40)/AD8)</f>
        <v/>
      </c>
      <c r="AL8" s="58" t="str">
        <f>IF(B8="","",(AC8*50)/AD8)</f>
        <v/>
      </c>
      <c r="AM8" s="59" t="str">
        <f>IF(B8="","",B8)</f>
        <v/>
      </c>
      <c r="AN8" s="233"/>
      <c r="AO8" s="82"/>
      <c r="AP8" s="234"/>
      <c r="AQ8" s="63" t="str">
        <f>IF(AN8="","",AN8/AO8)</f>
        <v/>
      </c>
      <c r="AR8" s="64" t="str">
        <f>IF(AN8="","",(AD8/AN8)/1000)</f>
        <v/>
      </c>
      <c r="AS8" s="64" t="str">
        <f>IF(AN8="","",AR8*24)</f>
        <v/>
      </c>
      <c r="AT8" s="65" t="str">
        <f>IF(AN8="","",(AD8/1000)*100%/AS8)</f>
        <v/>
      </c>
      <c r="AU8" s="64" t="str">
        <f>IF(AN8="","",(AE8/AN8))</f>
        <v/>
      </c>
      <c r="AV8" s="229" t="str">
        <f>IF(AN8="","",(AD8/AO8)/1000)</f>
        <v/>
      </c>
      <c r="AW8" s="714"/>
      <c r="AX8" s="714"/>
      <c r="AY8" s="714"/>
      <c r="AZ8" s="723"/>
      <c r="BA8" s="714"/>
      <c r="BB8" s="725"/>
      <c r="BC8" s="727"/>
      <c r="BD8" s="727"/>
      <c r="BE8" s="727"/>
      <c r="BF8" s="729"/>
    </row>
    <row r="9" spans="1:58" customHeight="1" ht="15">
      <c r="A9" s="485" t="str">
        <f>IF(B9="","",6)</f>
        <v/>
      </c>
      <c r="B9" s="68"/>
      <c r="C9" s="69"/>
      <c r="D9" s="70"/>
      <c r="E9" s="76"/>
      <c r="F9" s="70"/>
      <c r="G9" s="76"/>
      <c r="H9" s="70"/>
      <c r="I9" s="491"/>
      <c r="J9" s="491"/>
      <c r="K9" s="70"/>
      <c r="L9" s="494"/>
      <c r="M9" s="494"/>
      <c r="N9" s="76"/>
      <c r="O9" s="76"/>
      <c r="P9" s="467"/>
      <c r="Q9" s="412"/>
      <c r="R9" s="410"/>
      <c r="S9" s="242"/>
      <c r="T9" s="401"/>
      <c r="U9" s="407"/>
      <c r="V9" s="249"/>
      <c r="W9" s="401"/>
      <c r="X9" s="278"/>
      <c r="Y9" s="78"/>
      <c r="Z9" s="403"/>
      <c r="AA9" s="281"/>
      <c r="AB9" s="79"/>
      <c r="AC9" s="85"/>
      <c r="AD9" s="55" t="str">
        <f>IF(B9="","",(((C9+F9+H9+K9+Q9+N9+O9)*50))+((E9*10))+(((I9+J9+D9+G9+L9+M9+U9)*25)+(X9*25)+(Y9*25)+(Z9*25)+(AA9*25)+(AB9*40)+(AC9*50)+(R9*1)+(S9*1)+(T9*1)))</f>
        <v/>
      </c>
      <c r="AE9" s="55" t="str">
        <f>IF(B9="","",C9+F9+H9+K9+Q9+N9+O9+((I9+J9+D9+G9+U9)/2)+(R9/50)+(S9/50)+(T9/50)+(E9/5))</f>
        <v/>
      </c>
      <c r="AF9" s="56" t="str">
        <f>IF(B9="","",((AE9*50)/AD9))</f>
        <v/>
      </c>
      <c r="AG9" s="57" t="str">
        <f>IF(C9="","",((Z9)*25)/AD9)</f>
        <v/>
      </c>
      <c r="AH9" s="57" t="str">
        <f>IF(B9="","",(X9*25)/AD9)</f>
        <v/>
      </c>
      <c r="AI9" s="57" t="str">
        <f>IF(B9="","",(Y9*25)/AD9)</f>
        <v/>
      </c>
      <c r="AJ9" s="57" t="str">
        <f>IF(B9="","",(AA9*25)/AD9)</f>
        <v/>
      </c>
      <c r="AK9" s="58" t="str">
        <f>IF(B9="","",(AB9*40)/AD9)</f>
        <v/>
      </c>
      <c r="AL9" s="58" t="str">
        <f>IF(B9="","",(AC9*50)/AD9)</f>
        <v/>
      </c>
      <c r="AM9" s="59" t="str">
        <f>IF(B9="","",B9)</f>
        <v/>
      </c>
      <c r="AN9" s="233"/>
      <c r="AO9" s="82"/>
      <c r="AP9" s="234"/>
      <c r="AQ9" s="63" t="str">
        <f>IF(AN9="","",AN9/AO9)</f>
        <v/>
      </c>
      <c r="AR9" s="64" t="str">
        <f>IF(AN9="","",(AD9/AN9)/1000)</f>
        <v/>
      </c>
      <c r="AS9" s="64" t="str">
        <f>IF(AN9="","",AR9*24)</f>
        <v/>
      </c>
      <c r="AT9" s="65" t="str">
        <f>IF(AN9="","",(AD9/1000)*100%/AS9)</f>
        <v/>
      </c>
      <c r="AU9" s="64" t="str">
        <f>IF(AN9="","",(AE9/AN9))</f>
        <v/>
      </c>
      <c r="AV9" s="229" t="str">
        <f>IF(AN9="","",(AD9/AO9)/1000)</f>
        <v/>
      </c>
      <c r="AW9" s="714"/>
      <c r="AX9" s="714"/>
      <c r="AY9" s="714"/>
      <c r="AZ9" s="723"/>
      <c r="BA9" s="714"/>
      <c r="BB9" s="725"/>
      <c r="BC9" s="727"/>
      <c r="BD9" s="727"/>
      <c r="BE9" s="727"/>
      <c r="BF9" s="729"/>
    </row>
    <row r="10" spans="1:58" customHeight="1" ht="13.9">
      <c r="A10" s="485" t="str">
        <f>IF(B10="","",7)</f>
        <v/>
      </c>
      <c r="B10" s="68"/>
      <c r="C10" s="69"/>
      <c r="D10" s="70"/>
      <c r="E10" s="76"/>
      <c r="F10" s="70"/>
      <c r="G10" s="76"/>
      <c r="H10" s="70"/>
      <c r="I10" s="491"/>
      <c r="J10" s="491"/>
      <c r="K10" s="70"/>
      <c r="L10" s="494"/>
      <c r="M10" s="494"/>
      <c r="N10" s="76"/>
      <c r="O10" s="76"/>
      <c r="P10" s="467"/>
      <c r="Q10" s="412"/>
      <c r="R10" s="410"/>
      <c r="S10" s="242"/>
      <c r="T10" s="401"/>
      <c r="U10" s="407"/>
      <c r="V10" s="249"/>
      <c r="W10" s="401"/>
      <c r="X10" s="278"/>
      <c r="Y10" s="78"/>
      <c r="Z10" s="403"/>
      <c r="AA10" s="281"/>
      <c r="AB10" s="79"/>
      <c r="AC10" s="85"/>
      <c r="AD10" s="55" t="str">
        <f>IF(B10="","",(((C10+F10+H10+K10+Q10+N10+O10)*50))+((E10*10))+(((I10+J10+D10+G10+L10+M10+U10)*25)+(X10*25)+(Y10*25)+(Z10*25)+(AA10*25)+(AB10*40)+(AC10*50)+(R10*1)+(S10*1)+(T10*1)))</f>
        <v/>
      </c>
      <c r="AE10" s="55" t="str">
        <f>IF(B10="","",C10+F10+H10+K10+Q10+N10+O10+((I10+J10+D10+G10+U10)/2)+(R10/50)+(S10/50)+(T10/50)+(E10/5))</f>
        <v/>
      </c>
      <c r="AF10" s="56" t="str">
        <f>IF(B10="","",((AE10*50)/AD10))</f>
        <v/>
      </c>
      <c r="AG10" s="57" t="str">
        <f>IF(C10="","",((Z10)*25)/AD10)</f>
        <v/>
      </c>
      <c r="AH10" s="57" t="str">
        <f>IF(B10="","",(X10*25)/AD10)</f>
        <v/>
      </c>
      <c r="AI10" s="57" t="str">
        <f>IF(B10="","",(Y10*25)/AD10)</f>
        <v/>
      </c>
      <c r="AJ10" s="57" t="str">
        <f>IF(B10="","",(AA10*25)/AD10)</f>
        <v/>
      </c>
      <c r="AK10" s="58" t="str">
        <f>IF(B10="","",(AB10*40)/AD10)</f>
        <v/>
      </c>
      <c r="AL10" s="58" t="str">
        <f>IF(B10="","",(AC10*50)/AD10)</f>
        <v/>
      </c>
      <c r="AM10" s="59" t="str">
        <f>IF(B10="","",B10)</f>
        <v/>
      </c>
      <c r="AN10" s="233"/>
      <c r="AO10" s="82"/>
      <c r="AP10" s="234"/>
      <c r="AQ10" s="63" t="str">
        <f>IF(AN10="","",AN10/AO10)</f>
        <v/>
      </c>
      <c r="AR10" s="64" t="str">
        <f>IF(AN10="","",(AD10/AN10)/1000)</f>
        <v/>
      </c>
      <c r="AS10" s="64" t="str">
        <f>IF(AN10="","",AR10*24)</f>
        <v/>
      </c>
      <c r="AT10" s="65" t="str">
        <f>IF(AN10="","",(AD10/1000)*100%/AS10)</f>
        <v/>
      </c>
      <c r="AU10" s="64" t="str">
        <f>IF(AN10="","",(AE10/AN10))</f>
        <v/>
      </c>
      <c r="AV10" s="229" t="str">
        <f>IF(AN10="","",(AD10/AO10)/1000)</f>
        <v/>
      </c>
      <c r="AW10" s="714"/>
      <c r="AX10" s="714"/>
      <c r="AY10" s="714"/>
      <c r="AZ10" s="723"/>
      <c r="BA10" s="714"/>
      <c r="BB10" s="725"/>
      <c r="BC10" s="727"/>
      <c r="BD10" s="727"/>
      <c r="BE10" s="727"/>
      <c r="BF10" s="729"/>
    </row>
    <row r="11" spans="1:58" customHeight="1" ht="13.9">
      <c r="A11" s="485" t="str">
        <f>IF(B11="","",8)</f>
        <v/>
      </c>
      <c r="B11" s="226"/>
      <c r="C11" s="69"/>
      <c r="D11" s="70"/>
      <c r="E11" s="76"/>
      <c r="F11" s="70"/>
      <c r="G11" s="76"/>
      <c r="H11" s="70"/>
      <c r="I11" s="491"/>
      <c r="J11" s="491"/>
      <c r="K11" s="70"/>
      <c r="L11" s="494"/>
      <c r="M11" s="494"/>
      <c r="N11" s="76"/>
      <c r="O11" s="76"/>
      <c r="P11" s="467"/>
      <c r="Q11" s="412"/>
      <c r="R11" s="410"/>
      <c r="S11" s="242"/>
      <c r="T11" s="401"/>
      <c r="U11" s="407"/>
      <c r="V11" s="249"/>
      <c r="W11" s="401"/>
      <c r="X11" s="278"/>
      <c r="Y11" s="78"/>
      <c r="Z11" s="403"/>
      <c r="AA11" s="281"/>
      <c r="AB11" s="79"/>
      <c r="AC11" s="85"/>
      <c r="AD11" s="55" t="str">
        <f>IF(B11="","",(((C11+F11+H11+K11+Q11+N11+O11)*50))+((E11*10))+(((I11+J11+D11+G11+L11+M11+U11)*25)+(X11*25)+(Y11*25)+(Z11*25)+(AA11*25)+(AB11*40)+(AC11*50)+(R11*1)+(S11*1)+(T11*1)))</f>
        <v/>
      </c>
      <c r="AE11" s="55" t="str">
        <f>IF(B11="","",C11+F11+H11+K11+Q11+N11+O11+((I11+J11+D11+G11+U11+P11)/2)+(R11/50)+(S11/50)+(T11/50)+(E11/5))</f>
        <v/>
      </c>
      <c r="AF11" s="56" t="str">
        <f>IF(B11="","",((AE11*50)/AD11))</f>
        <v/>
      </c>
      <c r="AG11" s="57" t="str">
        <f>IF(C11="","",((Z11)*25)/AD11)</f>
        <v/>
      </c>
      <c r="AH11" s="57" t="str">
        <f>IF(B11="","",(X11*25)/AD11)</f>
        <v/>
      </c>
      <c r="AI11" s="57" t="str">
        <f>IF(B11="","",(Y11*25)/AD11)</f>
        <v/>
      </c>
      <c r="AJ11" s="57" t="str">
        <f>IF(B11="","",(AA11*25)/AD11)</f>
        <v/>
      </c>
      <c r="AK11" s="58" t="str">
        <f>IF(B11="","",(AB11*40)/AD11)</f>
        <v/>
      </c>
      <c r="AL11" s="58" t="str">
        <f>IF(B11="","",(AC11*50)/AD11)</f>
        <v/>
      </c>
      <c r="AM11" s="59" t="str">
        <f>IF(B11="","",B11)</f>
        <v/>
      </c>
      <c r="AN11" s="233"/>
      <c r="AO11" s="82"/>
      <c r="AP11" s="234"/>
      <c r="AQ11" s="63" t="str">
        <f>IF(AN11="","",AN11/AO11)</f>
        <v/>
      </c>
      <c r="AR11" s="64" t="str">
        <f>IF(AN11="","",(AD11/AN11)/1000)</f>
        <v/>
      </c>
      <c r="AS11" s="64" t="str">
        <f>IF(AN11="","",AR11*24)</f>
        <v/>
      </c>
      <c r="AT11" s="65" t="str">
        <f>IF(AN11="","",(AD11/1000)*100%/AS11)</f>
        <v/>
      </c>
      <c r="AU11" s="64" t="str">
        <f>IF(AN11="","",(AE11/AN11))</f>
        <v/>
      </c>
      <c r="AV11" s="229" t="str">
        <f>IF(AN11="","",(AD11/AO11)/1000)</f>
        <v/>
      </c>
      <c r="AW11" s="714"/>
      <c r="AX11" s="714"/>
      <c r="AY11" s="714"/>
      <c r="AZ11" s="723"/>
      <c r="BA11" s="714"/>
      <c r="BB11" s="725"/>
      <c r="BC11" s="727"/>
      <c r="BD11" s="727"/>
      <c r="BE11" s="727"/>
      <c r="BF11" s="729"/>
    </row>
    <row r="12" spans="1:58" customHeight="1" ht="13.9">
      <c r="A12" s="485" t="str">
        <f>IF(B12="","",9)</f>
        <v/>
      </c>
      <c r="B12" s="226"/>
      <c r="C12" s="69"/>
      <c r="D12" s="70"/>
      <c r="E12" s="76"/>
      <c r="F12" s="70"/>
      <c r="G12" s="76"/>
      <c r="H12" s="70"/>
      <c r="I12" s="491"/>
      <c r="J12" s="491"/>
      <c r="K12" s="70"/>
      <c r="L12" s="494"/>
      <c r="M12" s="494"/>
      <c r="N12" s="76"/>
      <c r="O12" s="76"/>
      <c r="P12" s="467"/>
      <c r="Q12" s="412"/>
      <c r="R12" s="410"/>
      <c r="S12" s="242"/>
      <c r="T12" s="401"/>
      <c r="U12" s="407"/>
      <c r="V12" s="249"/>
      <c r="W12" s="401"/>
      <c r="X12" s="278"/>
      <c r="Y12" s="78"/>
      <c r="Z12" s="403"/>
      <c r="AA12" s="281"/>
      <c r="AB12" s="79"/>
      <c r="AC12" s="85"/>
      <c r="AD12" s="55" t="str">
        <f>IF(B12="","",(((C12+F12+H12+K12+Q12+N12+O12)*50))+((E12*10))+(((I12+J12+D12+G12+L12+M12+U12)*25)+(X12*25)+(Y12*25)+(Z12*25)+(AA12*25)+(AB12*40)+(AC12*50)+(R12*1)+(S12*1)+(T12*1)))</f>
        <v/>
      </c>
      <c r="AE12" s="55" t="str">
        <f>IF(B12="","",C12+F12+H12+K12+Q12+N12+O12+((I12+J12+D12+G12+U12)/2)+(R12/50)+(S12/50)+(T12/50)+(E12/5))</f>
        <v/>
      </c>
      <c r="AF12" s="56" t="str">
        <f>IF(B12="","",((AE12*50)/AD12))</f>
        <v/>
      </c>
      <c r="AG12" s="57" t="str">
        <f>IF(C12="","",((Z12)*25)/AD12)</f>
        <v/>
      </c>
      <c r="AH12" s="57" t="str">
        <f>IF(B12="","",(X12*25)/AD12)</f>
        <v/>
      </c>
      <c r="AI12" s="57" t="str">
        <f>IF(B12="","",(Y12*25)/AD12)</f>
        <v/>
      </c>
      <c r="AJ12" s="57" t="str">
        <f>IF(B12="","",(AA12*25)/AD12)</f>
        <v/>
      </c>
      <c r="AK12" s="58" t="str">
        <f>IF(B12="","",(AB12*40)/AD12)</f>
        <v/>
      </c>
      <c r="AL12" s="58" t="str">
        <f>IF(B12="","",(AC12*50)/AD12)</f>
        <v/>
      </c>
      <c r="AM12" s="59" t="str">
        <f>IF(B12="","",B12)</f>
        <v/>
      </c>
      <c r="AN12" s="233"/>
      <c r="AO12" s="82"/>
      <c r="AP12" s="234"/>
      <c r="AQ12" s="63" t="str">
        <f>IF(AN12="","",AN12/AO12)</f>
        <v/>
      </c>
      <c r="AR12" s="64" t="str">
        <f>IF(AN12="","",(AD12/AN12)/1000)</f>
        <v/>
      </c>
      <c r="AS12" s="64" t="str">
        <f>IF(AN12="","",AR12*24)</f>
        <v/>
      </c>
      <c r="AT12" s="65" t="str">
        <f>IF(AN12="","",(AD12/1000)*100%/AS12)</f>
        <v/>
      </c>
      <c r="AU12" s="64" t="str">
        <f>IF(AN12="","",(AE12/AN12))</f>
        <v/>
      </c>
      <c r="AV12" s="229" t="str">
        <f>IF(AN12="","",(AD12/AO12)/1000)</f>
        <v/>
      </c>
      <c r="AW12" s="714"/>
      <c r="AX12" s="714"/>
      <c r="AY12" s="714"/>
      <c r="AZ12" s="723"/>
      <c r="BA12" s="714"/>
      <c r="BB12" s="725"/>
      <c r="BC12" s="727"/>
      <c r="BD12" s="727"/>
      <c r="BE12" s="727"/>
      <c r="BF12" s="729"/>
    </row>
    <row r="13" spans="1:58" customHeight="1" ht="13.9">
      <c r="A13" s="485" t="str">
        <f>IF(B13="","",11)</f>
        <v/>
      </c>
      <c r="B13" s="226"/>
      <c r="C13" s="69"/>
      <c r="D13" s="70"/>
      <c r="E13" s="76"/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/>
      <c r="S13" s="242"/>
      <c r="T13" s="401"/>
      <c r="U13" s="407"/>
      <c r="V13" s="249"/>
      <c r="W13" s="401"/>
      <c r="X13" s="278"/>
      <c r="Y13" s="78"/>
      <c r="Z13" s="403"/>
      <c r="AA13" s="281"/>
      <c r="AB13" s="79"/>
      <c r="AC13" s="85"/>
      <c r="AD13" s="55" t="str">
        <f>IF(B13="","",(((C13+F13+H13+K13+Q13+N13+O13)*50))+((E13*10))+(((I13+J13+D13+G13+L13+M13+U13)*25)+(X13*25)+(Y13*25)+(Z13*25)+(AA13*25)+(AB13*40)+(AC13*50)+(R13*1)+(S13*1)+(T13*1)))</f>
        <v/>
      </c>
      <c r="AE13" s="55" t="str">
        <f>IF(B13="","",C13+F13+H13+K13+Q13+N13+O13+((I13+J13+D13+G13+U13)/2)+(R13/50)+(S13/50)+(T13/50)+(E13/5))</f>
        <v/>
      </c>
      <c r="AF13" s="56" t="str">
        <f>IF(B13="","",((AE13*50)/AD13))</f>
        <v/>
      </c>
      <c r="AG13" s="57" t="str">
        <f>IF(C13="","",((Z13)*25)/AD13)</f>
        <v/>
      </c>
      <c r="AH13" s="57" t="str">
        <f>IF(B13="","",(X13*25)/AD13)</f>
        <v/>
      </c>
      <c r="AI13" s="57" t="str">
        <f>IF(B13="","",(Y13*25)/AD13)</f>
        <v/>
      </c>
      <c r="AJ13" s="57" t="str">
        <f>IF(B13="","",(AA13*25)/AD13)</f>
        <v/>
      </c>
      <c r="AK13" s="58" t="str">
        <f>IF(B13="","",(AB13*40)/AD13)</f>
        <v/>
      </c>
      <c r="AL13" s="58" t="str">
        <f>IF(B13="","",(AC13*50)/AD13)</f>
        <v/>
      </c>
      <c r="AM13" s="59" t="str">
        <f>IF(B13="","",B13)</f>
        <v/>
      </c>
      <c r="AN13" s="233"/>
      <c r="AO13" s="82"/>
      <c r="AP13" s="234"/>
      <c r="AQ13" s="63" t="str">
        <f>IF(AN13="","",AN13/AO13)</f>
        <v/>
      </c>
      <c r="AR13" s="64" t="str">
        <f>IF(AN13="","",(AD13/AN13)/1000)</f>
        <v/>
      </c>
      <c r="AS13" s="64" t="str">
        <f>IF(AN13="","",AR13*24)</f>
        <v/>
      </c>
      <c r="AT13" s="65" t="str">
        <f>IF(AN13="","",(AD13/1000)*100%/AS13)</f>
        <v/>
      </c>
      <c r="AU13" s="64" t="str">
        <f>IF(AN13="","",(AE13/AN13))</f>
        <v/>
      </c>
      <c r="AV13" s="229" t="str">
        <f>IF(AN13="","",(AD13/AO13)/1000)</f>
        <v/>
      </c>
      <c r="AW13" s="714"/>
      <c r="AX13" s="714"/>
      <c r="AY13" s="714"/>
      <c r="AZ13" s="723"/>
      <c r="BA13" s="714"/>
      <c r="BB13" s="725"/>
      <c r="BC13" s="727"/>
      <c r="BD13" s="727"/>
      <c r="BE13" s="727"/>
      <c r="BF13" s="729"/>
    </row>
    <row r="14" spans="1:58" customHeight="1" ht="13.9">
      <c r="A14" s="485" t="str">
        <f>IF(B14="","",12)</f>
        <v/>
      </c>
      <c r="B14" s="226"/>
      <c r="C14" s="69"/>
      <c r="D14" s="70"/>
      <c r="E14" s="76"/>
      <c r="F14" s="70"/>
      <c r="G14" s="76"/>
      <c r="H14" s="70"/>
      <c r="I14" s="491"/>
      <c r="J14" s="491"/>
      <c r="K14" s="70"/>
      <c r="L14" s="494"/>
      <c r="M14" s="494"/>
      <c r="N14" s="76"/>
      <c r="O14" s="76"/>
      <c r="P14" s="467"/>
      <c r="Q14" s="412"/>
      <c r="R14" s="410"/>
      <c r="S14" s="242"/>
      <c r="T14" s="401"/>
      <c r="U14" s="407"/>
      <c r="V14" s="249"/>
      <c r="W14" s="401"/>
      <c r="X14" s="278"/>
      <c r="Y14" s="78"/>
      <c r="Z14" s="403"/>
      <c r="AA14" s="281"/>
      <c r="AB14" s="79"/>
      <c r="AC14" s="85"/>
      <c r="AD14" s="55" t="str">
        <f>IF(B14="","",(((C14+F14+H14+K14+Q14+N14+O14)*50))+((E14*10))+(((I14+J14+D14+G14+L14+M14+U14)*25)+(X14*25)+(Y14*25)+(Z14*25)+(AA14*25)+(AB14*40)+(AC14*50)+(R14*1)+(S14*1)+(T14*1)))</f>
        <v/>
      </c>
      <c r="AE14" s="55" t="str">
        <f>IF(B14="","",C14+F14+H14+K14+Q14+N14+O14+((I14+J14+D14+G14+U14)/2)+(R14/50)+(S14/50)+(T14/50)+(E14/5))</f>
        <v/>
      </c>
      <c r="AF14" s="56" t="str">
        <f>IF(B14="","",((AE14*50)/AD14))</f>
        <v/>
      </c>
      <c r="AG14" s="57" t="str">
        <f>IF(C14="","",((Z14)*25)/AD14)</f>
        <v/>
      </c>
      <c r="AH14" s="57" t="str">
        <f>IF(B14="","",(X14*25)/AD14)</f>
        <v/>
      </c>
      <c r="AI14" s="57" t="str">
        <f>IF(B14="","",(Y14*25)/AD14)</f>
        <v/>
      </c>
      <c r="AJ14" s="57" t="str">
        <f>IF(B14="","",(AA14*25)/AD14)</f>
        <v/>
      </c>
      <c r="AK14" s="58" t="str">
        <f>IF(B14="","",(AB14*40)/AD14)</f>
        <v/>
      </c>
      <c r="AL14" s="58" t="str">
        <f>IF(B14="","",(AC14*50)/AD14)</f>
        <v/>
      </c>
      <c r="AM14" s="59" t="str">
        <f>IF(B14="","",B14)</f>
        <v/>
      </c>
      <c r="AN14" s="233"/>
      <c r="AO14" s="82"/>
      <c r="AP14" s="234"/>
      <c r="AQ14" s="63" t="str">
        <f>IF(AN14="","",AN14/AO14)</f>
        <v/>
      </c>
      <c r="AR14" s="64" t="str">
        <f>IF(AN14="","",(AD14/AN14)/1000)</f>
        <v/>
      </c>
      <c r="AS14" s="64" t="str">
        <f>IF(AN14="","",AR14*24)</f>
        <v/>
      </c>
      <c r="AT14" s="65" t="str">
        <f>IF(AN14="","",(AD14/1000)*100%/AS14)</f>
        <v/>
      </c>
      <c r="AU14" s="64" t="str">
        <f>IF(AN14="","",(AE14/AN14))</f>
        <v/>
      </c>
      <c r="AV14" s="229" t="str">
        <f>IF(AN14="","",(AD14/AO14)/1000)</f>
        <v/>
      </c>
      <c r="AW14" s="714"/>
      <c r="AX14" s="714"/>
      <c r="AY14" s="714"/>
      <c r="AZ14" s="723"/>
      <c r="BA14" s="714"/>
      <c r="BB14" s="725"/>
      <c r="BC14" s="727"/>
      <c r="BD14" s="727"/>
      <c r="BE14" s="727"/>
      <c r="BF14" s="729"/>
    </row>
    <row r="15" spans="1:58" customHeight="1" ht="13.9">
      <c r="A15" s="485" t="str">
        <f>IF(B15="","",13)</f>
        <v/>
      </c>
      <c r="B15" s="226"/>
      <c r="C15" s="69"/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/>
      <c r="S15" s="242"/>
      <c r="T15" s="401"/>
      <c r="U15" s="407"/>
      <c r="V15" s="249"/>
      <c r="W15" s="401"/>
      <c r="X15" s="278"/>
      <c r="Y15" s="78"/>
      <c r="Z15" s="403"/>
      <c r="AA15" s="281"/>
      <c r="AC15" s="79"/>
      <c r="AD15" s="55" t="str">
        <f>IF(B15="","",(((C15+F15+H15+K15+Q15+N15+O15)*50))+((E15*10))+(((I15+J15+D15+G15+L15+M15+U15)*25)+(X15*25)+(Y15*25)+(Z15*25)+(AA15*25)+(AB15*40)+(AC15*50)+(R15*1)+(S15*1)+(T15*1)))</f>
        <v/>
      </c>
      <c r="AE15" s="55" t="str">
        <f>IF(B15="","",C15+F15+H15+K15+Q15+N15+O15+((I15+J15+D15+G15+U15)/2)+(R15/50)+(S15/50)+(T15/50)+(E15/5))</f>
        <v/>
      </c>
      <c r="AF15" s="56" t="str">
        <f>IF(B15="","",((AE15*50)/AD15))</f>
        <v/>
      </c>
      <c r="AG15" s="57" t="str">
        <f>IF(C15="","",((Z15)*25)/AD15)</f>
        <v/>
      </c>
      <c r="AH15" s="57" t="str">
        <f>IF(B15="","",(X15*25)/AD15)</f>
        <v/>
      </c>
      <c r="AI15" s="57" t="str">
        <f>IF(B15="","",(Y15*25)/AD15)</f>
        <v/>
      </c>
      <c r="AJ15" s="57" t="str">
        <f>IF(B15="","",(AA15*25)/AD15)</f>
        <v/>
      </c>
      <c r="AK15" s="58" t="str">
        <f>IF(B15="","",(AC15*40)/AD15)</f>
        <v/>
      </c>
      <c r="AL15" s="58" t="str">
        <f>IF(B15="","",(AC15*50)/AD15)</f>
        <v/>
      </c>
      <c r="AM15" s="59" t="str">
        <f>IF(B15="","",B15)</f>
        <v/>
      </c>
      <c r="AN15" s="233"/>
      <c r="AO15" s="82"/>
      <c r="AP15" s="234"/>
      <c r="AQ15" s="63" t="str">
        <f>IF(AN15="","",AN15/AO15)</f>
        <v/>
      </c>
      <c r="AR15" s="64" t="str">
        <f>IF(AN15="","",(AD15/AN15)/1000)</f>
        <v/>
      </c>
      <c r="AS15" s="64" t="str">
        <f>IF(AN15="","",AR15*24)</f>
        <v/>
      </c>
      <c r="AT15" s="65" t="str">
        <f>IF(AN15="","",(AD15/1000)*100%/AS15)</f>
        <v/>
      </c>
      <c r="AU15" s="64" t="str">
        <f>IF(AN15="","",(AE15/AN15))</f>
        <v/>
      </c>
      <c r="AV15" s="229" t="str">
        <f>IF(AN15="","",(AD15/AO15)/1000)</f>
        <v/>
      </c>
      <c r="AW15" s="714"/>
      <c r="AX15" s="714"/>
      <c r="AY15" s="714"/>
      <c r="AZ15" s="723"/>
      <c r="BA15" s="714"/>
      <c r="BB15" s="725"/>
      <c r="BC15" s="727"/>
      <c r="BD15" s="727"/>
      <c r="BE15" s="727"/>
      <c r="BF15" s="729"/>
    </row>
    <row r="16" spans="1:58" customHeight="1" ht="13.9">
      <c r="A16" s="485" t="str">
        <f>IF(B16="","",1+A15)</f>
        <v/>
      </c>
      <c r="B16" s="226"/>
      <c r="C16" s="69"/>
      <c r="D16" s="70"/>
      <c r="E16" s="76"/>
      <c r="F16" s="70"/>
      <c r="G16" s="76"/>
      <c r="H16" s="70"/>
      <c r="I16" s="491"/>
      <c r="J16" s="491"/>
      <c r="K16" s="70"/>
      <c r="L16" s="494"/>
      <c r="M16" s="494"/>
      <c r="N16" s="76"/>
      <c r="O16" s="76"/>
      <c r="P16" s="467"/>
      <c r="Q16" s="412"/>
      <c r="R16" s="410"/>
      <c r="S16" s="242"/>
      <c r="T16" s="401"/>
      <c r="U16" s="407"/>
      <c r="V16" s="249"/>
      <c r="W16" s="401"/>
      <c r="X16" s="278"/>
      <c r="Y16" s="78"/>
      <c r="Z16" s="403"/>
      <c r="AA16" s="281"/>
      <c r="AB16" s="79"/>
      <c r="AC16" s="85"/>
      <c r="AD16" s="55" t="str">
        <f>IF(B16="","",(((C16+F16+H16+K16+Q16+N16+O16)*50))+((E16*10))+(((I16+J16+D16+G16+L16+M16+U16)*25)+(X16*25)+(Y16*25)+(Z16*25)+(AA16*25)+(AB16*40)+(AC16*50)+(R16*1)+(S16*1)+(T16*1)))</f>
        <v/>
      </c>
      <c r="AE16" s="55" t="str">
        <f>IF(B16="","",C16+F16+H16+K16+Q16+N16+O16+((I16+J16+D16+G16+U16)/2)+(R16/50)+(S16/50)+(T16/50)+(E16/5))</f>
        <v/>
      </c>
      <c r="AF16" s="56" t="str">
        <f>IF(B16="","",((AE16*50)/AD16))</f>
        <v/>
      </c>
      <c r="AG16" s="57" t="str">
        <f>IF(C16="","",((Z16)*25)/AD16)</f>
        <v/>
      </c>
      <c r="AH16" s="57" t="str">
        <f>IF(B16="","",(X16*25)/AD16)</f>
        <v/>
      </c>
      <c r="AI16" s="57" t="str">
        <f>IF(B16="","",(Y16*25)/AD16)</f>
        <v/>
      </c>
      <c r="AJ16" s="57" t="str">
        <f>IF(B16="","",(AA16*25)/AD16)</f>
        <v/>
      </c>
      <c r="AK16" s="58" t="str">
        <f>IF(B16="","",(AB16*40)/AD16)</f>
        <v/>
      </c>
      <c r="AL16" s="58" t="str">
        <f>IF(B16="","",(AC16*50)/AD16)</f>
        <v/>
      </c>
      <c r="AM16" s="59" t="str">
        <f>IF(B16="","",B16)</f>
        <v/>
      </c>
      <c r="AN16" s="233"/>
      <c r="AO16" s="82"/>
      <c r="AP16" s="234"/>
      <c r="AQ16" s="63" t="str">
        <f>IF(AN16="","",AN16/AO16)</f>
        <v/>
      </c>
      <c r="AR16" s="64" t="str">
        <f>IF(AN16="","",(AD16/AN16)/1000)</f>
        <v/>
      </c>
      <c r="AS16" s="64" t="str">
        <f>IF(AN16="","",AR16*24)</f>
        <v/>
      </c>
      <c r="AT16" s="65" t="str">
        <f>IF(AN16="","",(AD16/1000)*100%/AS16)</f>
        <v/>
      </c>
      <c r="AU16" s="64" t="str">
        <f>IF(AN16="","",(AE16/AN16))</f>
        <v/>
      </c>
      <c r="AV16" s="229" t="str">
        <f>IF(AN16="","",(AD16/AO16)/1000)</f>
        <v/>
      </c>
      <c r="AW16" s="714"/>
      <c r="AX16" s="714"/>
      <c r="AY16" s="714"/>
      <c r="AZ16" s="723"/>
      <c r="BA16" s="714"/>
      <c r="BB16" s="725"/>
      <c r="BC16" s="727"/>
      <c r="BD16" s="727"/>
      <c r="BE16" s="727"/>
      <c r="BF16" s="729"/>
    </row>
    <row r="17" spans="1:58" customHeight="1" ht="13.9">
      <c r="A17" s="485" t="str">
        <f>IF(B17="","",15)</f>
        <v/>
      </c>
      <c r="B17" s="226"/>
      <c r="C17" s="69"/>
      <c r="D17" s="70"/>
      <c r="E17" s="76"/>
      <c r="F17" s="70"/>
      <c r="G17" s="76"/>
      <c r="H17" s="70"/>
      <c r="I17" s="491"/>
      <c r="J17" s="491"/>
      <c r="K17" s="70"/>
      <c r="L17" s="494"/>
      <c r="M17" s="494"/>
      <c r="N17" s="76"/>
      <c r="O17" s="76"/>
      <c r="P17" s="467"/>
      <c r="Q17" s="412"/>
      <c r="R17" s="410"/>
      <c r="S17" s="242"/>
      <c r="T17" s="401"/>
      <c r="U17" s="407"/>
      <c r="V17" s="249"/>
      <c r="W17" s="401"/>
      <c r="X17" s="278"/>
      <c r="Y17" s="78"/>
      <c r="Z17" s="403"/>
      <c r="AA17" s="281"/>
      <c r="AB17" s="79"/>
      <c r="AC17" s="85"/>
      <c r="AD17" s="55" t="str">
        <f>IF(B17="","",(((C17+F17+H17+K17+Q17+N17+O17)*50))+((E17*10))+(((I17+J17+D17+G17+L17+M17+U17)*25)+(X17*25)+(Y17*25)+(Z17*25)+(AA17*25)+(AB17*40)+(AC17*50)+(R17*1)+(S17*1)+(T17*1)))</f>
        <v/>
      </c>
      <c r="AE17" s="55" t="str">
        <f>IF(B17="","",C17+F17+H17+K17+Q17+N17+O17+((I17+J17+D17+G17+U17)/2)+(R17/50)+(S17/50)+(T17/50)+(E17/5))</f>
        <v/>
      </c>
      <c r="AF17" s="56" t="str">
        <f>IF(B17="","",((AE17*50)/AD17))</f>
        <v/>
      </c>
      <c r="AG17" s="57" t="str">
        <f>IF(C17="","",((Z17)*25)/AD17)</f>
        <v/>
      </c>
      <c r="AH17" s="57" t="str">
        <f>IF(B17="","",(X17*25)/AD17)</f>
        <v/>
      </c>
      <c r="AI17" s="57" t="str">
        <f>IF(B17="","",(Y17*25)/AD17)</f>
        <v/>
      </c>
      <c r="AJ17" s="57" t="str">
        <f>IF(B17="","",(AA17*25)/AD17)</f>
        <v/>
      </c>
      <c r="AK17" s="58" t="str">
        <f>IF(B17="","",(AB17*40)/AD17)</f>
        <v/>
      </c>
      <c r="AL17" s="58" t="str">
        <f>IF(B17="","",(AC17*50)/AD17)</f>
        <v/>
      </c>
      <c r="AM17" s="59" t="str">
        <f>IF(B17="","",B17)</f>
        <v/>
      </c>
      <c r="AN17" s="233"/>
      <c r="AO17" s="82"/>
      <c r="AP17" s="234"/>
      <c r="AQ17" s="63" t="str">
        <f>IF(AN17="","",AN17/AO17)</f>
        <v/>
      </c>
      <c r="AR17" s="64" t="str">
        <f>IF(AN17="","",(AD17/AN17)/1000)</f>
        <v/>
      </c>
      <c r="AS17" s="64" t="str">
        <f>IF(AN17="","",AR17*24)</f>
        <v/>
      </c>
      <c r="AT17" s="65" t="str">
        <f>IF(AN17="","",(AD17/1000)*100%/AS17)</f>
        <v/>
      </c>
      <c r="AU17" s="64" t="str">
        <f>IF(AN17="","",(AE17/AN17))</f>
        <v/>
      </c>
      <c r="AV17" s="229" t="str">
        <f>IF(AN17="","",(AD17/AO17)/1000)</f>
        <v/>
      </c>
      <c r="AW17" s="714"/>
      <c r="AX17" s="714"/>
      <c r="AY17" s="714"/>
      <c r="AZ17" s="723"/>
      <c r="BA17" s="714"/>
      <c r="BB17" s="725"/>
      <c r="BC17" s="727"/>
      <c r="BD17" s="727"/>
      <c r="BE17" s="727"/>
      <c r="BF17" s="729"/>
    </row>
    <row r="18" spans="1:58" customHeight="1" ht="13.9">
      <c r="A18" s="485" t="str">
        <f>IF(B18="","",16)</f>
        <v/>
      </c>
      <c r="B18" s="226"/>
      <c r="C18" s="69"/>
      <c r="D18" s="70"/>
      <c r="E18" s="76"/>
      <c r="F18" s="70"/>
      <c r="G18" s="76"/>
      <c r="H18" s="70"/>
      <c r="I18" s="491"/>
      <c r="J18" s="491"/>
      <c r="K18" s="70"/>
      <c r="L18" s="494"/>
      <c r="M18" s="494"/>
      <c r="N18" s="76"/>
      <c r="O18" s="76"/>
      <c r="P18" s="467"/>
      <c r="Q18" s="412"/>
      <c r="R18" s="410"/>
      <c r="S18" s="242"/>
      <c r="T18" s="401"/>
      <c r="U18" s="407"/>
      <c r="V18" s="249"/>
      <c r="W18" s="401"/>
      <c r="X18" s="278"/>
      <c r="Y18" s="78"/>
      <c r="Z18" s="403"/>
      <c r="AA18" s="281"/>
      <c r="AB18" s="79"/>
      <c r="AC18" s="85"/>
      <c r="AD18" s="55" t="str">
        <f>IF(B18="","",(((C18+F18+H18+K18+Q18+N18+O18)*50))+((E18*10))+(((I18+J18+D18+G18+L18+M18+U18)*25)+(X18*25)+(Y18*25)+(Z18*25)+(AA18*25)+(AB18*40)+(AC18*50)+(R18*1)+(S18*1)+(T18*1)))</f>
        <v/>
      </c>
      <c r="AE18" s="55" t="str">
        <f>IF(B18="","",C18+F18+H18+K18+Q18+N18+O18+((I18+J18+D18+G18+U18)/2)+(R18/50)+(S18/50)+(T18/50)+(E18/5))</f>
        <v/>
      </c>
      <c r="AF18" s="56" t="str">
        <f>IF(B18="","",((AE18*50)/AD18))</f>
        <v/>
      </c>
      <c r="AG18" s="57" t="str">
        <f>IF(C18="","",((Z18)*25)/AD18)</f>
        <v/>
      </c>
      <c r="AH18" s="57" t="str">
        <f>IF(B18="","",(X18*25)/AD18)</f>
        <v/>
      </c>
      <c r="AI18" s="57" t="str">
        <f>IF(B18="","",(Y18*25)/AD18)</f>
        <v/>
      </c>
      <c r="AJ18" s="57" t="str">
        <f>IF(B18="","",(AA18*25)/AD18)</f>
        <v/>
      </c>
      <c r="AK18" s="58" t="str">
        <f>IF(B18="","",(AB18*40)/AD18)</f>
        <v/>
      </c>
      <c r="AL18" s="58" t="str">
        <f>IF(B18="","",(AC18*50)/AD18)</f>
        <v/>
      </c>
      <c r="AM18" s="59" t="str">
        <f>IF(B18="","",B18)</f>
        <v/>
      </c>
      <c r="AN18" s="233"/>
      <c r="AO18" s="82"/>
      <c r="AP18" s="234"/>
      <c r="AQ18" s="63" t="str">
        <f>IF(AN18="","",AN18/AO18)</f>
        <v/>
      </c>
      <c r="AR18" s="64" t="str">
        <f>IF(AN18="","",(AD18/AN18)/1000)</f>
        <v/>
      </c>
      <c r="AS18" s="64" t="str">
        <f>IF(AN18="","",AR18*24)</f>
        <v/>
      </c>
      <c r="AT18" s="65" t="str">
        <f>IF(AN18="","",(AD18/1000)*100%/AS18)</f>
        <v/>
      </c>
      <c r="AU18" s="64" t="str">
        <f>IF(AN18="","",(AE18/AN18))</f>
        <v/>
      </c>
      <c r="AV18" s="229" t="str">
        <f>IF(AN18="","",(AD18/AO18)/1000)</f>
        <v/>
      </c>
      <c r="AW18" s="714"/>
      <c r="AX18" s="714"/>
      <c r="AY18" s="714"/>
      <c r="AZ18" s="723"/>
      <c r="BA18" s="714"/>
      <c r="BB18" s="725"/>
      <c r="BC18" s="727"/>
      <c r="BD18" s="727"/>
      <c r="BE18" s="727"/>
      <c r="BF18" s="729"/>
    </row>
    <row r="19" spans="1:58" customHeight="1" ht="13.9">
      <c r="A19" s="485" t="str">
        <f>IF(B19="","",17)</f>
        <v/>
      </c>
      <c r="B19" s="68"/>
      <c r="C19" s="69"/>
      <c r="D19" s="70"/>
      <c r="E19" s="76"/>
      <c r="F19" s="70"/>
      <c r="G19" s="76"/>
      <c r="H19" s="70"/>
      <c r="I19" s="491"/>
      <c r="J19" s="491"/>
      <c r="K19" s="70"/>
      <c r="L19" s="494"/>
      <c r="M19" s="494"/>
      <c r="N19" s="76"/>
      <c r="O19" s="76"/>
      <c r="P19" s="467"/>
      <c r="Q19" s="412"/>
      <c r="R19" s="410"/>
      <c r="S19" s="242"/>
      <c r="T19" s="401"/>
      <c r="U19" s="407"/>
      <c r="V19" s="249"/>
      <c r="W19" s="401"/>
      <c r="X19" s="278"/>
      <c r="Y19" s="78"/>
      <c r="Z19" s="403"/>
      <c r="AA19" s="281"/>
      <c r="AB19" s="79"/>
      <c r="AC19" s="85"/>
      <c r="AD19" s="55" t="str">
        <f>IF(B19="","",(((C19+F19+H19+K19+Q19+N19+O19)*50))+((E19*10))+(((I19+J19+D19+G19+L19+M19+U19)*25)+(X19*25)+(Y19*25)+(Z19*25)+(AA19*25)+(AB19*40)+(AC19*50)+(R19*1)+(S19*1)+(T19*1)))</f>
        <v/>
      </c>
      <c r="AE19" s="55" t="str">
        <f>IF(B19="","",C19+F19+H19+K19+Q19+N19+O19+((I19+J19+D19+G19+U19)/2)+(R19/50)+(S19/50)+(T19/50)+(E19/5))</f>
        <v/>
      </c>
      <c r="AF19" s="56" t="str">
        <f>IF(B19="","",((AE19*50)/AD19))</f>
        <v/>
      </c>
      <c r="AG19" s="57" t="str">
        <f>IF(C19="","",((Z19)*25)/AD19)</f>
        <v/>
      </c>
      <c r="AH19" s="57" t="str">
        <f>IF(B19="","",(X19*25)/AD19)</f>
        <v/>
      </c>
      <c r="AI19" s="57" t="str">
        <f>IF(B19="","",(Y19*25)/AD19)</f>
        <v/>
      </c>
      <c r="AJ19" s="57" t="str">
        <f>IF(B19="","",(AA19*25)/AD19)</f>
        <v/>
      </c>
      <c r="AK19" s="58" t="str">
        <f>IF(B19="","",(AB19*40)/AD19)</f>
        <v/>
      </c>
      <c r="AL19" s="58" t="str">
        <f>IF(B19="","",(AC19*50)/AD19)</f>
        <v/>
      </c>
      <c r="AM19" s="59" t="str">
        <f>IF(B19="","",B19)</f>
        <v/>
      </c>
      <c r="AN19" s="233"/>
      <c r="AO19" s="82"/>
      <c r="AP19" s="234"/>
      <c r="AQ19" s="63" t="str">
        <f>IF(AN19="","",AN19/AO19)</f>
        <v/>
      </c>
      <c r="AR19" s="64" t="str">
        <f>IF(AN19="","",(AD19/AN19)/1000)</f>
        <v/>
      </c>
      <c r="AS19" s="64" t="str">
        <f>IF(AN19="","",AR19*24)</f>
        <v/>
      </c>
      <c r="AT19" s="65" t="str">
        <f>IF(AN19="","",(AD19/1000)*100%/AS19)</f>
        <v/>
      </c>
      <c r="AU19" s="64" t="str">
        <f>IF(AN19="","",(AE19/AN19))</f>
        <v/>
      </c>
      <c r="AV19" s="229" t="str">
        <f>IF(AN19="","",(AD19/AO19)/1000)</f>
        <v/>
      </c>
      <c r="AW19" s="714"/>
      <c r="AX19" s="714"/>
      <c r="AY19" s="714"/>
      <c r="AZ19" s="723"/>
      <c r="BA19" s="714"/>
      <c r="BB19" s="725"/>
      <c r="BC19" s="727"/>
      <c r="BD19" s="727"/>
      <c r="BE19" s="727"/>
      <c r="BF19" s="729"/>
    </row>
    <row r="20" spans="1:58" customHeight="1" ht="13.9">
      <c r="A20" s="485" t="str">
        <f>IF(B20="","",1+A19)</f>
        <v/>
      </c>
      <c r="B20" s="68"/>
      <c r="C20" s="69"/>
      <c r="D20" s="70"/>
      <c r="E20" s="76"/>
      <c r="F20" s="70"/>
      <c r="G20" s="76"/>
      <c r="H20" s="70"/>
      <c r="I20" s="491"/>
      <c r="J20" s="491"/>
      <c r="K20" s="70"/>
      <c r="L20" s="494"/>
      <c r="M20" s="494"/>
      <c r="N20" s="76"/>
      <c r="O20" s="76"/>
      <c r="P20" s="467"/>
      <c r="Q20" s="412"/>
      <c r="R20" s="410"/>
      <c r="S20" s="242"/>
      <c r="T20" s="401"/>
      <c r="U20" s="407"/>
      <c r="V20" s="249"/>
      <c r="W20" s="401"/>
      <c r="X20" s="278"/>
      <c r="Y20" s="78"/>
      <c r="Z20" s="403"/>
      <c r="AA20" s="281"/>
      <c r="AB20" s="79"/>
      <c r="AC20" s="85"/>
      <c r="AD20" s="55" t="str">
        <f>IF(B20="","",(((C20+F20+H20+K20+Q20+N20+O20)*50))+((E20*10))+(((I20+J20+D20+G20+L20+M20+U20)*25)+(X20*25)+(Y20*25)+(Z20*25)+(AA20*25)+(AB20*40)+(AC20*50)+(R20*1)+(S20*1)+(T20*1)))</f>
        <v/>
      </c>
      <c r="AE20" s="55" t="str">
        <f>IF(B20="","",C20+F20+H20+K20+Q20+N20+O20+((I20+J20+D20+G20+U20)/2)+(R20/50)+(S20/50)+(T20/50)+(E20/5))</f>
        <v/>
      </c>
      <c r="AF20" s="56" t="str">
        <f>IF(B20="","",((AE20*50)/AD20))</f>
        <v/>
      </c>
      <c r="AG20" s="57" t="str">
        <f>IF(C20="","",((Z20)*25)/AD20)</f>
        <v/>
      </c>
      <c r="AH20" s="57" t="str">
        <f>IF(B20="","",(X20*25)/AD20)</f>
        <v/>
      </c>
      <c r="AI20" s="57" t="str">
        <f>IF(B20="","",(Y20*25)/AD20)</f>
        <v/>
      </c>
      <c r="AJ20" s="57" t="str">
        <f>IF(B20="","",(AA20*25)/AD20)</f>
        <v/>
      </c>
      <c r="AK20" s="58" t="str">
        <f>IF(B20="","",(AB20*40)/AD20)</f>
        <v/>
      </c>
      <c r="AL20" s="58" t="str">
        <f>IF(B20="","",(AC20*50)/AD20)</f>
        <v/>
      </c>
      <c r="AM20" s="59" t="str">
        <f>IF(B20="","",B20)</f>
        <v/>
      </c>
      <c r="AN20" s="233"/>
      <c r="AO20" s="82"/>
      <c r="AP20" s="234"/>
      <c r="AQ20" s="63" t="str">
        <f>IF(AN20="","",AN20/AO20)</f>
        <v/>
      </c>
      <c r="AR20" s="64" t="str">
        <f>IF(AN20="","",(AD20/AN20)/1000)</f>
        <v/>
      </c>
      <c r="AS20" s="64" t="str">
        <f>IF(AN20="","",AR20*24)</f>
        <v/>
      </c>
      <c r="AT20" s="65" t="str">
        <f>IF(AN20="","",(AD20/1000)*100%/AS20)</f>
        <v/>
      </c>
      <c r="AU20" s="64" t="str">
        <f>IF(AN20="","",(AE20/AN20))</f>
        <v/>
      </c>
      <c r="AV20" s="229" t="str">
        <f>IF(AN20="","",(AD20/AO20)/1000)</f>
        <v/>
      </c>
      <c r="AW20" s="714"/>
      <c r="AX20" s="714"/>
      <c r="AY20" s="714"/>
      <c r="AZ20" s="723"/>
      <c r="BA20" s="714"/>
      <c r="BB20" s="725"/>
      <c r="BC20" s="727"/>
      <c r="BD20" s="727"/>
      <c r="BE20" s="727"/>
      <c r="BF20" s="729"/>
    </row>
    <row r="21" spans="1:58" customHeight="1" ht="13.9">
      <c r="A21" s="485" t="str">
        <f>IF(B21="","",1+A20)</f>
        <v/>
      </c>
      <c r="B21" s="68"/>
      <c r="C21" s="69"/>
      <c r="D21" s="70"/>
      <c r="E21" s="76"/>
      <c r="F21" s="70"/>
      <c r="G21" s="76"/>
      <c r="H21" s="70"/>
      <c r="I21" s="491"/>
      <c r="J21" s="491"/>
      <c r="K21" s="70"/>
      <c r="L21" s="494"/>
      <c r="M21" s="494"/>
      <c r="N21" s="76"/>
      <c r="O21" s="76"/>
      <c r="P21" s="467"/>
      <c r="Q21" s="412"/>
      <c r="R21" s="410"/>
      <c r="S21" s="242"/>
      <c r="T21" s="401"/>
      <c r="U21" s="407"/>
      <c r="V21" s="249"/>
      <c r="W21" s="401"/>
      <c r="X21" s="278"/>
      <c r="Y21" s="78"/>
      <c r="Z21" s="403"/>
      <c r="AA21" s="281"/>
      <c r="AB21" s="79"/>
      <c r="AC21" s="85"/>
      <c r="AD21" s="55"/>
      <c r="AE21" s="55" t="str">
        <f>IF(B21="","",C21+F21+H21+K21+Q21+N21+O21+((I21+J21+D21+G21+U21)/2)+(R21/50)+(S21/50)+(T21/50)+(E21/5))</f>
        <v/>
      </c>
      <c r="AF21" s="56" t="str">
        <f>IF(B21="","",((AE21*50)/AD21))</f>
        <v/>
      </c>
      <c r="AG21" s="57" t="str">
        <f>IF(C21="","",((Z21)*25)/AD21)</f>
        <v/>
      </c>
      <c r="AH21" s="57" t="str">
        <f>IF(B21="","",(X21*25)/AD21)</f>
        <v/>
      </c>
      <c r="AI21" s="57" t="str">
        <f>IF(B21="","",(Y21*25)/AD21)</f>
        <v/>
      </c>
      <c r="AJ21" s="57" t="str">
        <f>IF(B21="","",(AA21*25)/AD21)</f>
        <v/>
      </c>
      <c r="AK21" s="58" t="str">
        <f>IF(B21="","",(AB21*40)/AD21)</f>
        <v/>
      </c>
      <c r="AL21" s="58" t="str">
        <f>IF(B21="","",(AC21*50)/AD21)</f>
        <v/>
      </c>
      <c r="AM21" s="59" t="str">
        <f>IF(B21="","",B21)</f>
        <v/>
      </c>
      <c r="AN21" s="233"/>
      <c r="AO21" s="82"/>
      <c r="AP21" s="234"/>
      <c r="AQ21" s="63" t="str">
        <f>IF(AN21="","",AN21/AO21)</f>
        <v/>
      </c>
      <c r="AR21" s="64" t="str">
        <f>IF(AN21="","",(AD21/AN21)/1000)</f>
        <v/>
      </c>
      <c r="AS21" s="64" t="str">
        <f>IF(AN21="","",AR21*24)</f>
        <v/>
      </c>
      <c r="AT21" s="65" t="str">
        <f>IF(AN21="","",(AD21/1000)*100%/AS21)</f>
        <v/>
      </c>
      <c r="AU21" s="64" t="str">
        <f>IF(AN21="","",(AE21/AN21))</f>
        <v/>
      </c>
      <c r="AV21" s="229" t="str">
        <f>IF(AN21="","",(AD21/AO21)/1000)</f>
        <v/>
      </c>
      <c r="AW21" s="714"/>
      <c r="AX21" s="714"/>
      <c r="AY21" s="714"/>
      <c r="AZ21" s="723"/>
      <c r="BA21" s="714"/>
      <c r="BB21" s="725"/>
      <c r="BC21" s="727"/>
      <c r="BD21" s="727"/>
      <c r="BE21" s="727"/>
      <c r="BF21" s="729"/>
    </row>
    <row r="22" spans="1:58" customHeight="1" ht="13.9">
      <c r="A22" s="485" t="str">
        <f>IF(B22="","",1+A21)</f>
        <v/>
      </c>
      <c r="B22" s="68"/>
      <c r="C22" s="69"/>
      <c r="D22" s="70"/>
      <c r="E22" s="76"/>
      <c r="F22" s="70"/>
      <c r="G22" s="76"/>
      <c r="H22" s="70"/>
      <c r="I22" s="76"/>
      <c r="J22" s="76"/>
      <c r="K22" s="70"/>
      <c r="L22" s="494"/>
      <c r="M22" s="494"/>
      <c r="N22" s="76"/>
      <c r="O22" s="76"/>
      <c r="P22" s="467"/>
      <c r="Q22" s="412"/>
      <c r="R22" s="410"/>
      <c r="S22" s="242"/>
      <c r="T22" s="401"/>
      <c r="U22" s="407"/>
      <c r="V22" s="249"/>
      <c r="W22" s="401"/>
      <c r="X22" s="278"/>
      <c r="Y22" s="78"/>
      <c r="Z22" s="403"/>
      <c r="AA22" s="281"/>
      <c r="AB22" s="79"/>
      <c r="AC22" s="85"/>
      <c r="AD22" s="55" t="str">
        <f>IF(B22="","",(((C22+F22+H22+K22+Q22+N22+O22)*50))+((E22*10))+(((I22+J22+D22+G22+L22+M22+U22)*25)+(X22*25)+(Y22*25)+(Z22*25)+(AA22*25)+(AB22*40)+(AC22*50)+(R22*1)+(S22*1)+(T22*1)))</f>
        <v/>
      </c>
      <c r="AE22" s="55" t="str">
        <f>IF(B22="","",C22+F22+H22+K22+Q22+N22+O22+((I22+J22+D22+G22+U22)/2)+(R22/50)+(S22/50)+(T22/50)+(E22/5))</f>
        <v/>
      </c>
      <c r="AF22" s="56" t="str">
        <f>IF(B22="","",((AE22*50)/AD22))</f>
        <v/>
      </c>
      <c r="AG22" s="57" t="str">
        <f>IF(C22="","",((Z22)*25)/AD22)</f>
        <v/>
      </c>
      <c r="AH22" s="57" t="str">
        <f>IF(B22="","",(X22*25)/AD22)</f>
        <v/>
      </c>
      <c r="AI22" s="57" t="str">
        <f>IF(B22="","",(Y22*25)/AD22)</f>
        <v/>
      </c>
      <c r="AJ22" s="57" t="str">
        <f>IF(B22="","",(AA22*25)/AD22)</f>
        <v/>
      </c>
      <c r="AK22" s="58" t="str">
        <f>IF(B22="","",(AB22*40)/AD22)</f>
        <v/>
      </c>
      <c r="AL22" s="58" t="str">
        <f>IF(B22="","",(AC22*50)/AD22)</f>
        <v/>
      </c>
      <c r="AM22" s="59" t="str">
        <f>IF(B22="","",B22)</f>
        <v/>
      </c>
      <c r="AN22" s="233"/>
      <c r="AO22" s="82"/>
      <c r="AP22" s="234"/>
      <c r="AQ22" s="63" t="str">
        <f>IF(AN22="","",AN22/AO22)</f>
        <v/>
      </c>
      <c r="AR22" s="64" t="str">
        <f>IF(AN22="","",(AD22/AN22)/1000)</f>
        <v/>
      </c>
      <c r="AS22" s="64" t="str">
        <f>IF(AN22="","",AR22*24)</f>
        <v/>
      </c>
      <c r="AT22" s="65" t="str">
        <f>IF(AN22="","",(AD22/1000)*100%/AS22)</f>
        <v/>
      </c>
      <c r="AU22" s="64" t="str">
        <f>IF(AN22="","",(AE22/AN22))</f>
        <v/>
      </c>
      <c r="AV22" s="229" t="str">
        <f>IF(AN22="","",(AD22/AO22)/1000)</f>
        <v/>
      </c>
      <c r="AW22" s="714"/>
      <c r="AX22" s="714"/>
      <c r="AY22" s="714"/>
      <c r="AZ22" s="723"/>
      <c r="BA22" s="714"/>
      <c r="BB22" s="725"/>
      <c r="BC22" s="727"/>
      <c r="BD22" s="727"/>
      <c r="BE22" s="727"/>
      <c r="BF22" s="729"/>
    </row>
    <row r="23" spans="1:58" customHeight="1" ht="13.9">
      <c r="A23" s="485" t="str">
        <f>IF(B23="","",1+A22)</f>
        <v/>
      </c>
      <c r="B23" s="68"/>
      <c r="C23" s="69"/>
      <c r="D23" s="70"/>
      <c r="E23" s="76"/>
      <c r="F23" s="70"/>
      <c r="G23" s="76"/>
      <c r="H23" s="70"/>
      <c r="I23" s="76"/>
      <c r="J23" s="76"/>
      <c r="K23" s="70"/>
      <c r="L23" s="494"/>
      <c r="M23" s="494"/>
      <c r="N23" s="76"/>
      <c r="O23" s="76"/>
      <c r="P23" s="467"/>
      <c r="Q23" s="412"/>
      <c r="R23" s="410"/>
      <c r="S23" s="242"/>
      <c r="T23" s="401"/>
      <c r="U23" s="407"/>
      <c r="V23" s="249"/>
      <c r="W23" s="401"/>
      <c r="X23" s="278"/>
      <c r="Y23" s="78"/>
      <c r="Z23" s="403"/>
      <c r="AA23" s="281"/>
      <c r="AB23" s="79"/>
      <c r="AC23" s="85"/>
      <c r="AD23" s="55"/>
      <c r="AE23" s="55" t="str">
        <f>IF(B23="","",C23+F23+H23+K23+Q23+N23+O23+((I23+J23+D23+G23+U23)/2)+(R23/50)+(S23/50)+(T23/50)+(E23/5))</f>
        <v/>
      </c>
      <c r="AF23" s="56" t="str">
        <f>IF(B23="","",((AE23*50)/AD23))</f>
        <v/>
      </c>
      <c r="AG23" s="57" t="str">
        <f>IF(C23="","",((Z23)*25)/AD23)</f>
        <v/>
      </c>
      <c r="AH23" s="57" t="str">
        <f>IF(B23="","",(X23*25)/AD23)</f>
        <v/>
      </c>
      <c r="AI23" s="57" t="str">
        <f>IF(B23="","",(Y23*25)/AD23)</f>
        <v/>
      </c>
      <c r="AJ23" s="57" t="str">
        <f>IF(B23="","",(AA23*25)/AD23)</f>
        <v/>
      </c>
      <c r="AK23" s="58" t="str">
        <f>IF(B23="","",(AB23*40)/AD23)</f>
        <v/>
      </c>
      <c r="AL23" s="58" t="str">
        <f>IF(B23="","",(AC23*50)/AD23)</f>
        <v/>
      </c>
      <c r="AM23" s="59" t="str">
        <f>IF(B23="","",B23)</f>
        <v/>
      </c>
      <c r="AN23" s="233"/>
      <c r="AO23" s="82"/>
      <c r="AP23" s="234"/>
      <c r="AQ23" s="63" t="str">
        <f>IF(AN23="","",AN23/AO23)</f>
        <v/>
      </c>
      <c r="AR23" s="64" t="str">
        <f>IF(AN23="","",(AD23/AN23)/1000)</f>
        <v/>
      </c>
      <c r="AS23" s="64" t="str">
        <f>IF(AN23="","",AR23*24)</f>
        <v/>
      </c>
      <c r="AT23" s="65" t="str">
        <f>IF(AN23="","",(AD23/1000)*100%/AS23)</f>
        <v/>
      </c>
      <c r="AU23" s="64" t="str">
        <f>IF(AN23="","",(AE23/AN23))</f>
        <v/>
      </c>
      <c r="AV23" s="229" t="str">
        <f>IF(AN23="","",(AD23/AO23)/1000)</f>
        <v/>
      </c>
      <c r="AW23" s="714"/>
      <c r="AX23" s="714"/>
      <c r="AY23" s="714"/>
      <c r="AZ23" s="723"/>
      <c r="BA23" s="714"/>
      <c r="BB23" s="725"/>
      <c r="BC23" s="727"/>
      <c r="BD23" s="727"/>
      <c r="BE23" s="727"/>
      <c r="BF23" s="729"/>
    </row>
    <row r="24" spans="1:58" customHeight="1" ht="13.9">
      <c r="A24" s="485" t="str">
        <f>IF(B24="","",1+A23)</f>
        <v/>
      </c>
      <c r="B24" s="68"/>
      <c r="C24" s="69"/>
      <c r="D24" s="70"/>
      <c r="E24" s="76"/>
      <c r="F24" s="70"/>
      <c r="G24" s="76"/>
      <c r="H24" s="70"/>
      <c r="I24" s="76"/>
      <c r="J24" s="76"/>
      <c r="K24" s="70"/>
      <c r="L24" s="494"/>
      <c r="M24" s="494"/>
      <c r="N24" s="76"/>
      <c r="O24" s="76"/>
      <c r="P24" s="467"/>
      <c r="Q24" s="412"/>
      <c r="R24" s="410"/>
      <c r="S24" s="242"/>
      <c r="T24" s="401"/>
      <c r="U24" s="407"/>
      <c r="V24" s="249"/>
      <c r="W24" s="401"/>
      <c r="X24" s="278"/>
      <c r="Y24" s="78"/>
      <c r="Z24" s="403"/>
      <c r="AA24" s="281"/>
      <c r="AB24" s="79"/>
      <c r="AC24" s="85"/>
      <c r="AD24" s="55" t="str">
        <f>IF(B24="","",(((C24+F24+H24+K24+Q24+N24+O24)*50))+((E24*10))+(((I24+J24+D24+G24+L24+M24+U24)*25)+(X24*25)+(Y24*25)+(Z24*25)+(AA24*25)+(AB24*40)+(AC24*50)+(R24*1)+(S24*1)+(T24*1)))</f>
        <v/>
      </c>
      <c r="AE24" s="55" t="str">
        <f>IF(B24="","",C24+F24+H24+K24+Q24+N24+O24+((I24+J24+D24+G24+U24)/2)+(R24/50)+(S24/50)+(T24/50)+(E24/5))</f>
        <v/>
      </c>
      <c r="AF24" s="56" t="str">
        <f>IF(B24="","",((AE24*50)/AD24))</f>
        <v/>
      </c>
      <c r="AG24" s="57" t="str">
        <f>IF(C24="","",((Z24)*25)/AD24)</f>
        <v/>
      </c>
      <c r="AH24" s="57" t="str">
        <f>IF(B24="","",(X24*25)/AD24)</f>
        <v/>
      </c>
      <c r="AI24" s="57" t="str">
        <f>IF(B24="","",(Y24*25)/AD24)</f>
        <v/>
      </c>
      <c r="AJ24" s="57" t="str">
        <f>IF(B24="","",(AA24*25)/AD24)</f>
        <v/>
      </c>
      <c r="AK24" s="58" t="str">
        <f>IF(B24="","",(AB24*40)/AD24)</f>
        <v/>
      </c>
      <c r="AL24" s="58" t="str">
        <f>IF(B24="","",(AC24*50)/AD24)</f>
        <v/>
      </c>
      <c r="AM24" s="59" t="str">
        <f>IF(B24="","",B24)</f>
        <v/>
      </c>
      <c r="AN24" s="233"/>
      <c r="AO24" s="82"/>
      <c r="AP24" s="234"/>
      <c r="AQ24" s="63" t="str">
        <f>IF(AN24="","",AN24/AO24)</f>
        <v/>
      </c>
      <c r="AR24" s="64" t="str">
        <f>IF(AN24="","",(AD24/AN24)/1000)</f>
        <v/>
      </c>
      <c r="AS24" s="64" t="str">
        <f>IF(AN24="","",AR24*24)</f>
        <v/>
      </c>
      <c r="AT24" s="65" t="str">
        <f>IF(AN24="","",(AD24/1000)*100%/AS24)</f>
        <v/>
      </c>
      <c r="AU24" s="64" t="str">
        <f>IF(AN24="","",(AE24/AN24))</f>
        <v/>
      </c>
      <c r="AV24" s="229" t="str">
        <f>IF(AN24="","",(AD24/AO24)/1000)</f>
        <v/>
      </c>
      <c r="AW24" s="714"/>
      <c r="AX24" s="714"/>
      <c r="AY24" s="714"/>
      <c r="AZ24" s="723"/>
      <c r="BA24" s="714"/>
      <c r="BB24" s="725"/>
      <c r="BC24" s="727"/>
      <c r="BD24" s="727"/>
      <c r="BE24" s="727"/>
      <c r="BF24" s="729"/>
    </row>
    <row r="25" spans="1:58" customHeight="1" ht="13.9">
      <c r="A25" s="485"/>
      <c r="B25" s="68"/>
      <c r="C25" s="415"/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/>
      <c r="S25" s="242"/>
      <c r="T25" s="401"/>
      <c r="U25" s="407"/>
      <c r="V25" s="249"/>
      <c r="W25" s="401"/>
      <c r="X25" s="278"/>
      <c r="Y25" s="78"/>
      <c r="Z25" s="403"/>
      <c r="AA25" s="281"/>
      <c r="AB25" s="79"/>
      <c r="AC25" s="85"/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str">
        <f>IF(C25="","",((Z25)*25)/AD25)</f>
        <v/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492" t="str">
        <f>IF(AN25="","",(AD25/AO25)/1000)</f>
        <v/>
      </c>
      <c r="AW25" s="714"/>
      <c r="AX25" s="714"/>
      <c r="AY25" s="714"/>
      <c r="AZ25" s="723"/>
      <c r="BA25" s="714"/>
      <c r="BB25" s="725"/>
      <c r="BC25" s="727"/>
      <c r="BD25" s="727"/>
      <c r="BE25" s="727"/>
      <c r="BF25" s="729"/>
    </row>
    <row r="26" spans="1:58" customHeight="1" ht="13.9">
      <c r="A26" s="485"/>
      <c r="B26" s="68"/>
      <c r="C26" s="69"/>
      <c r="D26" s="70"/>
      <c r="E26" s="76"/>
      <c r="F26" s="70"/>
      <c r="G26" s="76"/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/>
      <c r="S26" s="242"/>
      <c r="T26" s="401"/>
      <c r="U26" s="407"/>
      <c r="V26" s="249"/>
      <c r="W26" s="401"/>
      <c r="X26" s="278"/>
      <c r="Y26" s="78"/>
      <c r="Z26" s="403"/>
      <c r="AA26" s="281"/>
      <c r="AB26" s="79"/>
      <c r="AC26" s="85"/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str">
        <f>IF(C26="","",((Z26)*25)/AD26)</f>
        <v/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229" t="str">
        <f>IF(AN26="","",(AD26/AO26)/1000)</f>
        <v/>
      </c>
      <c r="AW26" s="714"/>
      <c r="AX26" s="714"/>
      <c r="AY26" s="714"/>
      <c r="AZ26" s="723"/>
      <c r="BA26" s="714"/>
      <c r="BB26" s="725"/>
      <c r="BC26" s="727"/>
      <c r="BD26" s="727"/>
      <c r="BE26" s="727"/>
      <c r="BF26" s="729"/>
    </row>
    <row r="27" spans="1:58" customHeight="1" ht="13.9">
      <c r="A27" s="485"/>
      <c r="B27" s="68"/>
      <c r="C27" s="69"/>
      <c r="D27" s="70"/>
      <c r="E27" s="76"/>
      <c r="F27" s="70"/>
      <c r="G27" s="76"/>
      <c r="H27" s="70"/>
      <c r="I27" s="76"/>
      <c r="J27" s="76"/>
      <c r="K27" s="70"/>
      <c r="L27" s="494"/>
      <c r="M27" s="494"/>
      <c r="N27" s="76"/>
      <c r="O27" s="76"/>
      <c r="P27" s="467"/>
      <c r="Q27" s="412"/>
      <c r="R27" s="410"/>
      <c r="S27" s="242"/>
      <c r="T27" s="401"/>
      <c r="U27" s="407"/>
      <c r="V27" s="249"/>
      <c r="W27" s="401"/>
      <c r="X27" s="278"/>
      <c r="Y27" s="78"/>
      <c r="Z27" s="403"/>
      <c r="AA27" s="281"/>
      <c r="AB27" s="79"/>
      <c r="AC27" s="85"/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str">
        <f>IF(C27="","",((Z27)*25)/AD27)</f>
        <v/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23"/>
      <c r="BA27" s="714"/>
      <c r="BB27" s="725"/>
      <c r="BC27" s="727"/>
      <c r="BD27" s="727"/>
      <c r="BE27" s="727"/>
      <c r="BF27" s="729"/>
    </row>
    <row r="28" spans="1:58">
      <c r="A28" s="41"/>
      <c r="B28" s="68"/>
      <c r="C28" s="69"/>
      <c r="D28" s="70"/>
      <c r="E28" s="76"/>
      <c r="F28" s="70"/>
      <c r="G28" s="76"/>
      <c r="H28" s="70"/>
      <c r="I28" s="75"/>
      <c r="J28" s="75"/>
      <c r="K28" s="70"/>
      <c r="L28" s="494"/>
      <c r="M28" s="494"/>
      <c r="N28" s="76"/>
      <c r="O28" s="76"/>
      <c r="P28" s="467"/>
      <c r="Q28" s="412"/>
      <c r="R28" s="410"/>
      <c r="S28" s="242"/>
      <c r="T28" s="401"/>
      <c r="U28" s="407"/>
      <c r="V28" s="249"/>
      <c r="W28" s="401"/>
      <c r="X28" s="278"/>
      <c r="Y28" s="78"/>
      <c r="Z28" s="403"/>
      <c r="AA28" s="281"/>
      <c r="AB28" s="79"/>
      <c r="AC28" s="85"/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str">
        <f>IF(C28="","",((Z28)*25)/AD28)</f>
        <v/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23"/>
      <c r="BA28" s="714"/>
      <c r="BB28" s="725"/>
      <c r="BC28" s="727"/>
      <c r="BD28" s="727"/>
      <c r="BE28" s="727"/>
      <c r="BF28" s="729"/>
    </row>
    <row r="29" spans="1:58">
      <c r="A29" s="41"/>
      <c r="B29" s="68"/>
      <c r="C29" s="69"/>
      <c r="D29" s="70"/>
      <c r="E29" s="76"/>
      <c r="F29" s="70"/>
      <c r="G29" s="430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/>
      <c r="S29" s="242"/>
      <c r="T29" s="401"/>
      <c r="U29" s="407"/>
      <c r="V29" s="249"/>
      <c r="W29" s="401"/>
      <c r="X29" s="278"/>
      <c r="Y29" s="78"/>
      <c r="Z29" s="403"/>
      <c r="AA29" s="281"/>
      <c r="AB29" s="79"/>
      <c r="AC29" s="85"/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str">
        <f>IF(C29="","",((Z29)*25)/AD29)</f>
        <v/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23"/>
      <c r="BA29" s="714"/>
      <c r="BB29" s="725"/>
      <c r="BC29" s="727"/>
      <c r="BD29" s="727"/>
      <c r="BE29" s="727"/>
      <c r="BF29" s="729"/>
    </row>
    <row r="30" spans="1:58">
      <c r="A30" s="41" t="str">
        <f>IF(B30="","",1+A29)</f>
        <v/>
      </c>
      <c r="B30" s="425"/>
      <c r="C30" s="426"/>
      <c r="D30" s="427"/>
      <c r="E30" s="428"/>
      <c r="F30" s="460"/>
      <c r="G30" s="459"/>
      <c r="H30" s="427"/>
      <c r="I30" s="429"/>
      <c r="J30" s="429"/>
      <c r="K30" s="427"/>
      <c r="L30" s="495"/>
      <c r="M30" s="495"/>
      <c r="N30" s="430"/>
      <c r="O30" s="430"/>
      <c r="P30" s="468"/>
      <c r="Q30" s="431"/>
      <c r="R30" s="432"/>
      <c r="S30" s="433"/>
      <c r="T30" s="434"/>
      <c r="U30" s="435"/>
      <c r="V30" s="436"/>
      <c r="W30" s="434"/>
      <c r="X30" s="279"/>
      <c r="Y30" s="437"/>
      <c r="Z30" s="438"/>
      <c r="AA30" s="439"/>
      <c r="AB30" s="440"/>
      <c r="AC30" s="441"/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str">
        <f>IF(C30="","",((Z30)*25)/AD30)</f>
        <v/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443"/>
      <c r="AO30" s="444"/>
      <c r="AP30" s="445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23"/>
      <c r="BA30" s="714"/>
      <c r="BB30" s="725"/>
      <c r="BC30" s="727"/>
      <c r="BD30" s="727"/>
      <c r="BE30" s="727"/>
      <c r="BF30" s="729"/>
    </row>
    <row r="31" spans="1:58">
      <c r="A31" s="41" t="str">
        <f>IF(B31="","",1+A30)</f>
        <v/>
      </c>
      <c r="B31" s="425"/>
      <c r="C31" s="426"/>
      <c r="D31" s="427"/>
      <c r="E31" s="428"/>
      <c r="F31" s="460"/>
      <c r="G31" s="428"/>
      <c r="H31" s="427"/>
      <c r="I31" s="429"/>
      <c r="J31" s="429"/>
      <c r="K31" s="427"/>
      <c r="L31" s="495"/>
      <c r="M31" s="495"/>
      <c r="N31" s="430"/>
      <c r="O31" s="430"/>
      <c r="P31" s="468"/>
      <c r="Q31" s="431"/>
      <c r="R31" s="432"/>
      <c r="S31" s="433"/>
      <c r="T31" s="434"/>
      <c r="U31" s="435"/>
      <c r="V31" s="436"/>
      <c r="W31" s="434"/>
      <c r="X31" s="279"/>
      <c r="Y31" s="437"/>
      <c r="Z31" s="438"/>
      <c r="AA31" s="439"/>
      <c r="AB31" s="440"/>
      <c r="AC31" s="441"/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str">
        <f>IF(C31="","",((Z31)*25)/AD31)</f>
        <v/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23"/>
      <c r="BA31" s="714"/>
      <c r="BB31" s="725"/>
      <c r="BC31" s="727"/>
      <c r="BD31" s="727"/>
      <c r="BE31" s="727"/>
      <c r="BF31" s="729"/>
    </row>
    <row r="32" spans="1:58">
      <c r="A32" s="41" t="str">
        <f>IF(B32="","",1+A31)</f>
        <v/>
      </c>
      <c r="B32" s="425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/>
      <c r="S32" s="433"/>
      <c r="T32" s="434"/>
      <c r="U32" s="435"/>
      <c r="V32" s="436"/>
      <c r="W32" s="434"/>
      <c r="X32" s="279"/>
      <c r="Y32" s="437"/>
      <c r="Z32" s="438"/>
      <c r="AA32" s="439"/>
      <c r="AB32" s="440"/>
      <c r="AC32" s="441"/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23"/>
      <c r="BA32" s="714"/>
      <c r="BB32" s="725"/>
      <c r="BC32" s="727"/>
      <c r="BD32" s="727"/>
      <c r="BE32" s="727"/>
      <c r="BF32" s="729"/>
    </row>
    <row r="33" spans="1:58">
      <c r="A33" s="41" t="str">
        <f>IF(B33="","",1+A32)</f>
        <v/>
      </c>
      <c r="B33" s="425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23"/>
      <c r="BA33" s="714"/>
      <c r="BB33" s="725"/>
      <c r="BC33" s="727"/>
      <c r="BD33" s="727"/>
      <c r="BE33" s="727"/>
      <c r="BF33" s="729"/>
    </row>
    <row r="34" spans="1:58">
      <c r="A34" s="41" t="str">
        <f>IF(B34="","",1+A33)</f>
        <v/>
      </c>
      <c r="B34" s="442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452"/>
      <c r="AX34" s="452"/>
      <c r="AY34" s="452"/>
      <c r="AZ34" s="144"/>
      <c r="BA34" s="452"/>
      <c r="BB34" s="455"/>
      <c r="BC34" s="142"/>
      <c r="BD34" s="142"/>
      <c r="BE34" s="142"/>
      <c r="BF34" s="283"/>
    </row>
    <row r="35" spans="1:58">
      <c r="A35" s="41" t="str">
        <f>IF(B35="","",1+A34)</f>
        <v/>
      </c>
      <c r="B35" s="95"/>
      <c r="C35" s="96"/>
      <c r="D35" s="387"/>
      <c r="E35" s="250"/>
      <c r="F35" s="461"/>
      <c r="G35" s="100"/>
      <c r="H35" s="97"/>
      <c r="I35" s="101"/>
      <c r="J35" s="101"/>
      <c r="K35" s="97"/>
      <c r="L35" s="496"/>
      <c r="M35" s="496"/>
      <c r="N35" s="102"/>
      <c r="O35" s="102"/>
      <c r="P35" s="469"/>
      <c r="Q35" s="413"/>
      <c r="R35" s="411"/>
      <c r="S35" s="243"/>
      <c r="T35" s="402"/>
      <c r="U35" s="408"/>
      <c r="V35" s="250"/>
      <c r="W35" s="402"/>
      <c r="X35" s="400"/>
      <c r="Y35" s="104"/>
      <c r="Z35" s="404"/>
      <c r="AA35" s="282"/>
      <c r="AB35" s="105"/>
      <c r="AC35" s="106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6"/>
      <c r="AO35" s="447"/>
      <c r="AP35" s="383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3"/>
      <c r="AX35" s="453"/>
      <c r="AY35" s="453"/>
      <c r="AZ35" s="454"/>
      <c r="BA35" s="453"/>
      <c r="BB35" s="456"/>
      <c r="BC35" s="457"/>
      <c r="BD35" s="457"/>
      <c r="BE35" s="457"/>
      <c r="BF35" s="458"/>
    </row>
    <row r="36" spans="1:58">
      <c r="A36" s="114"/>
      <c r="B36" s="115" t="s">
        <v>67</v>
      </c>
      <c r="C36" s="536">
        <f>SUM(C4:C35)</f>
        <v>0</v>
      </c>
      <c r="D36" s="536">
        <f>SUM(D4:D35)</f>
        <v>0</v>
      </c>
      <c r="E36" s="536">
        <f>SUM(E4:E35)</f>
        <v>0</v>
      </c>
      <c r="F36" s="536">
        <f>SUM(F4:F35)</f>
        <v>0</v>
      </c>
      <c r="G36" s="536">
        <f>SUM(G4:G35)</f>
        <v>0</v>
      </c>
      <c r="H36" s="536">
        <f>SUM(H4:H35)</f>
        <v>0</v>
      </c>
      <c r="I36" s="536">
        <f>SUM(I4:I35)</f>
        <v>0</v>
      </c>
      <c r="J36" s="536">
        <f>SUM(J4:J35)</f>
        <v>0</v>
      </c>
      <c r="K36" s="536">
        <f>SUM(K4:K35)</f>
        <v>0</v>
      </c>
      <c r="L36" s="535">
        <f>SUM(L4:L35)</f>
        <v>0</v>
      </c>
      <c r="M36" s="535">
        <f>SUM(M4:M35)</f>
        <v>0</v>
      </c>
      <c r="N36" s="535">
        <f>SUM(N4:N35)</f>
        <v>0</v>
      </c>
      <c r="O36" s="535">
        <f>SUM(O4:O35)</f>
        <v>0</v>
      </c>
      <c r="P36" s="535">
        <f>SUM(P4:P35)</f>
        <v>0</v>
      </c>
      <c r="Q36" s="536">
        <f>SUM(Q4:Q35)</f>
        <v>0</v>
      </c>
      <c r="R36" s="536">
        <f>SUM(R4:R35)</f>
        <v>0</v>
      </c>
      <c r="S36" s="536">
        <f>SUM(S4:S35)</f>
        <v>0</v>
      </c>
      <c r="T36" s="536">
        <f>SUM(T4:T35)</f>
        <v>0</v>
      </c>
      <c r="U36" s="535">
        <f>SUM(U4:U35)</f>
        <v>0</v>
      </c>
      <c r="V36" s="535">
        <f>SUM(V4:V35)</f>
        <v>0</v>
      </c>
      <c r="W36" s="535">
        <f>SUM(W4:W35)</f>
        <v>0</v>
      </c>
      <c r="X36" s="535">
        <f>SUM(X4:X35)</f>
        <v>0</v>
      </c>
      <c r="Y36" s="535">
        <f>SUM(Y4:Y35)</f>
        <v>0</v>
      </c>
      <c r="Z36" s="535">
        <f>SUM(Z4:Z35)</f>
        <v>0</v>
      </c>
      <c r="AA36" s="536">
        <f>SUM(AA4:AA35)</f>
        <v>0</v>
      </c>
      <c r="AB36" s="536">
        <f>SUM(AB4:AB35)</f>
        <v>0</v>
      </c>
      <c r="AC36" s="536">
        <f>SUM(AC4:AC35)</f>
        <v>0</v>
      </c>
      <c r="AD36" s="117">
        <f>SUM(AD4:AD35)</f>
        <v>0</v>
      </c>
      <c r="AE36" s="118">
        <f>SUM(AE4:AE35)</f>
        <v>0</v>
      </c>
      <c r="AF36" s="119" t="str">
        <f>IF(AD40=0,"",(AE36*50)/AD36)</f>
        <v/>
      </c>
      <c r="AG36" s="120" t="str">
        <f>IF(AD40=0,"",(Z36*50)/AD36)</f>
        <v/>
      </c>
      <c r="AH36" s="6" t="str">
        <f>IF(AD40=0,"",(X36*25)/AD36)</f>
        <v/>
      </c>
      <c r="AI36" s="119" t="str">
        <f>IF(AD40=0,"",(Y36*25)/AD36)</f>
        <v/>
      </c>
      <c r="AJ36" s="119" t="str">
        <f>IF(AD40=0,"",(AA36*25)/AD36)</f>
        <v/>
      </c>
      <c r="AK36" s="119" t="str">
        <f>IF(AD40=0,"",(AB36*40)/AD36)</f>
        <v/>
      </c>
      <c r="AL36" s="119" t="str">
        <f>IF(AD40=0,"",(AC36*50)/AD36)</f>
        <v/>
      </c>
      <c r="AM36" s="115" t="s">
        <v>67</v>
      </c>
      <c r="AN36" s="121">
        <f>SUM(AN4:AN35)</f>
        <v>0</v>
      </c>
      <c r="AO36" s="121">
        <f>SUM(AO4:AO35)</f>
        <v>0</v>
      </c>
      <c r="AP36" s="121">
        <f>SUM(AP4:AP35)</f>
        <v>0</v>
      </c>
      <c r="AQ36" s="122" t="str">
        <f>IF(AN36=0,"",AN36/AO36)</f>
        <v/>
      </c>
      <c r="AR36" s="122" t="str">
        <f>IF(AN36=0,"",(AD36/AN36)/1000)</f>
        <v/>
      </c>
      <c r="AS36" s="121" t="str">
        <f>IF(AN36=0,"",AR36*24)</f>
        <v/>
      </c>
      <c r="AT36" s="123" t="str">
        <f>IF(AN36=0,"",AD40/(AS36*26))</f>
        <v/>
      </c>
      <c r="AU36" s="121" t="str">
        <f>IF(AN36=0,"",(AE36/AN36))</f>
        <v/>
      </c>
      <c r="AV36" s="122" t="str">
        <f>IF(AO36=0,"",(AD36/AO36)/1000)</f>
        <v/>
      </c>
      <c r="AW36" s="124">
        <f>SUM(AW4:AW35)/1000</f>
        <v>0</v>
      </c>
      <c r="AX36" s="124">
        <f>SUM(AX4:AX35)/1000</f>
        <v>0</v>
      </c>
      <c r="AY36" s="124">
        <f>SUM(AY4:AY35)/1000</f>
        <v>0</v>
      </c>
      <c r="AZ36" s="124">
        <f>SUM(AZ4)</f>
        <v>0</v>
      </c>
      <c r="BA36" s="124">
        <f>SUM(BA4:BA35)</f>
        <v>0</v>
      </c>
      <c r="BB36" s="124">
        <f>SUM(BB4:BB35)</f>
        <v>0</v>
      </c>
      <c r="BC36" s="1">
        <f>SUM(BC4:BC35)/1000</f>
        <v>0</v>
      </c>
      <c r="BD36" s="1">
        <f>SUM(BD4:BD35)/1000</f>
        <v>0</v>
      </c>
      <c r="BE36" s="1">
        <f>SUM(BE4:BE35)/1000</f>
        <v>0</v>
      </c>
      <c r="BF36" s="1">
        <f>SUM(BF4:BF35)/1000</f>
        <v>0</v>
      </c>
    </row>
    <row r="37" spans="1:58">
      <c r="B37" s="115" t="s">
        <v>68</v>
      </c>
      <c r="C37" s="116" t="str">
        <f>IF(C36=0,"",AVERAGE(C4:C35))</f>
        <v/>
      </c>
      <c r="D37" s="116" t="str">
        <f>IF(D36=0,"",AVERAGE(D4:D35))</f>
        <v/>
      </c>
      <c r="E37" s="116" t="str">
        <f>IF(E36=0,"",AVERAGE(E4:E35))</f>
        <v/>
      </c>
      <c r="F37" s="116" t="str">
        <f>IF(F36=0,"",AVERAGE(F4:F35))</f>
        <v/>
      </c>
      <c r="G37" s="116" t="str">
        <f>IF(G36=0,"",AVERAGE(G4:G35))</f>
        <v/>
      </c>
      <c r="H37" s="116" t="str">
        <f>IF(H36=0,"",AVERAGE(H4:H35))</f>
        <v/>
      </c>
      <c r="I37" s="116" t="str">
        <f>IF(I36=0,"",AVERAGE(I4:I35))</f>
        <v/>
      </c>
      <c r="J37" s="116" t="str">
        <f>IF(J36=0,"",AVERAGE(J4:J35))</f>
        <v/>
      </c>
      <c r="K37" s="116" t="str">
        <f>IF(K36=0,"",AVERAGE(K4:K35))</f>
        <v/>
      </c>
      <c r="L37" s="116"/>
      <c r="M37" s="116"/>
      <c r="N37" s="116" t="str">
        <f>IF(N36=0,"",AVERAGE(N4:N35))</f>
        <v/>
      </c>
      <c r="O37" s="116" t="str">
        <f>IF(O36=0,"",AVERAGE(O4:O35))</f>
        <v/>
      </c>
      <c r="P37" s="116" t="str">
        <f>IF(P36=0,"",AVERAGE(P4:P35))</f>
        <v/>
      </c>
      <c r="Q37" s="116" t="str">
        <f>IF(Q36=0,"",AVERAGE(Q4:Q35))</f>
        <v/>
      </c>
      <c r="R37" s="116" t="str">
        <f>IF(R36=0,"",AVERAGE(R4:R35))</f>
        <v/>
      </c>
      <c r="S37" s="116" t="str">
        <f>IF(S36=0,"",AVERAGE(S4:S35))</f>
        <v/>
      </c>
      <c r="T37" s="116" t="str">
        <f>IF(T36=0,"",AVERAGE(T4:T35))</f>
        <v/>
      </c>
      <c r="U37" s="116" t="str">
        <f>IF(U36=0,"",AVERAGE(U4:U35))</f>
        <v/>
      </c>
      <c r="V37" s="116" t="str">
        <f>IF(V36=0,"",AVERAGE(V4:V35))</f>
        <v/>
      </c>
      <c r="W37" s="116" t="str">
        <f>IF(W36=0,"",AVERAGE(W4:W35))</f>
        <v/>
      </c>
      <c r="X37" s="116" t="str">
        <f>IF(X36=0,"",AVERAGE(X4:X35))</f>
        <v/>
      </c>
      <c r="Y37" s="116" t="str">
        <f>IF(Y36=0,"",AVERAGE(Y4:Y35))</f>
        <v/>
      </c>
      <c r="Z37" s="116" t="str">
        <f>IF(Z36=0,"",AVERAGE(Z4:Z35))</f>
        <v/>
      </c>
      <c r="AA37" s="116" t="str">
        <f>IF(AA36=0,"",AVERAGE(AA4:AA35))</f>
        <v/>
      </c>
      <c r="AB37" s="116" t="str">
        <f>IF(AB36=0,"",AVERAGE(AB4:AB35))</f>
        <v/>
      </c>
      <c r="AC37" s="116" t="str">
        <f>IF(AC36=0,"",AVERAGE(AC4:AC35))</f>
        <v/>
      </c>
      <c r="AE37" s="7"/>
      <c r="AG37" s="119"/>
      <c r="AJ37" s="6"/>
      <c r="AK37" s="6"/>
      <c r="AL37" s="6"/>
      <c r="AM37" s="115" t="s">
        <v>68</v>
      </c>
      <c r="AN37" s="121" t="str">
        <f>IF(AN36=0,"",AVERAGE(AN4:AN35))</f>
        <v/>
      </c>
      <c r="AO37" s="121" t="str">
        <f>IF(AO36=0,"",AVERAGE(AO4:AO35))</f>
        <v/>
      </c>
      <c r="AP37" s="121" t="str">
        <f>IF(AP36=0,"",AVERAGE(AP4:AP35))</f>
        <v/>
      </c>
      <c r="AQ37" s="122" t="str">
        <f>IF(AQ36="","",AVERAGE(AQ4:AQ35))</f>
        <v/>
      </c>
      <c r="AR37" s="122" t="str">
        <f>IF(AR36="","",AVERAGE(AR4:AR35))</f>
        <v/>
      </c>
      <c r="AS37" s="121" t="str">
        <f>IF(AS36="","",AVERAGE(AS4:AS35))</f>
        <v/>
      </c>
      <c r="AT37" s="123" t="str">
        <f>IF(AT36="","",AVERAGE(AT4:AT35))</f>
        <v/>
      </c>
      <c r="AU37" s="121" t="str">
        <f>IF(AU36="","",AVERAGE(AU4:AU35))</f>
        <v/>
      </c>
      <c r="AV37" s="122" t="str">
        <f>IF(AV36="","",AVERAGE(AV4:AV35))</f>
        <v/>
      </c>
      <c r="AW37" s="122"/>
      <c r="AX37" s="122"/>
      <c r="AY37" s="122"/>
      <c r="AZ37" s="122"/>
      <c r="BA37" s="122"/>
    </row>
    <row r="38" spans="1:58" customHeight="1" ht="23.85">
      <c r="B38" s="115" t="s">
        <v>69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C38" s="125"/>
      <c r="AD38" s="697" t="s">
        <v>70</v>
      </c>
      <c r="AE38" s="697"/>
      <c r="AF38" s="6"/>
      <c r="AG38" s="119"/>
      <c r="AH38" s="6"/>
      <c r="AI38" s="6"/>
      <c r="AJ38" s="6"/>
      <c r="AK38" s="6"/>
      <c r="AL38" s="6"/>
      <c r="AM38" s="6"/>
      <c r="AN38" s="121"/>
      <c r="AO38" s="121"/>
      <c r="AP38" s="121"/>
      <c r="AQ38" s="121"/>
      <c r="AR38" s="116"/>
      <c r="AS38" s="123"/>
      <c r="AT38" s="123"/>
      <c r="AU38" s="121"/>
    </row>
    <row r="39" spans="1:58">
      <c r="B39" s="115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25"/>
      <c r="AE39" s="697" t="s">
        <v>71</v>
      </c>
      <c r="AF39" s="697"/>
      <c r="AG39" s="119"/>
      <c r="AH39" s="127"/>
      <c r="AI39" s="127"/>
      <c r="AJ39" s="6"/>
      <c r="AK39" s="6"/>
      <c r="AL39" s="6"/>
      <c r="AM39" s="6"/>
      <c r="AN39" s="121"/>
      <c r="AO39" s="121"/>
      <c r="AP39" s="121"/>
      <c r="AQ39" s="121"/>
      <c r="AR39" s="121"/>
      <c r="AS39" s="116"/>
      <c r="AT39" s="123"/>
      <c r="AU39" s="116"/>
      <c r="AV39" s="121"/>
    </row>
    <row r="40" spans="1:58">
      <c r="A40" s="137"/>
      <c r="B40" s="499" t="s">
        <v>67</v>
      </c>
      <c r="C40" s="476">
        <f>SUM(C4:C35)</f>
        <v>0</v>
      </c>
      <c r="D40" s="476">
        <f>SUM(D4:D35)</f>
        <v>0</v>
      </c>
      <c r="E40" s="476">
        <f>SUM(E4:E35)</f>
        <v>0</v>
      </c>
      <c r="F40" s="476">
        <f>SUM(F4:F35)</f>
        <v>0</v>
      </c>
      <c r="G40" s="476">
        <f>SUM(G4:G35)</f>
        <v>0</v>
      </c>
      <c r="H40" s="476">
        <f>SUM(H4:H35)</f>
        <v>0</v>
      </c>
      <c r="I40" s="476">
        <f>SUM(I4:I35)</f>
        <v>0</v>
      </c>
      <c r="J40" s="476">
        <f>SUM(J4:J35)</f>
        <v>0</v>
      </c>
      <c r="K40" s="476">
        <f>SUM(K4:K35)</f>
        <v>0</v>
      </c>
      <c r="L40" s="476">
        <f>SUM(L4:L35)</f>
        <v>0</v>
      </c>
      <c r="M40" s="476">
        <f>SUM(M4:M35)</f>
        <v>0</v>
      </c>
      <c r="N40" s="476">
        <f>SUM(N4:N35)</f>
        <v>0</v>
      </c>
      <c r="O40" s="476">
        <f>SUM(O4:O35)</f>
        <v>0</v>
      </c>
      <c r="P40" s="476">
        <f>SUM(P4:P35)</f>
        <v>0</v>
      </c>
      <c r="Q40" s="476">
        <f>SUM(Q4:Q35)</f>
        <v>0</v>
      </c>
      <c r="R40" s="476">
        <f>SUM(R4:R35)</f>
        <v>0</v>
      </c>
      <c r="S40" s="476">
        <f>SUM(S4:S35)</f>
        <v>0</v>
      </c>
      <c r="T40" s="476">
        <f>SUM(T4:T35)</f>
        <v>0</v>
      </c>
      <c r="U40" s="476">
        <f>SUM(U4:U35)</f>
        <v>0</v>
      </c>
      <c r="V40" s="476">
        <f>SUM(V4:V35)</f>
        <v>0</v>
      </c>
      <c r="W40" s="476">
        <f>SUM(W4:W35)</f>
        <v>0</v>
      </c>
      <c r="X40" s="476">
        <f>SUM(X4:X35)</f>
        <v>0</v>
      </c>
      <c r="Y40" s="476">
        <f>SUM(Y4:Y35)</f>
        <v>0</v>
      </c>
      <c r="Z40" s="476">
        <f>SUM(Z4:Z35)</f>
        <v>0</v>
      </c>
      <c r="AA40" s="476">
        <f>SUM(AA4:AA35)</f>
        <v>0</v>
      </c>
      <c r="AB40" s="476">
        <f>SUM(AB4:AB35)</f>
        <v>0</v>
      </c>
      <c r="AC40" s="476">
        <f>SUM(AC4:AC35)</f>
        <v>0</v>
      </c>
      <c r="AD40" s="534">
        <f>AD36/1000</f>
        <v>0</v>
      </c>
      <c r="AE40" s="6"/>
      <c r="AF40" s="6"/>
      <c r="AG40" s="119"/>
      <c r="AH40" s="6"/>
      <c r="AI40" s="6"/>
      <c r="AJ40" s="6"/>
      <c r="AK40" s="6"/>
      <c r="AL40" s="115"/>
      <c r="AM40" s="115"/>
      <c r="AN40" s="121"/>
      <c r="AO40" s="121"/>
      <c r="AP40" s="121"/>
      <c r="AQ40" s="116"/>
      <c r="AR40" s="123"/>
      <c r="AS40" s="116"/>
      <c r="AT40" s="128"/>
    </row>
    <row r="41" spans="1:58"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4"/>
      <c r="AB41" s="7"/>
      <c r="AC41" s="6"/>
      <c r="AD41" s="6"/>
      <c r="AE41" s="115"/>
      <c r="AF41" s="121"/>
      <c r="AG41" s="129"/>
      <c r="AH41" s="121"/>
      <c r="AI41" s="121"/>
      <c r="AJ41" s="121"/>
      <c r="AK41" s="121"/>
      <c r="AL41" s="121"/>
      <c r="AM41" s="121"/>
      <c r="AN41" s="116"/>
      <c r="AO41" s="121"/>
    </row>
    <row r="42" spans="1:58">
      <c r="A42" s="130" t="s">
        <v>72</v>
      </c>
      <c r="B42" s="226"/>
      <c r="C42" s="131"/>
      <c r="D42" s="75"/>
      <c r="E42" s="75"/>
      <c r="F42" s="75"/>
      <c r="G42" s="75"/>
      <c r="H42" s="75"/>
      <c r="I42" s="72"/>
      <c r="J42" s="71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249"/>
      <c r="V42" s="71"/>
      <c r="W42" s="75"/>
      <c r="X42" s="79"/>
      <c r="Y42" s="79"/>
      <c r="Z42" s="79"/>
      <c r="AA42" s="79"/>
      <c r="AB42" s="79"/>
      <c r="AC42" s="85"/>
      <c r="AD42" s="55">
        <f>(Z42+AA42)*25.8</f>
        <v>0</v>
      </c>
      <c r="AE42" s="55">
        <f>Z42</f>
        <v>0</v>
      </c>
      <c r="AF42" s="56" t="str">
        <f>IF(B42="","",((AE42*25)/AD42))</f>
        <v/>
      </c>
      <c r="AG42" s="57" t="str">
        <f>IF(B42="","",((Z42)*25)/AD42)</f>
        <v/>
      </c>
      <c r="AH42" s="57" t="str">
        <f>IF(B42="","",(X42*25)/AD42)</f>
        <v/>
      </c>
      <c r="AI42" s="57" t="str">
        <f>IF(B42="","",(Y42*25)/AD42)</f>
        <v/>
      </c>
      <c r="AJ42" s="57" t="str">
        <f>IF(B42="","",(AA42*25)/AD42)</f>
        <v/>
      </c>
      <c r="AK42" s="58" t="str">
        <f>IF(B42="","",(AB42*40)/AD42)</f>
        <v/>
      </c>
      <c r="AL42" s="58" t="str">
        <f>IF(B42="","",(AC42*50)/AD42)</f>
        <v/>
      </c>
      <c r="AM42" s="59" t="str">
        <f>IF(B42="","",B42)</f>
        <v/>
      </c>
      <c r="AN42" s="81"/>
      <c r="AO42" s="94"/>
      <c r="AP42" s="83"/>
      <c r="AQ42" s="63" t="str">
        <f>IF(AN42="","",AN42/AO42)</f>
        <v/>
      </c>
      <c r="AR42" s="64" t="str">
        <f>IF(AN42="","",(AD42/AN42)/1000)</f>
        <v/>
      </c>
      <c r="AS42" s="64" t="str">
        <f>IF(AN42="","",AR42*24)</f>
        <v/>
      </c>
      <c r="AT42" s="65" t="str">
        <f>IF(AN42="","",(AD42/1000)*100%/AS42)</f>
        <v/>
      </c>
      <c r="AU42" s="64" t="str">
        <f>IF(AN42="","",(AE42/AN42))</f>
        <v/>
      </c>
      <c r="AV42" s="66" t="str">
        <f>IF(AN42="","",(AD42/AO42)/1000)</f>
        <v/>
      </c>
      <c r="AW42" s="389"/>
      <c r="AX42" s="390"/>
      <c r="AY42" s="390"/>
      <c r="AZ42" s="391"/>
      <c r="BA42" s="391"/>
      <c r="BB42" s="392"/>
      <c r="BC42" s="368"/>
      <c r="BD42" s="368"/>
      <c r="BE42" s="368"/>
      <c r="BF42" s="393"/>
    </row>
    <row r="43" spans="1:58">
      <c r="A43" s="130" t="s">
        <v>73</v>
      </c>
      <c r="B43" s="68"/>
      <c r="C43" s="131"/>
      <c r="D43" s="75"/>
      <c r="E43" s="75"/>
      <c r="F43" s="75"/>
      <c r="G43" s="75"/>
      <c r="H43" s="75"/>
      <c r="I43" s="72"/>
      <c r="J43" s="71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249"/>
      <c r="V43" s="71"/>
      <c r="W43" s="75"/>
      <c r="X43" s="79"/>
      <c r="Y43" s="79"/>
      <c r="Z43" s="79"/>
      <c r="AA43" s="79"/>
      <c r="AB43" s="79"/>
      <c r="AC43" s="85"/>
      <c r="AD43" s="55">
        <f>(Z43*25)+(AA43*25)+(AB43*40)+(AC43*50)</f>
        <v>0</v>
      </c>
      <c r="AE43" s="55" t="str">
        <f>IF(B43="","",C43+E43+G43+K43+N43+O43+Q43+R43+((D43+H43)/4)+((F43+I43+J43+T43+Z43)/2))</f>
        <v/>
      </c>
      <c r="AF43" s="56" t="str">
        <f>IF(B43="","",((AE43*50)/AD43))</f>
        <v/>
      </c>
      <c r="AG43" s="57" t="str">
        <f>IF(B43="","",((Z43)*25)/AD43)</f>
        <v/>
      </c>
      <c r="AH43" s="57" t="str">
        <f>IF(B43="","",(X43*25)/AD43)</f>
        <v/>
      </c>
      <c r="AI43" s="57" t="str">
        <f>IF(B43="","",(Y43*25)/AD43)</f>
        <v/>
      </c>
      <c r="AJ43" s="57" t="str">
        <f>IF(B43="","",(AA43*25)/AD43)</f>
        <v/>
      </c>
      <c r="AK43" s="58" t="str">
        <f>IF(B43="","",(AB43*40)/AD43)</f>
        <v/>
      </c>
      <c r="AL43" s="58" t="str">
        <f>IF(B43="","",(AC43*50)/AD43)</f>
        <v/>
      </c>
      <c r="AM43" s="59" t="str">
        <f>IF(B43="","",B43)</f>
        <v/>
      </c>
      <c r="AN43" s="81"/>
      <c r="AO43" s="94"/>
      <c r="AP43" s="83"/>
      <c r="AQ43" s="63" t="str">
        <f>IF(AN43="","",AN43/AO43)</f>
        <v/>
      </c>
      <c r="AR43" s="64" t="str">
        <f>IF(AN43="","",(AD43/AN43)/1000)</f>
        <v/>
      </c>
      <c r="AS43" s="64" t="str">
        <f>IF(AN43="","",AR43*24)</f>
        <v/>
      </c>
      <c r="AT43" s="65" t="str">
        <f>IF(AN43="","",(AD43/1000)*100%/AS43)</f>
        <v/>
      </c>
      <c r="AU43" s="64" t="str">
        <f>IF(AN43="","",(AE43/AN43))</f>
        <v/>
      </c>
      <c r="AV43" s="66" t="str">
        <f>IF(AN43="","",(AD43/AO43)/1000)</f>
        <v/>
      </c>
      <c r="AW43" s="394"/>
      <c r="AX43" s="92"/>
      <c r="AY43" s="92"/>
      <c r="AZ43" s="93"/>
      <c r="BA43" s="93"/>
      <c r="BB43" s="350"/>
      <c r="BC43" s="351"/>
      <c r="BD43" s="351"/>
      <c r="BE43" s="351"/>
      <c r="BF43" s="395"/>
    </row>
    <row r="44" spans="1:58">
      <c r="A44" s="130" t="s">
        <v>74</v>
      </c>
      <c r="B44" s="68"/>
      <c r="C44" s="131"/>
      <c r="D44" s="75"/>
      <c r="E44" s="75"/>
      <c r="F44" s="75"/>
      <c r="G44" s="75"/>
      <c r="H44" s="75"/>
      <c r="I44" s="72"/>
      <c r="J44" s="71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249"/>
      <c r="V44" s="71"/>
      <c r="W44" s="75"/>
      <c r="X44" s="79"/>
      <c r="Y44" s="79"/>
      <c r="Z44" s="79"/>
      <c r="AA44" s="79"/>
      <c r="AB44" s="79"/>
      <c r="AC44" s="85"/>
      <c r="AD44" s="55">
        <f>Z44*25</f>
        <v>0</v>
      </c>
      <c r="AE44" s="55" t="str">
        <f>IF(B44="","",C44+E44+G44+K44+N44+O44+Q44+R44+((D44+H44)/4)+((F44+I44+J44+T44)/2))</f>
        <v/>
      </c>
      <c r="AF44" s="56" t="str">
        <f>IF(B44="","",((AE44*50)/AD44))</f>
        <v/>
      </c>
      <c r="AG44" s="57" t="str">
        <f>IF(B44="","",((Z44)*25)/AD44)</f>
        <v/>
      </c>
      <c r="AH44" s="57" t="str">
        <f>IF(B44="","",(X44*25)/AD44)</f>
        <v/>
      </c>
      <c r="AI44" s="57" t="str">
        <f>IF(B44="","",(Y44*25)/AD44)</f>
        <v/>
      </c>
      <c r="AJ44" s="57" t="str">
        <f>IF(B44="","",(AA44*25)/AD44)</f>
        <v/>
      </c>
      <c r="AK44" s="58" t="str">
        <f>IF(B44="","",(AB44*40)/AD44)</f>
        <v/>
      </c>
      <c r="AL44" s="58" t="str">
        <f>IF(B44="","",(AC44*50)/AD44)</f>
        <v/>
      </c>
      <c r="AM44" s="59" t="str">
        <f>IF(B44="","",B44)</f>
        <v/>
      </c>
      <c r="AN44" s="81"/>
      <c r="AO44" s="94"/>
      <c r="AP44" s="83"/>
      <c r="AQ44" s="63" t="str">
        <f>IF(AN44="","",AN44/AO44)</f>
        <v/>
      </c>
      <c r="AR44" s="64" t="str">
        <f>IF(AN44="","",(AD44/AN44)/1000)</f>
        <v/>
      </c>
      <c r="AS44" s="64" t="str">
        <f>IF(AN44="","",AR44*24)</f>
        <v/>
      </c>
      <c r="AT44" s="65" t="str">
        <f>IF(AN44="","",(AD44/1000)*100%/AS44)</f>
        <v/>
      </c>
      <c r="AU44" s="64" t="str">
        <f>IF(AN44="","",(AE44/AN44))</f>
        <v/>
      </c>
      <c r="AV44" s="66" t="str">
        <f>IF(AN44="","",(AD44/AO44)/1000)</f>
        <v/>
      </c>
      <c r="AW44" s="394"/>
      <c r="AX44" s="92"/>
      <c r="AY44" s="92"/>
      <c r="AZ44" s="93"/>
      <c r="BA44" s="93"/>
      <c r="BB44" s="350"/>
      <c r="BC44" s="351"/>
      <c r="BD44" s="351"/>
      <c r="BE44" s="351"/>
      <c r="BF44" s="395"/>
    </row>
    <row r="45" spans="1:58">
      <c r="A45" s="130" t="s">
        <v>75</v>
      </c>
      <c r="B45" s="68"/>
      <c r="C45" s="131"/>
      <c r="D45" s="75"/>
      <c r="E45" s="75"/>
      <c r="F45" s="75"/>
      <c r="G45" s="75"/>
      <c r="H45" s="75"/>
      <c r="I45" s="72"/>
      <c r="J45" s="71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249"/>
      <c r="V45" s="71"/>
      <c r="W45" s="75"/>
      <c r="X45" s="79"/>
      <c r="Y45" s="79"/>
      <c r="Z45" s="79"/>
      <c r="AA45" s="79"/>
      <c r="AB45" s="79"/>
      <c r="AC45" s="85"/>
      <c r="AD45" s="55">
        <f>(Z45+AA45)*25.275</f>
        <v>0</v>
      </c>
      <c r="AE45" s="55" t="str">
        <f>IF(B45="","",C45+E45+G45+K45+N45+O45+Q45+R45+((D45+H45)/4)+((F45+I45+J45+T45)/2))</f>
        <v/>
      </c>
      <c r="AF45" s="56" t="str">
        <f>IF(B45="","",((AE45*50)/AD45))</f>
        <v/>
      </c>
      <c r="AG45" s="57" t="str">
        <f>IF(B45="","",((Z45)*25)/AD45)</f>
        <v/>
      </c>
      <c r="AH45" s="57" t="str">
        <f>IF(B45="","",(X45*25)/AD45)</f>
        <v/>
      </c>
      <c r="AI45" s="57" t="str">
        <f>IF(B45="","",(Y45*25)/AD45)</f>
        <v/>
      </c>
      <c r="AJ45" s="57" t="str">
        <f>IF(B45="","",(AA45*25)/AD45)</f>
        <v/>
      </c>
      <c r="AK45" s="58" t="str">
        <f>IF(B45="","",(AB45*40)/AD45)</f>
        <v/>
      </c>
      <c r="AL45" s="58" t="str">
        <f>IF(B45="","",(AC45*50)/AD45)</f>
        <v/>
      </c>
      <c r="AM45" s="59" t="str">
        <f>IF(B45="","",B45)</f>
        <v/>
      </c>
      <c r="AN45" s="81"/>
      <c r="AO45" s="94"/>
      <c r="AP45" s="83"/>
      <c r="AQ45" s="63" t="str">
        <f>IF(AN45="","",AN45/AO45)</f>
        <v/>
      </c>
      <c r="AR45" s="64" t="str">
        <f>IF(AN45="","",(AD45/AN45)/1000)</f>
        <v/>
      </c>
      <c r="AS45" s="64" t="str">
        <f>IF(AN45="","",AR45*24)</f>
        <v/>
      </c>
      <c r="AT45" s="65" t="str">
        <f>IF(AN45="","",(AD45/1000)*100%/AS45)</f>
        <v/>
      </c>
      <c r="AU45" s="64" t="str">
        <f>IF(AN45="","",(AE45/AN45))</f>
        <v/>
      </c>
      <c r="AV45" s="66" t="str">
        <f>IF(AN45="","",(AD45/AO45)/1000)</f>
        <v/>
      </c>
      <c r="AW45" s="396"/>
      <c r="AX45" s="231"/>
      <c r="AY45" s="231"/>
      <c r="AZ45" s="232"/>
      <c r="BA45" s="232"/>
      <c r="BB45" s="397"/>
      <c r="BC45" s="398"/>
      <c r="BD45" s="398"/>
      <c r="BE45" s="398"/>
      <c r="BF45" s="399"/>
    </row>
    <row r="46" spans="1:58">
      <c r="B46" s="115"/>
      <c r="C46" s="116"/>
      <c r="D46" s="116"/>
      <c r="E46" s="116"/>
      <c r="F46" s="116"/>
      <c r="G46" s="116"/>
      <c r="H46" s="116"/>
      <c r="O46" s="116"/>
      <c r="P46" s="116"/>
      <c r="Q46" s="116"/>
      <c r="R46" s="116"/>
      <c r="S46" s="116"/>
      <c r="T46" s="116"/>
      <c r="U46" s="116"/>
      <c r="V46" s="116"/>
      <c r="W46" s="7"/>
      <c r="X46" s="7"/>
      <c r="AB46" s="6"/>
      <c r="AC46" s="6"/>
      <c r="AD46" s="55">
        <f>SUM(AD42:AD45)</f>
        <v>0</v>
      </c>
      <c r="AE46" s="121"/>
      <c r="AF46" s="121"/>
      <c r="AG46" s="121"/>
      <c r="AH46" s="116"/>
      <c r="AI46" s="123"/>
      <c r="AJ46" s="123"/>
      <c r="AK46" s="116"/>
      <c r="AL46" s="121"/>
      <c r="AX46" s="1">
        <f>AX42/1000</f>
        <v>0</v>
      </c>
    </row>
    <row r="47" spans="1:58">
      <c r="B47" s="115"/>
      <c r="C47" s="116"/>
      <c r="D47" s="116"/>
      <c r="E47" s="116"/>
      <c r="F47" s="116"/>
      <c r="G47" s="116"/>
      <c r="H47" s="116"/>
      <c r="I47" s="116"/>
      <c r="Q47" s="116"/>
      <c r="R47" s="116"/>
      <c r="S47" s="116"/>
      <c r="T47" s="116"/>
      <c r="U47" s="116"/>
      <c r="V47" s="116"/>
      <c r="W47" s="116"/>
      <c r="X47" s="7"/>
      <c r="Y47" s="7"/>
      <c r="AC47" s="6"/>
      <c r="AD47" s="697" t="s">
        <v>70</v>
      </c>
      <c r="AE47" s="697"/>
      <c r="AF47" s="121"/>
      <c r="AG47" s="121"/>
      <c r="AH47" s="121"/>
      <c r="AI47" s="116"/>
      <c r="AJ47" s="123"/>
      <c r="AK47" s="123"/>
      <c r="AL47" s="116"/>
      <c r="AM47" s="121"/>
    </row>
    <row r="48" spans="1:58">
      <c r="B48" s="115"/>
      <c r="C48" s="116"/>
      <c r="D48" s="116"/>
      <c r="E48" s="116"/>
      <c r="F48" s="116"/>
      <c r="G48" s="116"/>
      <c r="H48" s="116"/>
      <c r="I48" s="117">
        <v>3.6</v>
      </c>
      <c r="J48" s="116"/>
      <c r="K48" s="516"/>
      <c r="L48" s="516"/>
      <c r="M48" s="516"/>
      <c r="N48" s="5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7"/>
      <c r="Z48" s="7"/>
      <c r="AD48" s="126">
        <f>AD46/1000</f>
        <v>0</v>
      </c>
      <c r="AE48" s="697" t="s">
        <v>71</v>
      </c>
      <c r="AF48" s="697"/>
      <c r="AG48" s="121"/>
      <c r="AH48" s="121"/>
      <c r="AI48" s="121"/>
      <c r="AJ48" s="116"/>
      <c r="AK48" s="123"/>
      <c r="AL48" s="123"/>
      <c r="AM48" s="116"/>
      <c r="AN48" s="121"/>
    </row>
    <row r="49" spans="1:58" customHeight="1" ht="13.9">
      <c r="A49" s="676" t="s">
        <v>76</v>
      </c>
      <c r="B49" s="677"/>
      <c r="C49" s="678" t="s">
        <v>77</v>
      </c>
      <c r="D49" s="133"/>
      <c r="F49" s="655" t="s">
        <v>78</v>
      </c>
      <c r="G49" s="656"/>
      <c r="H49" s="657"/>
      <c r="I49" s="355" t="s">
        <v>79</v>
      </c>
      <c r="J49" s="136"/>
      <c r="K49" s="679" t="s">
        <v>80</v>
      </c>
      <c r="L49" s="679"/>
      <c r="M49" s="680"/>
      <c r="N49" s="515" t="s">
        <v>81</v>
      </c>
      <c r="O49" s="688" t="s">
        <v>82</v>
      </c>
      <c r="P49" s="689"/>
      <c r="Q49" s="690"/>
      <c r="R49" s="688" t="s">
        <v>83</v>
      </c>
      <c r="S49" s="689"/>
      <c r="T49" s="689"/>
      <c r="U49" s="690"/>
      <c r="V49" s="500" t="s">
        <v>84</v>
      </c>
      <c r="W49" s="488"/>
      <c r="X49" s="501"/>
      <c r="AB49" s="247"/>
      <c r="AG49" s="6"/>
      <c r="AH49" s="6"/>
      <c r="AI49" s="121"/>
      <c r="AJ49" s="121"/>
      <c r="AK49" s="116"/>
      <c r="AL49" s="123"/>
      <c r="AM49" s="123"/>
      <c r="AN49" s="116"/>
      <c r="AO49" s="121"/>
    </row>
    <row r="50" spans="1:58" customHeight="1" ht="15">
      <c r="A50" s="369" t="s">
        <v>85</v>
      </c>
      <c r="B50" s="482">
        <f>AD40+AD48</f>
        <v>0</v>
      </c>
      <c r="C50" s="678"/>
      <c r="E50" s="137"/>
      <c r="F50" s="662" t="s">
        <v>86</v>
      </c>
      <c r="G50" s="663"/>
      <c r="H50" s="325">
        <f>IF(G53="",0,G56/G53)</f>
        <v>0</v>
      </c>
      <c r="I50" s="138">
        <f>IF(I53="",0,I56/I53)</f>
        <v>0</v>
      </c>
      <c r="J50" s="136"/>
      <c r="K50" s="681">
        <v>1899000</v>
      </c>
      <c r="L50" s="681"/>
      <c r="M50" s="141">
        <f>IF($V$50="",0,K50/$V$55)</f>
        <v>0.33486157644154</v>
      </c>
      <c r="N50" s="489">
        <v>1576000</v>
      </c>
      <c r="O50" s="695">
        <v>1892000</v>
      </c>
      <c r="P50" s="696"/>
      <c r="Q50" s="141">
        <f>IF($V$50="",0,O50/$V$55)</f>
        <v>0.33362722623876</v>
      </c>
      <c r="R50" s="140" t="str">
        <f>D80</f>
        <v>CWRS</v>
      </c>
      <c r="S50" s="721">
        <f>(B82*D82)+(B85*D85)+(B86*D86)+(B87*D87)+(B89*D89)+(B92*D92)+(B94*D94)+(B95*D95)+(B98*D98)+(B99*D99)+(B100*D100)+(B102*D102)+(B103*D103)+(B108*D108)+(B111*D111)+(B83*D83)+(B104*D104)+(B84*D84)+(B91*D91)+(B115*D115)+(B106*D106)+(B105*D105)+(B113*D113)+(B110*D110)+(B88*D88)+(B90*D90)+(B96*D96)+(B97*D97)+(B107*D107)</f>
        <v>0</v>
      </c>
      <c r="T50" s="721"/>
      <c r="U50" s="486">
        <f>IF($S$55=0,0,S50/$S$55)</f>
        <v>0</v>
      </c>
      <c r="V50" s="695">
        <f>K50+O50-S50</f>
        <v>3791000</v>
      </c>
      <c r="W50" s="696"/>
      <c r="X50" s="484">
        <f>IF($V$50="",0,V50/$V$55)</f>
        <v>0.6684888026803</v>
      </c>
      <c r="AB50" s="157"/>
      <c r="AJ50" s="121"/>
      <c r="AK50" s="116"/>
      <c r="AL50" s="123"/>
      <c r="AM50" s="123"/>
      <c r="AN50" s="116"/>
      <c r="AO50" s="121"/>
    </row>
    <row r="51" spans="1:58" customHeight="1" ht="15">
      <c r="A51" s="326" t="s">
        <v>87</v>
      </c>
      <c r="B51" s="318">
        <f>AE36</f>
        <v>0</v>
      </c>
      <c r="C51" s="377">
        <f>B50/(B60*120)</f>
        <v>-0</v>
      </c>
      <c r="E51" s="137"/>
      <c r="F51" s="662" t="s">
        <v>88</v>
      </c>
      <c r="G51" s="663"/>
      <c r="H51" s="318">
        <f>IF(G53="",0,G53/B50)</f>
        <v>0</v>
      </c>
      <c r="I51" s="272"/>
      <c r="J51" s="136"/>
      <c r="K51" s="685">
        <v>800000</v>
      </c>
      <c r="L51" s="685"/>
      <c r="M51" s="141">
        <f>IF($V$51="",0,K51/$V$55)</f>
        <v>0.14106859460413</v>
      </c>
      <c r="N51" s="489">
        <v>181000</v>
      </c>
      <c r="O51" s="687">
        <v>180000</v>
      </c>
      <c r="P51" s="681"/>
      <c r="Q51" s="141">
        <f>IF($V$51="",0,O51/$V$55)</f>
        <v>0.031740433785928</v>
      </c>
      <c r="R51" s="140" t="str">
        <f>IF(E80="","",E80)</f>
        <v>CPS</v>
      </c>
      <c r="S51" s="720">
        <f>(B82*E82)+(B85*E85)+(B86*E86)+(B87*E87)+(B89*E89)+(B92*E92)+(B94*E94)+(B95*E95)+(B98*E98)+(B99*E99)+(B100*E100)+(B102*E102)+(B103*E103)+(B108*E108)+(B113*E113)+(B105*E105)+(B111*E111)+(B104*E104)+(B83*E83)+(B84*E84)+(B91*E91)+(B106*E106)+(B115*E115)+(B116*E116)+(B110*E110)+(B101*E101)+(B88*E88)+(B90*E90)+(B97*E97)+(B107*E107+B96*E96)</f>
        <v>0</v>
      </c>
      <c r="T51" s="720"/>
      <c r="U51" s="486">
        <f>IF($S$55=0,0,S51/$S$55)</f>
        <v>0</v>
      </c>
      <c r="V51" s="687">
        <f>K51+O51-S51</f>
        <v>980000</v>
      </c>
      <c r="W51" s="681"/>
      <c r="X51" s="141">
        <f>IF($V$51="",0,V51/$V$55)</f>
        <v>0.17280902839005</v>
      </c>
      <c r="AJ51" s="121"/>
      <c r="AK51" s="116"/>
      <c r="AL51" s="123"/>
      <c r="AM51" s="123"/>
      <c r="AN51" s="116"/>
      <c r="AO51" s="121"/>
    </row>
    <row r="52" spans="1:58" customHeight="1" ht="15">
      <c r="A52" s="326" t="s">
        <v>89</v>
      </c>
      <c r="B52" s="318">
        <f>(B51*50)/1000</f>
        <v>0</v>
      </c>
      <c r="E52" s="120"/>
      <c r="F52" s="662" t="s">
        <v>90</v>
      </c>
      <c r="G52" s="663"/>
      <c r="H52" s="318">
        <f>IF(G53="",0,G53/((B51*50)/1000))</f>
        <v>0</v>
      </c>
      <c r="I52" s="272"/>
      <c r="J52" s="136"/>
      <c r="K52" s="685">
        <v>0</v>
      </c>
      <c r="L52" s="685"/>
      <c r="M52" s="141">
        <f>IF($V$50="",0,K52/$V$55)</f>
        <v>0</v>
      </c>
      <c r="N52" s="489">
        <v>254000</v>
      </c>
      <c r="O52" s="687">
        <v>450000</v>
      </c>
      <c r="P52" s="681"/>
      <c r="Q52" s="141">
        <f>IF($V$50="",0,O52/$V$55)</f>
        <v>0.079351084464821</v>
      </c>
      <c r="R52" s="148" t="s">
        <v>91</v>
      </c>
      <c r="S52" s="720">
        <f>(B82*G82)+(B85*G85)+(B86*G86)+(B87*G87)+(B89*G89)+(B92*G92)+(B94*G94)+(B95*G95)+(B98*G98)+(B99*G99)+(B100*G100)+(B102*G102)+(B103*G103)+(B108*G108)+(B113*G113)+(B109*G109)+(B116*G116)+(B114*G114)+(B115*G115)+(B83*G83)+(B84*G84)+(B104*G104)+(B106*G106)+(B96*G96)+(B97*G97)+(B90*G90)+(B88*G88)+(B105*G105)+(B91*G91)+(B110*G110)</f>
        <v>0</v>
      </c>
      <c r="T52" s="720"/>
      <c r="U52" s="486">
        <f>IF($S$55=0,0,S52/$S$55)</f>
        <v>0</v>
      </c>
      <c r="V52" s="687">
        <f>K52+O52-S52</f>
        <v>450000</v>
      </c>
      <c r="W52" s="681"/>
      <c r="X52" s="141">
        <f>IF($V$50="",0,V52/$V$55)</f>
        <v>0.079351084464821</v>
      </c>
      <c r="AJ52" s="121"/>
      <c r="AK52" s="116"/>
      <c r="AL52" s="123"/>
      <c r="AM52" s="123"/>
      <c r="AN52" s="116"/>
      <c r="AO52" s="121"/>
    </row>
    <row r="53" spans="1:58" customHeight="1" ht="15">
      <c r="A53" s="326" t="s">
        <v>92</v>
      </c>
      <c r="B53" s="580">
        <f>IF(AF36="",0,AF36)</f>
        <v>0</v>
      </c>
      <c r="E53" s="144"/>
      <c r="F53" s="326" t="s">
        <v>93</v>
      </c>
      <c r="G53" s="693"/>
      <c r="H53" s="694"/>
      <c r="I53" s="353"/>
      <c r="J53" s="136"/>
      <c r="K53" s="686">
        <v>0</v>
      </c>
      <c r="L53" s="686"/>
      <c r="M53" s="141">
        <f>IF($V$50="",0,L53/$V$55)</f>
        <v>0</v>
      </c>
      <c r="N53" s="490">
        <v>702000</v>
      </c>
      <c r="O53" s="687">
        <v>450000</v>
      </c>
      <c r="P53" s="681"/>
      <c r="Q53" s="141">
        <f>IF($V$50="",0,O53/$V$55)</f>
        <v>0.079351084464821</v>
      </c>
      <c r="R53" s="140" t="s">
        <v>94</v>
      </c>
      <c r="S53" s="720">
        <f>(B82*F82)+(B85*F85)+(B86*F86)+(B87*F87)+(B89*F89)+(B92*F92)+(B94*F94)+(B95*F95)+(B98*F98)+(B99*F99)+(B100*F100)+(B102*F102)+(B103*F103)+(B108*F108)+(B113*F113)+(B115*F115)+(B111*F111)+(B109*F109)+(B105*F105)+(B116*F116)+(B101*F101)+(B88*F88)+(B90*F90)+(B91*F91)+(B106*F106)+(B107*F107)+(B96*F96)</f>
        <v>0</v>
      </c>
      <c r="T53" s="720"/>
      <c r="U53" s="486">
        <f>IF($S$55=0,0,S53/$S$55)</f>
        <v>0</v>
      </c>
      <c r="V53" s="687">
        <f>L53+O53-S53</f>
        <v>450000</v>
      </c>
      <c r="W53" s="681"/>
      <c r="X53" s="141">
        <f>IF($V$50="",0,V53/$V$55)</f>
        <v>0.079351084464821</v>
      </c>
      <c r="AG53" s="6"/>
      <c r="AH53" s="6"/>
      <c r="AI53" s="121"/>
      <c r="AJ53" s="121"/>
      <c r="AK53" s="116"/>
      <c r="AL53" s="123"/>
      <c r="AM53" s="123"/>
      <c r="AN53" s="116"/>
      <c r="AO53" s="121"/>
    </row>
    <row r="54" spans="1:58" customHeight="1" ht="15">
      <c r="A54" s="326" t="s">
        <v>95</v>
      </c>
      <c r="B54" s="319">
        <f>AN36</f>
        <v>0</v>
      </c>
      <c r="E54" s="146"/>
      <c r="F54" s="326" t="s">
        <v>96</v>
      </c>
      <c r="G54" s="682"/>
      <c r="H54" s="683"/>
      <c r="I54" s="684"/>
      <c r="J54" s="136"/>
      <c r="K54" s="686">
        <v>0</v>
      </c>
      <c r="L54" s="686"/>
      <c r="M54" s="141">
        <f>IF($V$50="",0,L54/$V$55)</f>
        <v>0</v>
      </c>
      <c r="N54" s="489">
        <v>0</v>
      </c>
      <c r="O54" s="691">
        <v>0</v>
      </c>
      <c r="P54" s="692"/>
      <c r="Q54" s="141">
        <f>IF($V$50="",0,O54/$V$55)</f>
        <v>0</v>
      </c>
      <c r="R54" s="480" t="s">
        <v>97</v>
      </c>
      <c r="S54" s="719">
        <f>IF(AD43="",0,AD43)</f>
        <v>0</v>
      </c>
      <c r="T54" s="719"/>
      <c r="U54" s="141">
        <f>IF($S$55=0,0,S54/$S$55)</f>
        <v>0</v>
      </c>
      <c r="V54" s="691">
        <f>L54+O54-S54</f>
        <v>0</v>
      </c>
      <c r="W54" s="692"/>
      <c r="X54" s="141">
        <f>IF($V$50="",0,V54/$V$55)</f>
        <v>0</v>
      </c>
      <c r="AC54" s="421"/>
      <c r="AF54" s="6"/>
      <c r="AG54" s="6"/>
      <c r="AH54" s="6"/>
      <c r="AJ54" s="147"/>
      <c r="AK54" s="147"/>
      <c r="AL54" s="6"/>
      <c r="AM54" s="6"/>
      <c r="AN54" s="147"/>
      <c r="AO54" s="147"/>
    </row>
    <row r="55" spans="1:58" customHeight="1" ht="15">
      <c r="A55" s="326" t="s">
        <v>98</v>
      </c>
      <c r="B55" s="320">
        <f>IF(B50=0,0,AP36/AN36)</f>
        <v>0</v>
      </c>
      <c r="E55" s="146"/>
      <c r="F55" s="326" t="s">
        <v>99</v>
      </c>
      <c r="G55" s="660"/>
      <c r="H55" s="661"/>
      <c r="I55" s="149"/>
      <c r="J55" s="136"/>
      <c r="K55" s="671">
        <f>SUM(K50:K54)</f>
        <v>2699000</v>
      </c>
      <c r="L55" s="670"/>
      <c r="M55" s="481"/>
      <c r="N55" s="487">
        <f>SUM(N50:N54)</f>
        <v>2713000</v>
      </c>
      <c r="O55" s="671">
        <f>SUM(O50:O54)</f>
        <v>2972000</v>
      </c>
      <c r="P55" s="670"/>
      <c r="Q55" s="481"/>
      <c r="R55" s="150"/>
      <c r="S55" s="670">
        <f>SUM(S50:S54)</f>
        <v>0</v>
      </c>
      <c r="T55" s="670"/>
      <c r="U55" s="479"/>
      <c r="V55" s="671">
        <f>SUM(V50:V54)</f>
        <v>5671000</v>
      </c>
      <c r="W55" s="670"/>
      <c r="X55" s="481"/>
      <c r="AH55" s="6"/>
      <c r="AJ55" s="147"/>
      <c r="AK55" s="147"/>
      <c r="AL55" s="6"/>
      <c r="AM55" s="6"/>
      <c r="AN55" s="147"/>
      <c r="AO55" s="147"/>
    </row>
    <row r="56" spans="1:58" customHeight="1" ht="13.9">
      <c r="A56" s="326" t="s">
        <v>100</v>
      </c>
      <c r="B56" s="321" t="str">
        <f>AT37</f>
        <v/>
      </c>
      <c r="E56" s="146"/>
      <c r="F56" s="326" t="s">
        <v>101</v>
      </c>
      <c r="G56" s="672">
        <v>77284230</v>
      </c>
      <c r="H56" s="673"/>
      <c r="I56" s="153">
        <v>2803509</v>
      </c>
      <c r="K56" s="216"/>
      <c r="L56" s="216"/>
      <c r="M56" s="216"/>
      <c r="N56" s="216"/>
      <c r="O56" s="375"/>
      <c r="P56" s="517"/>
      <c r="Q56" s="517"/>
      <c r="AH56" s="6"/>
      <c r="AJ56" s="147"/>
      <c r="AK56" s="147"/>
      <c r="AL56" s="6"/>
      <c r="AM56" s="6"/>
      <c r="AN56" s="147"/>
      <c r="AO56" s="147"/>
    </row>
    <row r="57" spans="1:58" customHeight="1" ht="13.9">
      <c r="A57" s="326" t="s">
        <v>102</v>
      </c>
      <c r="B57" s="580" t="str">
        <f>+AT36</f>
        <v/>
      </c>
      <c r="E57" s="137"/>
      <c r="F57" s="662" t="s">
        <v>103</v>
      </c>
      <c r="G57" s="663"/>
      <c r="H57" s="327"/>
      <c r="I57" s="155"/>
      <c r="K57" s="665" t="s">
        <v>104</v>
      </c>
      <c r="L57" s="666"/>
      <c r="M57" s="666"/>
      <c r="N57" s="666"/>
      <c r="O57" s="666"/>
      <c r="P57" s="518"/>
      <c r="Q57" s="246"/>
      <c r="X57" s="4"/>
      <c r="AD57" s="4"/>
      <c r="AH57" s="6"/>
      <c r="AJ57" s="147"/>
      <c r="AK57" s="147"/>
      <c r="AL57" s="6"/>
      <c r="AM57" s="6"/>
      <c r="AN57" s="147"/>
      <c r="AO57" s="147"/>
    </row>
    <row r="58" spans="1:58" customHeight="1" ht="13.9">
      <c r="A58" s="326" t="s">
        <v>105</v>
      </c>
      <c r="B58" s="322">
        <f>IF(AS36="",0,AS36)</f>
        <v>0</v>
      </c>
      <c r="E58" s="137"/>
      <c r="F58" s="326"/>
      <c r="G58" s="216"/>
      <c r="H58" s="323"/>
      <c r="K58" s="326" t="s">
        <v>106</v>
      </c>
      <c r="L58" s="216"/>
      <c r="M58" s="332">
        <f>AX36</f>
        <v>0</v>
      </c>
      <c r="N58" s="332"/>
      <c r="O58" s="216" t="s">
        <v>107</v>
      </c>
      <c r="P58" s="140"/>
      <c r="S58" s="156"/>
      <c r="V58" s="142"/>
      <c r="X58" s="4"/>
      <c r="AB58" s="157"/>
      <c r="AD58" s="4"/>
      <c r="AH58" s="6"/>
      <c r="AJ58" s="147"/>
      <c r="AK58" s="147"/>
      <c r="AL58" s="6"/>
      <c r="AM58" s="6"/>
      <c r="AN58" s="147"/>
      <c r="AO58" s="147"/>
    </row>
    <row r="59" spans="1:58" customHeight="1" ht="13.9">
      <c r="A59" s="326" t="s">
        <v>108</v>
      </c>
      <c r="B59" s="322">
        <f>IF(AU36="",0,AU36)</f>
        <v>0</v>
      </c>
      <c r="E59" s="137"/>
      <c r="F59" s="328" t="s">
        <v>109</v>
      </c>
      <c r="G59" s="329"/>
      <c r="H59" s="330" t="s">
        <v>110</v>
      </c>
      <c r="K59" s="326" t="s">
        <v>111</v>
      </c>
      <c r="L59" s="216"/>
      <c r="M59" s="332">
        <f>AY36</f>
        <v>0</v>
      </c>
      <c r="N59" s="332"/>
      <c r="O59" s="323" t="s">
        <v>107</v>
      </c>
      <c r="S59" s="156"/>
      <c r="W59" s="156"/>
      <c r="AC59" s="247"/>
      <c r="AD59" s="157"/>
      <c r="AE59" s="157"/>
      <c r="AF59" s="157"/>
      <c r="AG59" s="6"/>
      <c r="AJ59" s="147"/>
      <c r="AK59" s="6"/>
      <c r="AL59" s="147"/>
      <c r="AM59" s="147"/>
      <c r="AN59" s="147"/>
    </row>
    <row r="60" spans="1:58" customHeight="1" ht="13.9">
      <c r="A60" s="326" t="s">
        <v>112</v>
      </c>
      <c r="B60" s="323">
        <f>31-COUNTBLANK(A4:A35)</f>
        <v>-1</v>
      </c>
      <c r="F60" s="331" t="s">
        <v>113</v>
      </c>
      <c r="G60" s="664" t="e">
        <f>G59/(B50*1000)</f>
        <v>#DIV/0!</v>
      </c>
      <c r="H60" s="664"/>
      <c r="I60" s="376"/>
      <c r="J60" s="136"/>
      <c r="K60" s="418" t="s">
        <v>92</v>
      </c>
      <c r="L60" s="483"/>
      <c r="M60" s="419" t="e">
        <f>M59/M58</f>
        <v>#DIV/0!</v>
      </c>
      <c r="N60" s="419"/>
      <c r="O60" s="420"/>
      <c r="S60" s="145"/>
      <c r="T60" s="665" t="s">
        <v>114</v>
      </c>
      <c r="U60" s="666"/>
      <c r="V60" s="667"/>
      <c r="X60" s="4"/>
      <c r="Y60" s="472" t="s">
        <v>115</v>
      </c>
      <c r="Z60" s="273" t="s">
        <v>169</v>
      </c>
      <c r="AA60" s="273">
        <v>900</v>
      </c>
      <c r="AB60" s="273" t="s">
        <v>117</v>
      </c>
      <c r="AC60" s="273">
        <v>7200</v>
      </c>
      <c r="AD60" s="273">
        <v>4200</v>
      </c>
      <c r="AE60" s="273">
        <v>8530</v>
      </c>
      <c r="AF60" s="157"/>
      <c r="AG60" s="6"/>
      <c r="AJ60" s="147"/>
      <c r="AK60" s="6"/>
      <c r="AL60" s="147"/>
      <c r="AM60" s="147"/>
      <c r="AN60" s="147"/>
    </row>
    <row r="61" spans="1:58" customHeight="1" ht="13.9">
      <c r="A61" s="370" t="s">
        <v>118</v>
      </c>
      <c r="B61" s="324">
        <f>AD40+AD48</f>
        <v>0</v>
      </c>
      <c r="G61" s="156" t="s">
        <v>119</v>
      </c>
      <c r="O61" s="4"/>
      <c r="P61" s="4"/>
      <c r="T61" s="354" t="s">
        <v>120</v>
      </c>
      <c r="U61" s="668"/>
      <c r="V61" s="669"/>
      <c r="X61" s="165" t="str">
        <f>C82</f>
        <v>Extrapan
 50</v>
      </c>
      <c r="Y61" s="531"/>
      <c r="Z61" s="531"/>
      <c r="AA61" s="531"/>
      <c r="AB61" s="531"/>
      <c r="AC61" s="531"/>
      <c r="AD61" s="531"/>
      <c r="AE61" s="531"/>
      <c r="AG61" s="147"/>
      <c r="AH61" s="147"/>
      <c r="AI61" s="6"/>
      <c r="AJ61" s="6"/>
      <c r="AK61" s="147"/>
      <c r="AL61" s="147"/>
      <c r="AM61" s="147"/>
    </row>
    <row r="62" spans="1:58" customHeight="1" ht="14.45">
      <c r="A62" s="259" t="s">
        <v>121</v>
      </c>
      <c r="B62" s="477">
        <f>B50/B67</f>
        <v>0</v>
      </c>
      <c r="E62" s="136"/>
      <c r="F62" s="655" t="s">
        <v>122</v>
      </c>
      <c r="G62" s="656"/>
      <c r="H62" s="657"/>
      <c r="K62" s="655" t="s">
        <v>123</v>
      </c>
      <c r="L62" s="656"/>
      <c r="M62" s="656"/>
      <c r="N62" s="656"/>
      <c r="O62" s="656"/>
      <c r="P62" s="519"/>
      <c r="Q62" s="133"/>
      <c r="R62" s="162"/>
      <c r="S62" s="162"/>
      <c r="T62" s="354" t="s">
        <v>124</v>
      </c>
      <c r="U62" s="658">
        <f>AZ4</f>
        <v>0</v>
      </c>
      <c r="V62" s="659"/>
      <c r="W62" s="162"/>
      <c r="X62" s="165" t="str">
        <f>C85</f>
        <v>Extrapan
25</v>
      </c>
      <c r="Y62" s="532"/>
      <c r="Z62" s="532"/>
      <c r="AA62" s="532"/>
      <c r="AB62" s="532"/>
      <c r="AC62" s="532"/>
      <c r="AD62" s="532"/>
      <c r="AE62" s="532"/>
      <c r="AG62" s="147"/>
      <c r="AH62" s="147"/>
      <c r="AI62" s="6"/>
      <c r="AJ62" s="6"/>
      <c r="AK62" s="147"/>
      <c r="AL62" s="147"/>
      <c r="AM62" s="147"/>
    </row>
    <row r="63" spans="1:58" customHeight="1" ht="14.45">
      <c r="A63" s="256" t="s">
        <v>125</v>
      </c>
      <c r="B63" s="502" t="e">
        <f>B75/B50</f>
        <v>#DIV/0!</v>
      </c>
      <c r="F63" s="632" t="s">
        <v>126</v>
      </c>
      <c r="G63" s="633"/>
      <c r="H63" s="268"/>
      <c r="I63" s="140"/>
      <c r="J63" s="136"/>
      <c r="K63" s="1" t="s">
        <v>127</v>
      </c>
      <c r="O63" s="520">
        <v>662</v>
      </c>
      <c r="R63" s="162"/>
      <c r="S63" s="162"/>
      <c r="T63" s="162"/>
      <c r="U63" s="162"/>
      <c r="V63" s="162"/>
      <c r="W63" s="162"/>
      <c r="X63" s="165" t="str">
        <f>C86</f>
        <v>Extrapan
10</v>
      </c>
      <c r="Y63" s="532"/>
      <c r="Z63" s="532"/>
      <c r="AA63" s="532"/>
      <c r="AB63" s="532"/>
      <c r="AC63" s="532"/>
      <c r="AD63" s="532"/>
      <c r="AE63" s="532"/>
      <c r="AG63" s="147"/>
      <c r="AH63" s="147"/>
      <c r="AI63" s="6"/>
      <c r="AJ63" s="6"/>
      <c r="AK63" s="147"/>
      <c r="AL63" s="147"/>
      <c r="AM63" s="147"/>
    </row>
    <row r="64" spans="1:58" customHeight="1" ht="14.45">
      <c r="A64" s="258" t="s">
        <v>128</v>
      </c>
      <c r="B64" s="503" t="e">
        <f>B76/B50</f>
        <v>#DIV/0!</v>
      </c>
      <c r="F64" s="140" t="s">
        <v>129</v>
      </c>
      <c r="H64" s="474">
        <f>(H63*1)*2</f>
        <v>0</v>
      </c>
      <c r="I64" s="140"/>
      <c r="K64" s="140" t="s">
        <v>129</v>
      </c>
      <c r="O64" s="474">
        <f>O63/30</f>
        <v>22.066666666666666</v>
      </c>
      <c r="T64" s="634" t="s">
        <v>130</v>
      </c>
      <c r="U64" s="635"/>
      <c r="V64" s="636"/>
      <c r="X64" s="165" t="str">
        <f>C87</f>
        <v>Artesanal 
50</v>
      </c>
      <c r="Y64" s="531"/>
      <c r="Z64" s="531"/>
      <c r="AA64" s="531"/>
      <c r="AB64" s="531"/>
      <c r="AC64" s="531"/>
      <c r="AD64" s="531"/>
      <c r="AE64" s="531"/>
      <c r="AG64" s="147"/>
      <c r="AH64" s="147"/>
      <c r="AI64" s="6"/>
      <c r="AJ64" s="6"/>
      <c r="AK64" s="147"/>
      <c r="AL64" s="147"/>
      <c r="AM64" s="147"/>
    </row>
    <row r="65" spans="1:58">
      <c r="F65" s="637" t="s">
        <v>131</v>
      </c>
      <c r="G65" s="638"/>
      <c r="H65" s="639"/>
      <c r="I65" s="140"/>
      <c r="J65" s="136"/>
      <c r="K65" s="1" t="s">
        <v>132</v>
      </c>
      <c r="P65" s="140"/>
      <c r="T65" s="417" t="s">
        <v>133</v>
      </c>
      <c r="U65" s="732"/>
      <c r="V65" s="733"/>
      <c r="X65" s="165" t="str">
        <f>C89</f>
        <v>Artesanal
25</v>
      </c>
      <c r="Y65" s="532"/>
      <c r="Z65" s="532"/>
      <c r="AA65" s="532"/>
      <c r="AB65" s="532"/>
      <c r="AC65" s="532"/>
      <c r="AD65" s="532"/>
      <c r="AE65" s="532"/>
      <c r="AG65" s="147"/>
      <c r="AH65" s="147"/>
      <c r="AI65" s="6"/>
      <c r="AJ65" s="6"/>
      <c r="AK65" s="147"/>
      <c r="AL65" s="147"/>
      <c r="AM65" s="147"/>
    </row>
    <row r="66" spans="1:58" customHeight="1" ht="14.45">
      <c r="A66" s="371" t="s">
        <v>134</v>
      </c>
      <c r="B66" s="373"/>
      <c r="F66" s="630" t="s">
        <v>91</v>
      </c>
      <c r="G66" s="642"/>
      <c r="H66" s="270"/>
      <c r="I66" s="140"/>
      <c r="K66" s="159" t="s">
        <v>94</v>
      </c>
      <c r="L66" s="158"/>
      <c r="M66" s="158"/>
      <c r="N66" s="158"/>
      <c r="O66" s="478"/>
      <c r="P66" s="524"/>
      <c r="T66" s="417" t="s">
        <v>135</v>
      </c>
      <c r="U66" s="651"/>
      <c r="V66" s="652"/>
      <c r="X66" s="165" t="str">
        <f>C92</f>
        <v>Natural 
50</v>
      </c>
      <c r="Y66" s="532"/>
      <c r="Z66" s="532"/>
      <c r="AA66" s="532"/>
      <c r="AB66" s="532"/>
      <c r="AC66" s="532"/>
      <c r="AD66" s="532"/>
      <c r="AE66" s="532"/>
      <c r="AG66" s="147"/>
      <c r="AH66" s="147"/>
      <c r="AI66" s="147"/>
      <c r="AJ66" s="147"/>
      <c r="AK66" s="6"/>
      <c r="AL66" s="6"/>
      <c r="AM66" s="147"/>
      <c r="AN66" s="147"/>
    </row>
    <row r="67" spans="1:58" customHeight="1" ht="14.45">
      <c r="A67" s="255" t="s">
        <v>136</v>
      </c>
      <c r="B67" s="264">
        <v>24</v>
      </c>
      <c r="F67" s="140" t="s">
        <v>137</v>
      </c>
      <c r="G67" s="475"/>
      <c r="H67" s="267">
        <f>H64*G67</f>
        <v>0</v>
      </c>
      <c r="K67" s="140" t="s">
        <v>137</v>
      </c>
      <c r="L67" s="475">
        <v>100</v>
      </c>
      <c r="M67" s="367">
        <f>(O64*L67)</f>
        <v>2206.66666666666652</v>
      </c>
      <c r="P67" s="524"/>
      <c r="Q67" s="521"/>
      <c r="T67" s="417" t="s">
        <v>94</v>
      </c>
      <c r="U67" s="730"/>
      <c r="V67" s="731"/>
      <c r="X67" s="165" t="str">
        <f>C99</f>
        <v>Harina Tortas y Ponques</v>
      </c>
      <c r="Y67" s="531"/>
      <c r="Z67" s="531"/>
      <c r="AA67" s="531"/>
      <c r="AB67" s="531"/>
      <c r="AC67" s="531"/>
      <c r="AD67" s="531"/>
      <c r="AE67" s="531"/>
      <c r="AG67" s="147"/>
      <c r="AH67" s="147"/>
      <c r="AI67" s="6"/>
      <c r="AJ67" s="6"/>
      <c r="AK67" s="147"/>
      <c r="AL67" s="147"/>
      <c r="AM67" s="147"/>
    </row>
    <row r="68" spans="1:58" customHeight="1" ht="14.45">
      <c r="A68" s="255" t="s">
        <v>138</v>
      </c>
      <c r="B68" s="265">
        <v>28760</v>
      </c>
      <c r="F68" s="148" t="s">
        <v>139</v>
      </c>
      <c r="G68" s="649">
        <f>(G67*436*1.7321*0.96)/1000</f>
        <v>0</v>
      </c>
      <c r="H68" s="650">
        <f>(H67*436*1.7321*0.96)/1000</f>
        <v>0</v>
      </c>
      <c r="K68" s="148" t="s">
        <v>139</v>
      </c>
      <c r="L68" s="271">
        <f>(L67*436*1.7321*0.96)/1000</f>
        <v>72.4987776</v>
      </c>
      <c r="M68" s="156"/>
      <c r="O68" s="525"/>
      <c r="P68" s="522"/>
      <c r="T68" s="354" t="s">
        <v>140</v>
      </c>
      <c r="U68" s="651"/>
      <c r="V68" s="652"/>
      <c r="X68" s="165" t="str">
        <f>C100</f>
        <v>Harina Galeras Ligera</v>
      </c>
      <c r="Y68" s="532"/>
      <c r="Z68" s="532"/>
      <c r="AA68" s="532"/>
      <c r="AB68" s="532"/>
      <c r="AC68" s="532"/>
      <c r="AD68" s="532"/>
      <c r="AE68" s="532"/>
      <c r="AG68" s="147"/>
      <c r="AH68" s="147"/>
      <c r="AI68" s="147"/>
      <c r="AJ68" s="147"/>
      <c r="AK68" s="6"/>
      <c r="AL68" s="6"/>
      <c r="AM68" s="147"/>
      <c r="AN68" s="147"/>
    </row>
    <row r="69" spans="1:58">
      <c r="A69" s="156" t="s">
        <v>142</v>
      </c>
      <c r="B69" s="424">
        <v>36087</v>
      </c>
      <c r="F69" s="140" t="s">
        <v>143</v>
      </c>
      <c r="G69" s="653">
        <f>G68*H63</f>
        <v>0</v>
      </c>
      <c r="H69" s="639"/>
      <c r="K69" s="140" t="s">
        <v>143</v>
      </c>
      <c r="M69" s="653">
        <f>L68*O64</f>
        <v>1599.80635903999996</v>
      </c>
      <c r="N69" s="653"/>
      <c r="O69" s="654"/>
      <c r="X69" s="165" t="str">
        <f>C103</f>
        <v>Harina de alta proteina x 1
G</v>
      </c>
      <c r="Y69" s="532"/>
      <c r="Z69" s="532"/>
      <c r="AA69" s="532"/>
      <c r="AB69" s="532"/>
      <c r="AC69" s="532"/>
      <c r="AD69" s="532"/>
      <c r="AE69" s="532"/>
      <c r="AG69" s="147"/>
      <c r="AH69" s="147"/>
      <c r="AI69" s="147"/>
      <c r="AJ69" s="147"/>
      <c r="AK69" s="6"/>
      <c r="AL69" s="6"/>
      <c r="AM69" s="147"/>
      <c r="AN69" s="147"/>
    </row>
    <row r="70" spans="1:58" customHeight="1" ht="14.45">
      <c r="A70" s="257" t="s">
        <v>144</v>
      </c>
      <c r="B70" s="266">
        <f>+B51/B68</f>
        <v>0</v>
      </c>
      <c r="F70" s="632" t="s">
        <v>86</v>
      </c>
      <c r="G70" s="633"/>
      <c r="H70" s="269">
        <f>G69*H50</f>
        <v>0</v>
      </c>
      <c r="K70" s="140" t="s">
        <v>86</v>
      </c>
      <c r="M70" s="352">
        <f>M69*H50</f>
        <v>0</v>
      </c>
      <c r="O70" s="136"/>
      <c r="P70" s="523"/>
      <c r="Q70" s="523"/>
      <c r="T70" s="374" t="s">
        <v>145</v>
      </c>
      <c r="U70" s="374"/>
      <c r="V70" s="374"/>
      <c r="X70" s="165" t="s">
        <v>67</v>
      </c>
      <c r="Y70" s="533"/>
      <c r="Z70" s="533"/>
      <c r="AA70" s="533"/>
      <c r="AB70" s="533"/>
      <c r="AC70" s="533"/>
      <c r="AD70" s="533"/>
      <c r="AE70" s="533"/>
      <c r="AG70" s="6"/>
      <c r="AI70" s="147"/>
      <c r="AJ70" s="147"/>
      <c r="AK70" s="147"/>
      <c r="AL70" s="147"/>
      <c r="AM70" s="147"/>
      <c r="AN70" s="6"/>
      <c r="AO70" s="147"/>
      <c r="AP70" s="147"/>
    </row>
    <row r="71" spans="1:58" customHeight="1" ht="22.5">
      <c r="A71" s="257" t="s">
        <v>146</v>
      </c>
      <c r="B71" s="266">
        <f>+B51/B69</f>
        <v>0</v>
      </c>
      <c r="F71" s="159"/>
      <c r="G71" s="158"/>
      <c r="H71" s="151"/>
      <c r="K71" s="159"/>
      <c r="L71" s="158"/>
      <c r="M71" s="158"/>
      <c r="N71" s="158"/>
      <c r="O71" s="151"/>
      <c r="T71" s="253" t="s">
        <v>147</v>
      </c>
      <c r="U71" s="254"/>
      <c r="V71" s="645">
        <f>AP36*(U71+U72)</f>
        <v>0</v>
      </c>
      <c r="X71" s="202" t="s">
        <v>141</v>
      </c>
      <c r="Y71" s="203"/>
      <c r="Z71" s="203"/>
      <c r="AA71" s="203"/>
      <c r="AB71" s="203"/>
      <c r="AC71" s="203"/>
      <c r="AE71" s="6"/>
      <c r="AG71" s="6"/>
      <c r="AI71" s="147"/>
      <c r="AJ71" s="147"/>
      <c r="AK71" s="147"/>
      <c r="AL71" s="147"/>
      <c r="AM71" s="147"/>
      <c r="AN71" s="6"/>
      <c r="AO71" s="147"/>
      <c r="AP71" s="147"/>
    </row>
    <row r="72" spans="1:58">
      <c r="T72" s="253" t="s">
        <v>151</v>
      </c>
      <c r="U72" s="254"/>
      <c r="V72" s="646"/>
      <c r="X72" s="202"/>
      <c r="Y72" s="245"/>
      <c r="Z72" s="245"/>
      <c r="AA72" s="245"/>
      <c r="AB72" s="245"/>
      <c r="AC72" s="245"/>
      <c r="AE72" s="6"/>
      <c r="AG72" s="6"/>
      <c r="AI72" s="147"/>
      <c r="AJ72" s="147"/>
      <c r="AK72" s="147"/>
      <c r="AL72" s="147"/>
      <c r="AM72" s="147"/>
      <c r="AN72" s="6"/>
      <c r="AO72" s="147"/>
      <c r="AP72" s="147"/>
    </row>
    <row r="73" spans="1:58">
      <c r="AE73" s="6"/>
      <c r="AG73" s="6"/>
      <c r="AI73" s="147"/>
      <c r="AJ73" s="147"/>
      <c r="AK73" s="147"/>
      <c r="AL73" s="147"/>
      <c r="AM73" s="147"/>
      <c r="AN73" s="6"/>
      <c r="AO73" s="147"/>
      <c r="AP73" s="147"/>
    </row>
    <row r="74" spans="1:58" customHeight="1" ht="14.45">
      <c r="A74" s="371" t="s">
        <v>154</v>
      </c>
      <c r="B74" s="372"/>
      <c r="C74" s="140"/>
      <c r="Y74" s="156" t="s">
        <v>148</v>
      </c>
      <c r="Z74" s="1" t="s">
        <v>149</v>
      </c>
      <c r="AA74" s="1" t="s">
        <v>150</v>
      </c>
      <c r="AE74" s="6"/>
      <c r="AG74" s="6"/>
      <c r="AI74" s="147"/>
      <c r="AJ74" s="147"/>
      <c r="AK74" s="147"/>
      <c r="AL74" s="147"/>
      <c r="AM74" s="147"/>
      <c r="AN74" s="6"/>
      <c r="AO74" s="147"/>
      <c r="AP74" s="147"/>
    </row>
    <row r="75" spans="1:58" customHeight="1" ht="14.45">
      <c r="A75" s="260" t="s">
        <v>155</v>
      </c>
      <c r="B75" s="262">
        <v>64062235</v>
      </c>
      <c r="Y75" s="209" t="s">
        <v>152</v>
      </c>
      <c r="Z75" s="7">
        <v>12.5</v>
      </c>
      <c r="AA75" s="7">
        <v>13.5</v>
      </c>
      <c r="AB75" s="7"/>
      <c r="AC75" s="1" t="s">
        <v>152</v>
      </c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8" customHeight="1" ht="14.45">
      <c r="A76" s="261" t="s">
        <v>156</v>
      </c>
      <c r="B76" s="263">
        <v>7837432</v>
      </c>
      <c r="Y76" s="209" t="s">
        <v>67</v>
      </c>
      <c r="Z76" s="212">
        <f>SUM(A82+A85+A86+A87+A89+A92+A94+A98+A100+A102+A103+A108+A105+A110+A113+A115+A109+A83+A84+A90+A88+A91+A96+A97+A104+A106+A111)*Z75</f>
        <v>0</v>
      </c>
      <c r="AA76" s="212">
        <f>(A95+A99)*AA75</f>
        <v>0</v>
      </c>
      <c r="AB76" s="240"/>
      <c r="AC76" s="156" t="s">
        <v>153</v>
      </c>
      <c r="AE76" s="206"/>
      <c r="AK76" s="147"/>
      <c r="AL76" s="147"/>
      <c r="AM76" s="147"/>
      <c r="AN76" s="6"/>
      <c r="AO76" s="147"/>
      <c r="AP76" s="147"/>
    </row>
    <row r="77" spans="1:58">
      <c r="Y77" s="202" t="s">
        <v>141</v>
      </c>
      <c r="Z77" s="142"/>
      <c r="AA77" s="142"/>
      <c r="AB77" s="142"/>
      <c r="AC77" s="156" t="s">
        <v>153</v>
      </c>
      <c r="AE77" s="206"/>
      <c r="AK77" s="147"/>
      <c r="AL77" s="147"/>
      <c r="AM77" s="147"/>
      <c r="AN77" s="6"/>
      <c r="AO77" s="147"/>
      <c r="AP77" s="147"/>
      <c r="AQ77" s="147"/>
      <c r="AR77" s="147"/>
    </row>
    <row r="78" spans="1:58">
      <c r="X78" s="169"/>
      <c r="AK78" s="147"/>
      <c r="AL78" s="147"/>
      <c r="AM78" s="147"/>
      <c r="AN78" s="6"/>
      <c r="AO78" s="147"/>
      <c r="AP78" s="147"/>
      <c r="AQ78" s="147"/>
      <c r="AR78" s="147"/>
    </row>
    <row r="79" spans="1:58">
      <c r="N79" s="4"/>
      <c r="X79" s="169"/>
      <c r="AE79" s="6"/>
      <c r="AK79" s="147"/>
      <c r="AL79" s="147"/>
      <c r="AM79" s="147"/>
      <c r="AN79" s="6"/>
      <c r="AO79" s="147"/>
      <c r="AP79" s="147"/>
      <c r="AQ79" s="147"/>
      <c r="AR79" s="147"/>
    </row>
    <row r="80" spans="1:58" customHeight="1" ht="16.35">
      <c r="A80" s="170"/>
      <c r="C80" s="171"/>
      <c r="D80" s="423" t="s">
        <v>157</v>
      </c>
      <c r="E80" s="423" t="s">
        <v>158</v>
      </c>
      <c r="F80" s="423" t="s">
        <v>94</v>
      </c>
      <c r="G80" s="423" t="s">
        <v>91</v>
      </c>
      <c r="AE80" s="6"/>
      <c r="AK80" s="147"/>
      <c r="AL80" s="147"/>
      <c r="AM80" s="147"/>
    </row>
    <row r="81" spans="1:58" customHeight="1" ht="16.35">
      <c r="A81" s="356" t="s">
        <v>45</v>
      </c>
      <c r="B81" s="472" t="s">
        <v>159</v>
      </c>
      <c r="C81" s="176" t="s">
        <v>160</v>
      </c>
      <c r="D81" s="178" t="s">
        <v>161</v>
      </c>
      <c r="E81" s="178" t="s">
        <v>161</v>
      </c>
      <c r="F81" s="178" t="s">
        <v>161</v>
      </c>
      <c r="G81" s="178" t="s">
        <v>161</v>
      </c>
      <c r="AE81" s="6"/>
      <c r="AK81" s="147"/>
      <c r="AL81" s="147"/>
      <c r="AM81" s="147"/>
    </row>
    <row r="82" spans="1:58" customHeight="1" ht="16.35">
      <c r="A82" s="139">
        <f>C36</f>
        <v>0</v>
      </c>
      <c r="B82" s="139">
        <f>IF(A82=0,0,((A82*50)/$B$53))</f>
        <v>0</v>
      </c>
      <c r="C82" s="180" t="s">
        <v>16</v>
      </c>
      <c r="D82" s="569">
        <v>0.8</v>
      </c>
      <c r="E82" s="570">
        <v>0.2</v>
      </c>
      <c r="F82" s="571"/>
      <c r="G82" s="572"/>
      <c r="Z82" s="213"/>
      <c r="AA82" s="213"/>
      <c r="AB82" s="213"/>
      <c r="AC82" s="213"/>
      <c r="AD82" s="213"/>
      <c r="AE82" s="6"/>
      <c r="AK82" s="147"/>
      <c r="AL82" s="147"/>
      <c r="AM82" s="147"/>
    </row>
    <row r="83" spans="1:58" customHeight="1" ht="16.35">
      <c r="A83" s="139">
        <f>C38</f>
        <v>0</v>
      </c>
      <c r="B83" s="139">
        <f>IF(A83=0,0,((A83*50)/$B$53))</f>
        <v>0</v>
      </c>
      <c r="C83" s="180" t="s">
        <v>16</v>
      </c>
      <c r="D83" s="573"/>
      <c r="E83" s="186"/>
      <c r="F83" s="462"/>
      <c r="G83" s="574"/>
      <c r="Z83" s="213"/>
      <c r="AA83" s="213"/>
      <c r="AB83" s="213"/>
      <c r="AC83" s="213"/>
      <c r="AD83" s="213"/>
      <c r="AE83" s="6"/>
      <c r="AK83" s="147"/>
      <c r="AL83" s="147"/>
      <c r="AM83" s="147"/>
    </row>
    <row r="84" spans="1:58" customHeight="1" ht="16.35">
      <c r="A84" s="139">
        <f>C39</f>
        <v>0</v>
      </c>
      <c r="B84" s="139">
        <f>IF(A84=0,0,((A84*50)/$B$53))</f>
        <v>0</v>
      </c>
      <c r="C84" s="180" t="s">
        <v>16</v>
      </c>
      <c r="D84" s="575">
        <v>0.8</v>
      </c>
      <c r="E84" s="382">
        <v>0.2</v>
      </c>
      <c r="F84" s="382"/>
      <c r="G84" s="574"/>
      <c r="Z84" s="213"/>
      <c r="AA84" s="213"/>
      <c r="AB84" s="213"/>
      <c r="AC84" s="213"/>
      <c r="AD84" s="213"/>
      <c r="AE84" s="6"/>
      <c r="AK84" s="147"/>
      <c r="AL84" s="147"/>
      <c r="AM84" s="147"/>
    </row>
    <row r="85" spans="1:58" customHeight="1" ht="16.35">
      <c r="A85" s="139">
        <f>D36/2</f>
        <v>0</v>
      </c>
      <c r="B85" s="139">
        <f>IF(A85=0,0,((A85*50)/$B$53))</f>
        <v>0</v>
      </c>
      <c r="C85" s="180" t="str">
        <f>D3</f>
        <v>Extrapan
25</v>
      </c>
      <c r="D85" s="573">
        <v>0.8</v>
      </c>
      <c r="E85" s="186">
        <v>0.2</v>
      </c>
      <c r="F85" s="186"/>
      <c r="G85" s="576"/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8" customHeight="1" ht="16.35">
      <c r="A86" s="139">
        <f>E36/5</f>
        <v>0</v>
      </c>
      <c r="B86" s="139">
        <f>IF(A86=0,0,((A86*50)/$B$53))</f>
        <v>0</v>
      </c>
      <c r="C86" s="189" t="str">
        <f>E3</f>
        <v>Extrapan
10</v>
      </c>
      <c r="D86" s="573">
        <v>0.8</v>
      </c>
      <c r="E86" s="186">
        <v>0.2</v>
      </c>
      <c r="F86" s="186"/>
      <c r="G86" s="576"/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8" customHeight="1" ht="16.35">
      <c r="A87" s="139">
        <f>F36</f>
        <v>0</v>
      </c>
      <c r="B87" s="139">
        <f>IF(A87=0,0,((A87*50)/$B$53))</f>
        <v>0</v>
      </c>
      <c r="C87" s="189" t="str">
        <f>F3</f>
        <v>Artesanal 
50</v>
      </c>
      <c r="D87" s="573">
        <v>0.6</v>
      </c>
      <c r="E87" s="186">
        <v>0.15</v>
      </c>
      <c r="F87" s="186">
        <v>0.25</v>
      </c>
      <c r="G87" s="576"/>
      <c r="J87" s="137"/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8" customHeight="1" ht="16.35">
      <c r="A88" s="139">
        <f>F38</f>
        <v>0</v>
      </c>
      <c r="B88" s="139">
        <f>IF(A88=0,0,((A88*50)/$B$53))</f>
        <v>0</v>
      </c>
      <c r="C88" s="568" t="str">
        <f>C87</f>
        <v>Artesanal 
50</v>
      </c>
      <c r="D88" s="573"/>
      <c r="E88" s="186"/>
      <c r="F88" s="186"/>
      <c r="G88" s="576"/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8" customHeight="1" ht="16.35">
      <c r="A89" s="139">
        <f>G36/2</f>
        <v>0</v>
      </c>
      <c r="B89" s="139">
        <f>IF(A89=0,0,((A89*50)/$B$53))</f>
        <v>0</v>
      </c>
      <c r="C89" s="190" t="str">
        <f>G3</f>
        <v>Artesanal
25</v>
      </c>
      <c r="D89" s="573">
        <v>0.6</v>
      </c>
      <c r="E89" s="186">
        <v>0.15</v>
      </c>
      <c r="F89" s="186">
        <v>0.25</v>
      </c>
      <c r="G89" s="576"/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8" customHeight="1" ht="16.35">
      <c r="A90" s="139">
        <f>G38/2</f>
        <v>0</v>
      </c>
      <c r="B90" s="139">
        <f>IF(A90=0,0,((A90*50)/$B$53))</f>
        <v>0</v>
      </c>
      <c r="C90" s="190" t="str">
        <f>C89</f>
        <v>Artesanal
25</v>
      </c>
      <c r="D90" s="573"/>
      <c r="E90" s="186"/>
      <c r="F90" s="186"/>
      <c r="G90" s="576"/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8" customHeight="1" ht="16.35">
      <c r="A91" s="139">
        <f>H36</f>
        <v>0</v>
      </c>
      <c r="B91" s="139">
        <f>IF(A91=0,0,((A91*50)/$B$53))</f>
        <v>0</v>
      </c>
      <c r="C91" s="180" t="str">
        <f>H3</f>
        <v>Natural 
50</v>
      </c>
      <c r="D91" s="573">
        <v>0.7</v>
      </c>
      <c r="E91" s="186">
        <v>0.07</v>
      </c>
      <c r="F91" s="186">
        <v>0.23</v>
      </c>
      <c r="G91" s="576"/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8" customHeight="1" ht="16.35">
      <c r="A92" s="139">
        <f>H38</f>
        <v>0</v>
      </c>
      <c r="B92" s="139">
        <f>IF(A92=0,0,((A92*50)/$B$53))</f>
        <v>0</v>
      </c>
      <c r="C92" s="180" t="str">
        <f>H3</f>
        <v>Natural 
50</v>
      </c>
      <c r="D92" s="577"/>
      <c r="E92" s="578"/>
      <c r="F92" s="578"/>
      <c r="G92" s="579"/>
      <c r="V92" s="124"/>
      <c r="W92" s="124"/>
      <c r="Z92" s="6"/>
      <c r="AA92" s="6"/>
      <c r="AB92" s="6"/>
      <c r="AC92" s="6"/>
      <c r="AD92" s="6"/>
      <c r="AE92" s="6"/>
      <c r="AH92" s="147"/>
      <c r="AI92" s="147"/>
      <c r="AJ92" s="147"/>
    </row>
    <row r="93" spans="1:58" customHeight="1" ht="16.35">
      <c r="A93" s="139"/>
      <c r="B93" s="139">
        <f>IF(A93=0,0,((A93*50)/$B$53))</f>
        <v>0</v>
      </c>
      <c r="C93" s="548"/>
      <c r="D93" s="200"/>
      <c r="E93" s="200"/>
      <c r="F93" s="201"/>
      <c r="G93" s="201"/>
      <c r="V93" s="245"/>
      <c r="W93" s="245"/>
      <c r="Y93" s="213"/>
      <c r="Z93" s="6"/>
      <c r="AA93" s="6"/>
      <c r="AB93" s="6"/>
      <c r="AC93" s="6"/>
      <c r="AD93" s="6"/>
      <c r="AE93" s="6"/>
      <c r="AH93" s="147"/>
      <c r="AI93" s="147"/>
      <c r="AJ93" s="147"/>
    </row>
    <row r="94" spans="1:58" customHeight="1" ht="15.6">
      <c r="A94" s="139">
        <f>I36/2</f>
        <v>0</v>
      </c>
      <c r="B94" s="139">
        <f>IF(A94=0,0,((A94*50)/$B$53))</f>
        <v>0</v>
      </c>
      <c r="C94" s="379" t="str">
        <f>I3</f>
        <v>Fuerte
25</v>
      </c>
      <c r="D94" s="463">
        <v>0.57</v>
      </c>
      <c r="E94" s="182">
        <v>0.13</v>
      </c>
      <c r="F94" s="182">
        <v>0.3</v>
      </c>
      <c r="G94" s="506"/>
      <c r="Y94" s="213"/>
      <c r="Z94" s="6"/>
      <c r="AA94" s="6"/>
      <c r="AB94" s="6"/>
      <c r="AC94" s="6"/>
      <c r="AD94" s="6"/>
      <c r="AE94" s="6"/>
      <c r="AH94" s="147"/>
      <c r="AI94" s="147"/>
      <c r="AJ94" s="147"/>
    </row>
    <row r="95" spans="1:58" customHeight="1" ht="16.35">
      <c r="A95" s="139">
        <f>J36/2</f>
        <v>0</v>
      </c>
      <c r="B95" s="139">
        <f>IF(A95=0,0,((A95*50)/$B$53))</f>
        <v>0</v>
      </c>
      <c r="C95" s="448" t="str">
        <f>J3</f>
        <v>Fuerte exp
25</v>
      </c>
      <c r="D95" s="462">
        <v>0.57</v>
      </c>
      <c r="E95" s="186">
        <v>0.13</v>
      </c>
      <c r="F95" s="382">
        <v>0.3</v>
      </c>
      <c r="G95" s="504"/>
      <c r="Y95" s="213"/>
      <c r="Z95" s="6"/>
      <c r="AA95" s="6"/>
      <c r="AB95" s="6"/>
      <c r="AC95" s="6"/>
      <c r="AD95" s="6"/>
      <c r="AE95" s="6"/>
      <c r="AH95" s="147"/>
      <c r="AI95" s="147"/>
      <c r="AJ95" s="147"/>
    </row>
    <row r="96" spans="1:58" customHeight="1" ht="16.35">
      <c r="A96" s="139">
        <f>I38/2</f>
        <v>0</v>
      </c>
      <c r="B96" s="139">
        <f>IF(A96=0,0,((A96*50)/$B$53))</f>
        <v>0</v>
      </c>
      <c r="C96" s="379" t="str">
        <f>I3</f>
        <v>Fuerte
25</v>
      </c>
      <c r="D96" s="462"/>
      <c r="E96" s="186"/>
      <c r="F96" s="382"/>
      <c r="G96" s="504"/>
      <c r="Y96" s="213"/>
      <c r="Z96" s="6"/>
      <c r="AA96" s="6"/>
      <c r="AB96" s="6"/>
      <c r="AC96" s="6"/>
      <c r="AD96" s="6"/>
      <c r="AE96" s="6"/>
      <c r="AH96" s="147"/>
      <c r="AI96" s="147"/>
      <c r="AJ96" s="147"/>
    </row>
    <row r="97" spans="1:58" customHeight="1" ht="16.35">
      <c r="A97" s="139">
        <f>I39/2</f>
        <v>0</v>
      </c>
      <c r="B97" s="139">
        <f>IF(A97=0,0,((A97*50)/$B$53))</f>
        <v>0</v>
      </c>
      <c r="C97" s="379" t="str">
        <f>C96</f>
        <v>Fuerte
25</v>
      </c>
      <c r="D97" s="462"/>
      <c r="E97" s="186"/>
      <c r="F97" s="382"/>
      <c r="G97" s="504"/>
      <c r="Y97" s="213"/>
      <c r="Z97" s="6"/>
      <c r="AA97" s="6"/>
      <c r="AB97" s="6"/>
      <c r="AC97" s="6"/>
      <c r="AD97" s="6"/>
      <c r="AE97" s="6"/>
      <c r="AH97" s="147"/>
      <c r="AI97" s="147"/>
      <c r="AJ97" s="147"/>
    </row>
    <row r="98" spans="1:58" customHeight="1" ht="16.35">
      <c r="A98" s="139">
        <f>K36</f>
        <v>0</v>
      </c>
      <c r="B98" s="139">
        <f>IF(A98=0,0,((A98*50)/$B$53))</f>
        <v>0</v>
      </c>
      <c r="C98" s="379" t="str">
        <f>K3</f>
        <v>Exclusiva
50</v>
      </c>
      <c r="D98" s="462">
        <v>0.62</v>
      </c>
      <c r="E98" s="186">
        <v>0.13</v>
      </c>
      <c r="F98" s="382">
        <v>0.25</v>
      </c>
      <c r="G98" s="504"/>
      <c r="Y98" s="213"/>
      <c r="Z98" s="6"/>
      <c r="AA98" s="6"/>
      <c r="AB98" s="6"/>
      <c r="AC98" s="6"/>
      <c r="AD98" s="6"/>
      <c r="AE98" s="6"/>
      <c r="AH98" s="147"/>
      <c r="AI98" s="147"/>
      <c r="AJ98" s="147"/>
    </row>
    <row r="99" spans="1:58" customHeight="1" ht="26.85">
      <c r="A99" s="139">
        <f>N36</f>
        <v>0</v>
      </c>
      <c r="B99" s="139">
        <f>IF(A99=0,0,((A99*50)/$B$53))</f>
        <v>0</v>
      </c>
      <c r="C99" s="449" t="str">
        <f>N3</f>
        <v>Harina Tortas y Ponques</v>
      </c>
      <c r="D99" s="462"/>
      <c r="E99" s="186"/>
      <c r="F99" s="186"/>
      <c r="G99" s="504"/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8" customHeight="1" ht="29.25">
      <c r="A100" s="139">
        <f>O36</f>
        <v>0</v>
      </c>
      <c r="B100" s="139">
        <f>IF(A100=0,0,((A100*50)/$B$53))</f>
        <v>0</v>
      </c>
      <c r="C100" s="449" t="str">
        <f>O3</f>
        <v>Harina Galeras Ligera</v>
      </c>
      <c r="D100" s="462"/>
      <c r="E100" s="186"/>
      <c r="F100" s="508"/>
      <c r="G100" s="188"/>
      <c r="H100" s="214"/>
      <c r="I100" s="214"/>
      <c r="J100" s="214"/>
      <c r="K100" s="156"/>
      <c r="L100" s="156"/>
      <c r="M100" s="156"/>
      <c r="N100" s="156"/>
      <c r="O100" s="202"/>
      <c r="P100" s="202"/>
      <c r="Q100" s="214"/>
      <c r="R100" s="214"/>
      <c r="S100" s="214"/>
      <c r="T100" s="156"/>
      <c r="U100" s="156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8" customHeight="1" ht="29.25">
      <c r="A101" s="139">
        <f>O38</f>
        <v>0</v>
      </c>
      <c r="B101" s="139">
        <f>IF(A101=0,0,((A101*50)/$B$53))</f>
        <v>0</v>
      </c>
      <c r="C101" s="449" t="str">
        <f>C100</f>
        <v>Harina Galeras Ligera</v>
      </c>
      <c r="D101" s="462"/>
      <c r="E101" s="186"/>
      <c r="F101" s="186"/>
      <c r="G101" s="504"/>
      <c r="H101" s="214"/>
      <c r="I101" s="214"/>
      <c r="J101" s="214"/>
      <c r="K101" s="156"/>
      <c r="L101" s="156"/>
      <c r="M101" s="156"/>
      <c r="N101" s="156"/>
      <c r="O101" s="202"/>
      <c r="P101" s="202"/>
      <c r="Q101" s="214"/>
      <c r="R101" s="214"/>
      <c r="S101" s="214"/>
      <c r="T101" s="156"/>
      <c r="U101" s="156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8" customHeight="1" ht="17.1">
      <c r="A102" s="139">
        <f>Q36</f>
        <v>0</v>
      </c>
      <c r="B102" s="139">
        <f>IF(A102=0,0,((A102*50)/$B$53))</f>
        <v>0</v>
      </c>
      <c r="C102" s="379" t="str">
        <f>Q3</f>
        <v>ESPECIAL
50</v>
      </c>
      <c r="D102" s="462"/>
      <c r="E102" s="186"/>
      <c r="F102" s="186"/>
      <c r="G102" s="505"/>
      <c r="X102" s="213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8" customHeight="1" ht="31.5">
      <c r="A103" s="139">
        <f>R36/50</f>
        <v>0</v>
      </c>
      <c r="B103" s="139">
        <f>IF(A103=0,0,((A103*50)/$B$53))</f>
        <v>0</v>
      </c>
      <c r="C103" s="449" t="str">
        <f>R3</f>
        <v>Harina de alta proteina x 1
G</v>
      </c>
      <c r="D103" s="462">
        <v>1</v>
      </c>
      <c r="E103" s="186"/>
      <c r="F103" s="186"/>
      <c r="G103" s="505"/>
      <c r="X103" s="213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8" customHeight="1" ht="16.35">
      <c r="A104" s="139">
        <f>R38/50</f>
        <v>0</v>
      </c>
      <c r="B104" s="139">
        <f>IF(A104=0,0,((A104*50)/$B$53))</f>
        <v>0</v>
      </c>
      <c r="C104" s="379" t="s">
        <v>170</v>
      </c>
      <c r="D104" s="381"/>
      <c r="E104" s="230"/>
      <c r="F104" s="230"/>
      <c r="G104" s="505"/>
      <c r="X104" s="213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8" customHeight="1" ht="27.6">
      <c r="A105" s="139">
        <f>S36/50</f>
        <v>0</v>
      </c>
      <c r="B105" s="139">
        <f>IF(A105=0,0,((A105*50)/$B$53))</f>
        <v>0</v>
      </c>
      <c r="C105" s="449" t="str">
        <f>S3</f>
        <v>Harina de baja proteina x 1</v>
      </c>
      <c r="D105" s="381"/>
      <c r="E105" s="230"/>
      <c r="F105" s="230">
        <v>1</v>
      </c>
      <c r="G105" s="505"/>
      <c r="X105" s="213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8" customHeight="1" ht="16.35">
      <c r="A106" s="139">
        <f>S38/50</f>
        <v>0</v>
      </c>
      <c r="B106" s="139">
        <f>IF(A106=0,0,((A106*50)/$B$53))</f>
        <v>0</v>
      </c>
      <c r="C106" s="449" t="s">
        <v>171</v>
      </c>
      <c r="D106" s="381"/>
      <c r="E106" s="230"/>
      <c r="F106" s="230"/>
      <c r="G106" s="507"/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8" customHeight="1" ht="16.35">
      <c r="A107" s="139">
        <f>S39/50</f>
        <v>0</v>
      </c>
      <c r="B107" s="139">
        <f>IF(A107=0,0,((A107*50)/$B$53))</f>
        <v>0</v>
      </c>
      <c r="C107" s="449" t="s">
        <v>171</v>
      </c>
      <c r="D107" s="381"/>
      <c r="E107" s="230"/>
      <c r="F107" s="230"/>
      <c r="G107" s="507"/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8" customHeight="1" ht="24">
      <c r="A108" s="139">
        <f>T36/50</f>
        <v>0</v>
      </c>
      <c r="B108" s="139">
        <f>IF(A108=0,0,((A108*50)/$B$53))</f>
        <v>0</v>
      </c>
      <c r="C108" s="449" t="str">
        <f>T3</f>
        <v>ARTESANAL X 1
G</v>
      </c>
      <c r="D108" s="462">
        <v>0.61</v>
      </c>
      <c r="E108" s="186"/>
      <c r="F108" s="186">
        <v>0.39</v>
      </c>
      <c r="G108" s="505"/>
      <c r="X108" s="213"/>
      <c r="Y108" s="213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8" customHeight="1" ht="22.5">
      <c r="A109" s="139">
        <f>T38/50</f>
        <v>0</v>
      </c>
      <c r="B109" s="139">
        <f>IF(A109=0,0,((A109*50)/$B$53))</f>
        <v>0</v>
      </c>
      <c r="C109" s="449" t="str">
        <f>T3</f>
        <v>ARTESANAL X 1
G</v>
      </c>
      <c r="D109" s="462"/>
      <c r="E109" s="186"/>
      <c r="F109" s="186"/>
      <c r="G109" s="505"/>
      <c r="X109" s="213"/>
      <c r="Y109" s="213"/>
      <c r="Z109" s="6"/>
      <c r="AA109" s="6"/>
      <c r="AB109" s="6"/>
      <c r="AC109" s="6"/>
      <c r="AD109" s="6"/>
      <c r="AE109" s="6"/>
      <c r="AH109" s="147"/>
      <c r="AI109" s="147"/>
      <c r="AJ109" s="147"/>
    </row>
    <row r="110" spans="1:58" customHeight="1" ht="16.35">
      <c r="A110" s="139">
        <f>P36/2</f>
        <v>0</v>
      </c>
      <c r="B110" s="139">
        <f>IF(A110=0,0,((A110*50)/$B$53))</f>
        <v>0</v>
      </c>
      <c r="C110" s="379" t="str">
        <f>P3</f>
        <v>H. Manitova </v>
      </c>
      <c r="D110" s="470"/>
      <c r="E110" s="186"/>
      <c r="F110" s="186"/>
      <c r="G110" s="507"/>
      <c r="X110" s="213"/>
      <c r="Y110" s="213"/>
      <c r="Z110" s="6"/>
      <c r="AA110" s="6"/>
      <c r="AB110" s="6"/>
      <c r="AC110" s="6"/>
      <c r="AD110" s="6"/>
      <c r="AE110" s="6"/>
      <c r="AH110" s="147"/>
      <c r="AI110" s="147"/>
      <c r="AJ110" s="147"/>
    </row>
    <row r="111" spans="1:58" customHeight="1" ht="16.35">
      <c r="A111" s="139">
        <f>U36/2</f>
        <v>0</v>
      </c>
      <c r="B111" s="139">
        <f>IF(A111=0,0,((A111*50)/$B$53))</f>
        <v>0</v>
      </c>
      <c r="C111" s="379" t="str">
        <f>U3</f>
        <v>H. espcial x 25
</v>
      </c>
      <c r="D111" s="378"/>
      <c r="E111" s="251">
        <v>0.14</v>
      </c>
      <c r="F111" s="509">
        <v>0.86</v>
      </c>
      <c r="G111" s="510"/>
      <c r="X111" s="213"/>
      <c r="Y111" s="213"/>
      <c r="Z111" s="6"/>
      <c r="AA111" s="6"/>
      <c r="AB111" s="6"/>
      <c r="AC111" s="6"/>
      <c r="AD111" s="6"/>
      <c r="AE111" s="6"/>
      <c r="AH111" s="147"/>
      <c r="AI111" s="147"/>
      <c r="AJ111" s="147"/>
    </row>
    <row r="112" spans="1:58" customHeight="1" ht="16.35">
      <c r="A112" s="139"/>
      <c r="B112" s="139"/>
      <c r="C112" s="216"/>
      <c r="D112" s="4"/>
      <c r="E112" s="4"/>
      <c r="F112" s="4"/>
      <c r="G112" s="464"/>
      <c r="X112" s="213"/>
      <c r="Y112" s="213"/>
      <c r="Z112" s="6"/>
      <c r="AA112" s="6"/>
      <c r="AB112" s="6"/>
      <c r="AC112" s="6"/>
      <c r="AD112" s="6"/>
      <c r="AE112" s="6"/>
      <c r="AH112" s="147"/>
      <c r="AI112" s="147"/>
      <c r="AJ112" s="147"/>
    </row>
    <row r="113" spans="1:58" customHeight="1" ht="16.35">
      <c r="A113" s="139">
        <f>Z42/2</f>
        <v>0</v>
      </c>
      <c r="B113" s="139">
        <f>IF(A113=0,0,((A113*51.6)))</f>
        <v>0</v>
      </c>
      <c r="C113" s="217" t="str">
        <f>A42</f>
        <v>Grano entero</v>
      </c>
      <c r="D113" s="182"/>
      <c r="E113" s="182"/>
      <c r="F113" s="512"/>
      <c r="G113" s="511"/>
      <c r="X113" s="213"/>
      <c r="Y113" s="213"/>
      <c r="Z113" s="6"/>
      <c r="AA113" s="6"/>
      <c r="AB113" s="6"/>
      <c r="AC113" s="6"/>
      <c r="AD113" s="6"/>
      <c r="AE113" s="6"/>
      <c r="AH113" s="147"/>
      <c r="AI113" s="147"/>
      <c r="AJ113" s="147"/>
    </row>
    <row r="114" spans="1:58" customHeight="1" ht="16.35">
      <c r="A114" s="139">
        <f>Z43/2</f>
        <v>0</v>
      </c>
      <c r="B114" s="139">
        <f>IF(A114=0,0,((A114*50)))</f>
        <v>0</v>
      </c>
      <c r="C114" s="379" t="str">
        <f>A43</f>
        <v>Bio Convercion </v>
      </c>
      <c r="D114" s="462"/>
      <c r="E114" s="366"/>
      <c r="F114" s="186"/>
      <c r="G114" s="505"/>
      <c r="X114" s="213"/>
      <c r="Y114" s="213"/>
      <c r="Z114" s="6"/>
      <c r="AA114" s="6"/>
      <c r="AB114" s="6"/>
      <c r="AC114" s="6"/>
      <c r="AD114" s="6"/>
      <c r="AE114" s="6"/>
      <c r="AH114" s="147"/>
      <c r="AI114" s="147"/>
      <c r="AJ114" s="147"/>
    </row>
    <row r="115" spans="1:58" customHeight="1" ht="16.35">
      <c r="A115" s="139">
        <f>Z45/2</f>
        <v>0</v>
      </c>
      <c r="B115" s="139">
        <f>IF(A115=0,0,((A115*50.55)))</f>
        <v>0</v>
      </c>
      <c r="C115" s="380" t="str">
        <f>A45</f>
        <v>Trigo entero </v>
      </c>
      <c r="D115" s="470"/>
      <c r="E115" s="230"/>
      <c r="F115" s="366"/>
      <c r="G115" s="513"/>
      <c r="X115" s="213"/>
      <c r="Y115" s="213"/>
      <c r="Z115" s="6"/>
      <c r="AA115" s="6"/>
      <c r="AB115" s="6"/>
      <c r="AC115" s="6"/>
      <c r="AD115" s="6"/>
      <c r="AE115" s="6"/>
      <c r="AH115" s="147"/>
      <c r="AI115" s="147"/>
      <c r="AJ115" s="147"/>
    </row>
    <row r="116" spans="1:58" customHeight="1" ht="16.35">
      <c r="A116" s="139">
        <f>AA45/2</f>
        <v>0</v>
      </c>
      <c r="B116" s="139">
        <f>IF(A116=0,0,((A116*52)))</f>
        <v>0</v>
      </c>
      <c r="C116" s="380" t="str">
        <f>C115</f>
        <v>Trigo entero </v>
      </c>
      <c r="D116" s="378"/>
      <c r="E116" s="192"/>
      <c r="F116" s="192"/>
      <c r="G116" s="514"/>
      <c r="X116" s="213"/>
      <c r="Y116" s="213"/>
      <c r="Z116" s="6"/>
      <c r="AA116" s="6"/>
      <c r="AB116" s="6"/>
      <c r="AC116" s="6"/>
      <c r="AD116" s="6"/>
      <c r="AE116" s="6"/>
      <c r="AH116" s="147"/>
      <c r="AI116" s="147"/>
      <c r="AJ116" s="147"/>
    </row>
    <row r="117" spans="1:58" customHeight="1" ht="13.5">
      <c r="B117" s="139">
        <f>SUM(B82:B116)</f>
        <v>0</v>
      </c>
      <c r="X117" s="213"/>
      <c r="Y117" s="386"/>
      <c r="Z117" s="6"/>
      <c r="AA117" s="6"/>
      <c r="AB117" s="6"/>
      <c r="AC117" s="6"/>
      <c r="AD117" s="6"/>
      <c r="AE117" s="6"/>
      <c r="AH117" s="147"/>
      <c r="AI117" s="147"/>
      <c r="AJ117" s="147"/>
      <c r="AO117" s="147"/>
      <c r="AP117" s="147"/>
    </row>
    <row r="118" spans="1:58" customHeight="1" ht="12.75">
      <c r="X118" s="213"/>
      <c r="Y118" s="4"/>
      <c r="Z118" s="4"/>
      <c r="AB118" s="384"/>
      <c r="AC118" s="385"/>
      <c r="AD118" s="4"/>
      <c r="AE118" s="213"/>
      <c r="AF118" s="213"/>
      <c r="AG118" s="6"/>
      <c r="AH118" s="6"/>
      <c r="AI118" s="6"/>
      <c r="AJ118" s="6"/>
      <c r="AK118" s="6"/>
      <c r="AL118" s="6"/>
      <c r="AM118" s="6"/>
      <c r="AP118" s="147"/>
      <c r="AQ118" s="147"/>
      <c r="AV118" s="147"/>
      <c r="AW118" s="147"/>
    </row>
    <row r="119" spans="1:58">
      <c r="X119" s="213"/>
      <c r="Y119" s="4"/>
      <c r="Z119" s="4"/>
      <c r="AB119" s="4"/>
      <c r="AE119" s="213"/>
      <c r="AF119" s="473"/>
      <c r="AG119" s="6"/>
      <c r="AH119" s="6"/>
      <c r="AI119" s="6"/>
      <c r="AJ119" s="6"/>
      <c r="AK119" s="6"/>
      <c r="AL119" s="6"/>
      <c r="AM119" s="6"/>
      <c r="AP119" s="147"/>
      <c r="AQ119" s="147"/>
      <c r="AV119" s="147"/>
      <c r="AW119" s="147"/>
    </row>
    <row r="120" spans="1:58">
      <c r="X120" s="213"/>
      <c r="Y120" s="213"/>
      <c r="Z120" s="4"/>
      <c r="AA120" s="4"/>
      <c r="AC120" s="4"/>
      <c r="AF120" s="213"/>
      <c r="AG120" s="213"/>
      <c r="AH120" s="6"/>
      <c r="AI120" s="6"/>
      <c r="AJ120" s="6"/>
      <c r="AK120" s="6"/>
      <c r="AL120" s="6"/>
      <c r="AM120" s="6"/>
      <c r="AN120" s="6"/>
      <c r="AQ120" s="147"/>
      <c r="AR120" s="147"/>
      <c r="AW120" s="147"/>
      <c r="AX120" s="147"/>
    </row>
    <row r="121" spans="1:58">
      <c r="X121" s="213"/>
      <c r="Z121" s="4"/>
      <c r="AA121" s="4"/>
      <c r="AC121" s="4"/>
      <c r="AF121" s="213"/>
      <c r="AG121" s="213"/>
      <c r="AH121" s="6"/>
      <c r="AI121" s="6"/>
      <c r="AJ121" s="6"/>
      <c r="AK121" s="6"/>
      <c r="AL121" s="6"/>
      <c r="AM121" s="6"/>
      <c r="AN121" s="6"/>
      <c r="AQ121" s="147"/>
      <c r="AR121" s="147"/>
      <c r="AW121" s="147"/>
      <c r="AX121" s="147"/>
    </row>
    <row r="122" spans="1:58">
      <c r="N122" s="4"/>
      <c r="X122" s="213"/>
      <c r="AA122" s="4"/>
      <c r="AC122" s="4"/>
      <c r="AF122" s="213"/>
      <c r="AG122" s="213"/>
      <c r="AH122" s="6"/>
      <c r="AI122" s="6"/>
      <c r="AJ122" s="6"/>
      <c r="AK122" s="6"/>
      <c r="AL122" s="6"/>
      <c r="AM122" s="6"/>
      <c r="AN122" s="6"/>
      <c r="AQ122" s="147"/>
      <c r="AR122" s="147"/>
      <c r="AW122" s="147"/>
      <c r="AX122" s="147"/>
    </row>
    <row r="123" spans="1:58">
      <c r="N123" s="4"/>
      <c r="X123" s="213"/>
      <c r="Z123" s="6"/>
      <c r="AA123" s="6"/>
      <c r="AB123" s="6"/>
      <c r="AC123" s="6"/>
      <c r="AD123" s="6"/>
      <c r="AE123" s="6"/>
      <c r="AH123" s="147"/>
      <c r="AI123" s="147"/>
      <c r="AJ123" s="147"/>
      <c r="AO123" s="147"/>
      <c r="AP123" s="147"/>
    </row>
    <row r="124" spans="1:58">
      <c r="N124" s="4"/>
      <c r="X124" s="213"/>
      <c r="Z124" s="6"/>
      <c r="AA124" s="6"/>
      <c r="AB124" s="6"/>
      <c r="AC124" s="6"/>
      <c r="AD124" s="6"/>
      <c r="AE124" s="6"/>
      <c r="AH124" s="147"/>
      <c r="AI124" s="147"/>
      <c r="AJ124" s="147"/>
      <c r="AO124" s="147"/>
      <c r="AP124" s="147"/>
    </row>
    <row r="125" spans="1:58">
      <c r="N125" s="4"/>
      <c r="X125" s="213"/>
      <c r="AD125" s="6"/>
      <c r="AE125" s="6"/>
      <c r="AH125" s="147"/>
      <c r="AI125" s="147"/>
      <c r="AJ125" s="147"/>
      <c r="AO125" s="147"/>
      <c r="AP125" s="147"/>
    </row>
    <row r="126" spans="1:58">
      <c r="N126" s="4"/>
      <c r="X126" s="4"/>
    </row>
    <row r="127" spans="1:58">
      <c r="N127" s="4"/>
      <c r="X127" s="4"/>
    </row>
    <row r="128" spans="1:58">
      <c r="N128" s="4"/>
    </row>
    <row r="129" spans="1:58">
      <c r="N129" s="4"/>
      <c r="W129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57"/>
    <protectedRange name="Repaso y reproceso_2" sqref="V42:W45"/>
    <protectedRange name="Produccion Harinas_2" sqref="C42:U45"/>
    <protectedRange name="Produccion otros productos_2" sqref="X42:AC45"/>
    <protectedRange name="Datos basculas_2" sqref="AW42:BB45"/>
    <protectedRange name="Horas_2" sqref="AN42:AP45"/>
    <protectedRange name="Fecha_2" sqref="B42:B45"/>
    <protectedRange name="Produccion Harinas" sqref="T5:U8 D5:R8 C9:U35"/>
    <protectedRange name="Datos energia" sqref="H544 G55:H56"/>
    <protectedRange name="Formulas trigo" sqref="H87:J98 D93:F93 H82:J85 D112:F116 H102:J116"/>
    <protectedRange name="Produccion otros productos" sqref="X5:Z8 Z4 AC15 X9:AC13 AB16:AC35 X14:AA35 AB14:AC14"/>
    <protectedRange name="Formulas vitamina" sqref="Z75:AB75"/>
    <protectedRange name="Datos basculas" sqref="AW4:BB35"/>
    <protectedRange name="Horas" sqref="AN4:AP35"/>
    <protectedRange name="Datos Nomina" sqref="O56:Q56"/>
    <protectedRange name="Fecha" sqref="B24:B35"/>
    <protectedRange name="Trigos" sqref="D80:E80 H80:M80"/>
    <protectedRange name="Formulas trigo_3" sqref="H99:J99"/>
    <protectedRange name="Formulas trigo_5" sqref="H100:J101"/>
    <protectedRange name="Datos basculas_4_2_1_2" sqref="BD4:BE5 BC4:BC7"/>
    <protectedRange name="Datos energia_2" sqref="G54:H54"/>
    <protectedRange name="Repaso y reproceso_3" sqref="V4:W4"/>
    <protectedRange name="Produccion Harinas_4" sqref="D4:Q4"/>
    <protectedRange name="Produccion otros productos_3" sqref="X4:Y4"/>
    <protectedRange name="Produccion Harinas_3_1" sqref="R4 T4:U4"/>
    <protectedRange name="Formulas trigo_1" sqref="G82:G85 G112:G116 G87:G93 G108:G109"/>
    <protectedRange name="Formulas trigo_1_2_6_1" sqref="G86"/>
    <protectedRange name="Produccion Harinas_3" sqref="C4:C8"/>
    <protectedRange name="Produccion Harinas_6" sqref="S4:S8"/>
    <protectedRange name="Produccion otros productos_4" sqref="AA4:AC8"/>
    <protectedRange name="Datos energia_1" sqref="G53:H53"/>
    <protectedRange name="Fecha_1" sqref="B4:B23"/>
    <protectedRange name="Formulas trigo_2" sqref="F82:F85 D87:F92 D108:F109"/>
    <protectedRange name="Formulas trigo_1_3_1" sqref="D82:D85"/>
    <protectedRange name="Formulas trigo_1_8_1" sqref="E86"/>
    <protectedRange name="Formulas trigo_1_2_6_2" sqref="F86"/>
    <protectedRange name="Formulas trigo_4" sqref="D102:F107 D96:F97 D110:F111"/>
    <protectedRange name="Formulas trigo_1_4_1" sqref="E99"/>
    <protectedRange name="Formulas trigo_1_2_2_2" sqref="F99"/>
    <protectedRange name="Formulas trigo_1_3_2_1" sqref="D99"/>
    <protectedRange name="Formulas trigo_1_6_1" sqref="E100:E101"/>
    <protectedRange name="Formulas trigo_1_2_4_2" sqref="F100:F101"/>
    <protectedRange name="Formulas trigo_1_3_4_1" sqref="D100:D101"/>
    <protectedRange name="Formulas trigo_1_1" sqref="G94:G101 G104:G107 G110:G111"/>
    <protectedRange name="Formulas trigo_1_2_2_1_1" sqref="G102"/>
    <protectedRange name="Formulas trigo_1_2_4_1_1" sqref="G103"/>
    <protectedRange name="Formulas trigo_2_1" sqref="D98:F98"/>
    <protectedRange name="Formulas trigo_4_1" sqref="D94:F95"/>
  </protectedRanges>
  <mergeCells>
    <mergeCell ref="B1:W1"/>
    <mergeCell ref="AH1:AM1"/>
    <mergeCell ref="AN1:AX1"/>
    <mergeCell ref="B2:Q2"/>
    <mergeCell ref="R2:T2"/>
    <mergeCell ref="V2:W2"/>
    <mergeCell ref="X2:Z2"/>
    <mergeCell ref="AA2:AC2"/>
    <mergeCell ref="AF2:AM2"/>
    <mergeCell ref="AN2:AP2"/>
    <mergeCell ref="AE48:AF48"/>
    <mergeCell ref="AQ2:AU2"/>
    <mergeCell ref="AW2:BF2"/>
    <mergeCell ref="AW4:AW33"/>
    <mergeCell ref="AX4:AX33"/>
    <mergeCell ref="AY4:AY33"/>
    <mergeCell ref="AZ4:AZ33"/>
    <mergeCell ref="BA4:BA33"/>
    <mergeCell ref="BB4:BB33"/>
    <mergeCell ref="BC4:BC33"/>
    <mergeCell ref="BD4:BD33"/>
    <mergeCell ref="BE4:BE33"/>
    <mergeCell ref="BF4:BF33"/>
    <mergeCell ref="AD38:AE38"/>
    <mergeCell ref="AE39:AF39"/>
    <mergeCell ref="AD47:AE47"/>
    <mergeCell ref="R49:U49"/>
    <mergeCell ref="F50:G50"/>
    <mergeCell ref="K50:L50"/>
    <mergeCell ref="O50:P50"/>
    <mergeCell ref="S50:T50"/>
    <mergeCell ref="A49:B49"/>
    <mergeCell ref="C49:C50"/>
    <mergeCell ref="F49:H49"/>
    <mergeCell ref="K49:M49"/>
    <mergeCell ref="O49:Q49"/>
    <mergeCell ref="V50:W50"/>
    <mergeCell ref="F51:G51"/>
    <mergeCell ref="K51:L51"/>
    <mergeCell ref="O51:P51"/>
    <mergeCell ref="S51:T51"/>
    <mergeCell ref="V51:W51"/>
    <mergeCell ref="G53:H53"/>
    <mergeCell ref="K53:L53"/>
    <mergeCell ref="O53:P53"/>
    <mergeCell ref="S53:T53"/>
    <mergeCell ref="V53:W53"/>
    <mergeCell ref="F52:G52"/>
    <mergeCell ref="K52:L52"/>
    <mergeCell ref="O52:P52"/>
    <mergeCell ref="S52:T52"/>
    <mergeCell ref="V52:W52"/>
    <mergeCell ref="G55:H55"/>
    <mergeCell ref="K55:L55"/>
    <mergeCell ref="O55:P55"/>
    <mergeCell ref="S55:T55"/>
    <mergeCell ref="V55:W55"/>
    <mergeCell ref="G54:I54"/>
    <mergeCell ref="K54:L54"/>
    <mergeCell ref="O54:P54"/>
    <mergeCell ref="S54:T54"/>
    <mergeCell ref="V54:W54"/>
    <mergeCell ref="F65:H65"/>
    <mergeCell ref="U65:V65"/>
    <mergeCell ref="G56:H56"/>
    <mergeCell ref="F57:G57"/>
    <mergeCell ref="K57:O57"/>
    <mergeCell ref="G60:H60"/>
    <mergeCell ref="T60:V60"/>
    <mergeCell ref="U61:V61"/>
    <mergeCell ref="F62:H62"/>
    <mergeCell ref="K62:O62"/>
    <mergeCell ref="U62:V62"/>
    <mergeCell ref="F63:G63"/>
    <mergeCell ref="T64:V64"/>
    <mergeCell ref="F70:G70"/>
    <mergeCell ref="V71:V72"/>
    <mergeCell ref="F66:G66"/>
    <mergeCell ref="U66:V66"/>
    <mergeCell ref="U67:V67"/>
    <mergeCell ref="G68:H68"/>
    <mergeCell ref="U68:V68"/>
    <mergeCell ref="G69:H69"/>
    <mergeCell ref="M69:O69"/>
  </mergeCells>
  <conditionalFormatting sqref="I55">
    <cfRule type="cellIs" dxfId="0" priority="4" operator="lessThan" stopIfTrue="1">
      <formula>0.935</formula>
    </cfRule>
  </conditionalFormatting>
  <conditionalFormatting sqref="AF3">
    <cfRule type="cellIs" dxfId="1" priority="3" operator="lessThan" stopIfTrue="1">
      <formula>0.76</formula>
    </cfRule>
  </conditionalFormatting>
  <conditionalFormatting sqref="AF4:AF35">
    <cfRule type="cellIs" dxfId="2" priority="5" operator="lessThan" stopIfTrue="1">
      <formula>0.765</formula>
    </cfRule>
  </conditionalFormatting>
  <conditionalFormatting sqref="AF36 AE76:AE77 AE79:AE91 Z92:AC117 AG118:AI119 AK118:AK119 AH120:AI122 AK120:AL122 Z123:AC124">
    <cfRule type="cellIs" dxfId="1" priority="6" operator="lessThan" stopIfTrue="1">
      <formula>0.76</formula>
    </cfRule>
  </conditionalFormatting>
  <conditionalFormatting sqref="AF42:AF45">
    <cfRule type="cellIs" dxfId="2" priority="1" operator="lessThan" stopIfTrue="1">
      <formula>0.765</formula>
    </cfRule>
  </conditionalFormatting>
  <conditionalFormatting sqref="AH1:AI1 AJ118:AJ122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29"/>
  <sheetViews>
    <sheetView tabSelected="0" workbookViewId="0" showGridLines="true" showRowColHeaders="1">
      <selection activeCell="A1" sqref="A1"/>
    </sheetView>
  </sheetViews>
  <sheetFormatPr defaultRowHeight="14.4" defaultColWidth="14.42578125" outlineLevelRow="0" outlineLevelCol="0"/>
  <cols>
    <col min="1" max="1" width="11.5703125" customWidth="true" style="1"/>
    <col min="2" max="2" width="16.5703125" customWidth="true" style="1"/>
    <col min="3" max="3" width="13.42578125" customWidth="true" style="1"/>
    <col min="4" max="4" width="10.570312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3.42578125" customWidth="true" style="1"/>
    <col min="10" max="10" width="12.28515625" customWidth="true" style="1"/>
    <col min="11" max="11" width="11.42578125" customWidth="true" style="1"/>
    <col min="12" max="12" width="10.7109375" customWidth="true" style="1"/>
    <col min="13" max="13" width="8.28515625" customWidth="true" style="1"/>
    <col min="14" max="14" width="12.28515625" customWidth="true" style="1"/>
    <col min="15" max="15" width="12" customWidth="true" style="1"/>
    <col min="16" max="16" width="12" customWidth="true" style="1"/>
    <col min="17" max="17" width="10.28515625" customWidth="true" style="1"/>
    <col min="18" max="18" width="13.42578125" customWidth="true" style="1"/>
    <col min="19" max="19" width="10.5703125" customWidth="true" style="1"/>
    <col min="20" max="20" width="12.28515625" customWidth="true" style="1"/>
    <col min="21" max="21" width="11.42578125" customWidth="true" style="1"/>
    <col min="22" max="22" width="8.28515625" customWidth="true" style="1"/>
    <col min="23" max="23" width="10.28515625" customWidth="true" style="1"/>
    <col min="24" max="24" width="13.42578125" customWidth="true" style="1"/>
    <col min="25" max="25" width="9.42578125" customWidth="true" style="1"/>
    <col min="26" max="26" width="7.5703125" customWidth="true" style="1"/>
    <col min="27" max="27" width="9.5703125" customWidth="true" style="1"/>
    <col min="28" max="28" width="9.5703125" customWidth="true" style="1"/>
    <col min="29" max="29" width="11.7109375" customWidth="true" style="1"/>
    <col min="30" max="30" width="10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0.5703125" customWidth="true" style="1"/>
    <col min="51" max="51" width="11.42578125" customWidth="true" style="1"/>
    <col min="52" max="52" width="8.28515625" customWidth="true" style="1"/>
    <col min="53" max="53" width="12" customWidth="true" style="1"/>
    <col min="54" max="54" width="12" customWidth="true" style="1"/>
    <col min="55" max="55" width="12" customWidth="true" style="1"/>
    <col min="56" max="56" width="14.42578125" style="1"/>
  </cols>
  <sheetData>
    <row r="1" spans="1:58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8" customHeight="1" ht="18.75">
      <c r="B2" s="701" t="s">
        <v>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2"/>
      <c r="Q2" s="703"/>
      <c r="R2" s="704" t="s">
        <v>4</v>
      </c>
      <c r="S2" s="705"/>
      <c r="T2" s="706"/>
      <c r="U2" s="416" t="s">
        <v>5</v>
      </c>
      <c r="V2" s="704" t="s">
        <v>6</v>
      </c>
      <c r="W2" s="707"/>
      <c r="X2" s="708" t="s">
        <v>7</v>
      </c>
      <c r="Y2" s="708"/>
      <c r="Z2" s="708"/>
      <c r="AA2" s="709" t="s">
        <v>8</v>
      </c>
      <c r="AB2" s="709"/>
      <c r="AC2" s="709"/>
      <c r="AD2" s="6"/>
      <c r="AE2" s="6"/>
      <c r="AF2" s="710" t="s">
        <v>9</v>
      </c>
      <c r="AG2" s="710"/>
      <c r="AH2" s="710"/>
      <c r="AI2" s="710"/>
      <c r="AJ2" s="710"/>
      <c r="AK2" s="710"/>
      <c r="AL2" s="710"/>
      <c r="AM2" s="710"/>
      <c r="AN2" s="711" t="s">
        <v>10</v>
      </c>
      <c r="AO2" s="711"/>
      <c r="AP2" s="711"/>
      <c r="AQ2" s="712" t="s">
        <v>11</v>
      </c>
      <c r="AR2" s="712"/>
      <c r="AS2" s="712"/>
      <c r="AT2" s="712"/>
      <c r="AU2" s="712"/>
      <c r="AV2" s="471" t="s">
        <v>12</v>
      </c>
      <c r="AW2" s="712" t="s">
        <v>13</v>
      </c>
      <c r="AX2" s="712"/>
      <c r="AY2" s="712"/>
      <c r="AZ2" s="712"/>
      <c r="BA2" s="712"/>
      <c r="BB2" s="712"/>
      <c r="BC2" s="712"/>
      <c r="BD2" s="712"/>
      <c r="BE2" s="712"/>
      <c r="BF2" s="712"/>
    </row>
    <row r="3" spans="1:58" customHeight="1" ht="53.25" s="40" customFormat="1">
      <c r="A3" s="8" t="s">
        <v>14</v>
      </c>
      <c r="B3" s="333" t="s">
        <v>15</v>
      </c>
      <c r="C3" s="566" t="s">
        <v>16</v>
      </c>
      <c r="D3" s="567" t="s">
        <v>17</v>
      </c>
      <c r="E3" s="549" t="s">
        <v>18</v>
      </c>
      <c r="F3" s="550" t="s">
        <v>19</v>
      </c>
      <c r="G3" s="551" t="s">
        <v>20</v>
      </c>
      <c r="H3" s="552" t="s">
        <v>21</v>
      </c>
      <c r="I3" s="553" t="s">
        <v>22</v>
      </c>
      <c r="J3" s="553" t="s">
        <v>23</v>
      </c>
      <c r="K3" s="554" t="s">
        <v>24</v>
      </c>
      <c r="L3" s="554" t="s">
        <v>25</v>
      </c>
      <c r="M3" s="555" t="s">
        <v>26</v>
      </c>
      <c r="N3" s="553" t="s">
        <v>27</v>
      </c>
      <c r="O3" s="553" t="s">
        <v>28</v>
      </c>
      <c r="P3" s="556" t="s">
        <v>29</v>
      </c>
      <c r="Q3" s="557" t="s">
        <v>30</v>
      </c>
      <c r="R3" s="409" t="s">
        <v>31</v>
      </c>
      <c r="S3" s="284" t="s">
        <v>32</v>
      </c>
      <c r="T3" s="559" t="s">
        <v>33</v>
      </c>
      <c r="U3" s="558" t="s">
        <v>34</v>
      </c>
      <c r="V3" s="405" t="s">
        <v>35</v>
      </c>
      <c r="W3" s="562" t="s">
        <v>36</v>
      </c>
      <c r="X3" s="560" t="s">
        <v>37</v>
      </c>
      <c r="Y3" s="561" t="s">
        <v>38</v>
      </c>
      <c r="Z3" s="565" t="s">
        <v>39</v>
      </c>
      <c r="AA3" s="563" t="s">
        <v>40</v>
      </c>
      <c r="AB3" s="334" t="s">
        <v>41</v>
      </c>
      <c r="AC3" s="564" t="s">
        <v>42</v>
      </c>
      <c r="AD3" s="27" t="s">
        <v>43</v>
      </c>
      <c r="AE3" s="27" t="s">
        <v>44</v>
      </c>
      <c r="AF3" s="335" t="s">
        <v>45</v>
      </c>
      <c r="AG3" s="336" t="s">
        <v>46</v>
      </c>
      <c r="AH3" s="337" t="str">
        <f>X3</f>
        <v>Germen 
25</v>
      </c>
      <c r="AI3" s="338" t="s">
        <v>47</v>
      </c>
      <c r="AJ3" s="337" t="str">
        <f>AA3</f>
        <v>Salvado 
25</v>
      </c>
      <c r="AK3" s="339" t="str">
        <f>AB3</f>
        <v>Mogolla 
40</v>
      </c>
      <c r="AL3" s="339" t="str">
        <f>AC3</f>
        <v>Segunda  
50</v>
      </c>
      <c r="AM3" s="340" t="str">
        <f>B3</f>
        <v>Fecha</v>
      </c>
      <c r="AN3" s="341" t="s">
        <v>48</v>
      </c>
      <c r="AO3" s="342" t="s">
        <v>49</v>
      </c>
      <c r="AP3" s="342" t="s">
        <v>50</v>
      </c>
      <c r="AQ3" s="343" t="s">
        <v>51</v>
      </c>
      <c r="AR3" s="344" t="s">
        <v>52</v>
      </c>
      <c r="AS3" s="344" t="s">
        <v>53</v>
      </c>
      <c r="AT3" s="344" t="s">
        <v>54</v>
      </c>
      <c r="AU3" s="344" t="s">
        <v>55</v>
      </c>
      <c r="AV3" s="343" t="s">
        <v>56</v>
      </c>
      <c r="AW3" s="345" t="s">
        <v>57</v>
      </c>
      <c r="AX3" s="345" t="s">
        <v>58</v>
      </c>
      <c r="AY3" s="345" t="s">
        <v>59</v>
      </c>
      <c r="AZ3" s="345" t="s">
        <v>60</v>
      </c>
      <c r="BA3" s="346" t="s">
        <v>61</v>
      </c>
      <c r="BB3" s="346" t="s">
        <v>62</v>
      </c>
      <c r="BC3" s="347" t="s">
        <v>63</v>
      </c>
      <c r="BD3" s="345" t="s">
        <v>64</v>
      </c>
      <c r="BE3" s="348" t="s">
        <v>65</v>
      </c>
      <c r="BF3" s="349" t="s">
        <v>66</v>
      </c>
    </row>
    <row r="4" spans="1:58" customHeight="1" ht="13.9">
      <c r="A4" s="485" t="str">
        <f>IF(B4="","",1)</f>
        <v/>
      </c>
      <c r="B4" s="42"/>
      <c r="C4" s="43"/>
      <c r="D4" s="526"/>
      <c r="E4" s="527"/>
      <c r="F4" s="241"/>
      <c r="G4" s="528"/>
      <c r="H4" s="44"/>
      <c r="I4" s="48"/>
      <c r="J4" s="48"/>
      <c r="K4" s="44"/>
      <c r="L4" s="493"/>
      <c r="M4" s="493"/>
      <c r="N4" s="244"/>
      <c r="O4" s="244"/>
      <c r="P4" s="465"/>
      <c r="Q4" s="529"/>
      <c r="R4" s="497"/>
      <c r="S4" s="275"/>
      <c r="T4" s="241"/>
      <c r="U4" s="450"/>
      <c r="V4" s="406"/>
      <c r="W4" s="241"/>
      <c r="X4" s="451"/>
      <c r="Y4" s="52"/>
      <c r="Z4" s="530"/>
      <c r="AA4" s="280"/>
      <c r="AB4" s="53"/>
      <c r="AC4" s="54"/>
      <c r="AD4" s="55" t="str">
        <f>IF(B4="","",(((C4+F4+H4+K4+Q4+N4+O4)*50))+((E4*10))+(((I4+J4+D4+G4+L4+M4+U4)*25)+(X4*25)+(Y4*25)+(Z4*25)+(AA4*25)+(AB4*40)+(AC4*50)+(R4*1)+(S4*1)+(T4*1)))</f>
        <v/>
      </c>
      <c r="AE4" s="55" t="str">
        <f>IF(B4="","",C4+F4+H4+K4+Q4+N4+O4+((I4+J4+D4+G4)/2)+(R4/50)+(S4/50)+(T4/50)+(U4/2)+(E4/5))</f>
        <v/>
      </c>
      <c r="AF4" s="56" t="str">
        <f>IF(B4="","",((AE4*50)/AD4))</f>
        <v/>
      </c>
      <c r="AG4" s="57" t="str">
        <f>IF(C4="","",((Z4)*25)/AD4)</f>
        <v/>
      </c>
      <c r="AH4" s="57" t="str">
        <f>IF(B4="","",(X4*25)/AD4)</f>
        <v/>
      </c>
      <c r="AI4" s="57" t="str">
        <f>IF(B4="","",(Y4*25)/AD4)</f>
        <v/>
      </c>
      <c r="AJ4" s="57" t="str">
        <f>IF(B4="","",(AA4*25)/AD4)</f>
        <v/>
      </c>
      <c r="AK4" s="58" t="str">
        <f>IF(B4="","",(AB4*40)/AD4)</f>
        <v/>
      </c>
      <c r="AL4" s="58" t="str">
        <f>IF(B4="","",(AC4*50)/AD4)</f>
        <v/>
      </c>
      <c r="AM4" s="59" t="str">
        <f>IF(B4="","",B4)</f>
        <v/>
      </c>
      <c r="AN4" s="235"/>
      <c r="AO4" s="61"/>
      <c r="AP4" s="236"/>
      <c r="AQ4" s="63" t="str">
        <f>IF(AN4="","",AN4/AO4)</f>
        <v/>
      </c>
      <c r="AR4" s="64" t="str">
        <f>IF(AN4="","",(AD4/AN4)/1000)</f>
        <v/>
      </c>
      <c r="AS4" s="64" t="str">
        <f>IF(AN4="","",AR4*24)</f>
        <v/>
      </c>
      <c r="AT4" s="65" t="str">
        <f>IF(AN4="","",(AD4/1000)*100%/AS4)</f>
        <v/>
      </c>
      <c r="AU4" s="64" t="str">
        <f>IF(AN4="","",(AE4/AN4))</f>
        <v/>
      </c>
      <c r="AV4" s="229" t="str">
        <f>IF(AN4="","",(AD4/AO4)/1000)</f>
        <v/>
      </c>
      <c r="AW4" s="713"/>
      <c r="AX4" s="713"/>
      <c r="AY4" s="713"/>
      <c r="AZ4" s="722"/>
      <c r="BA4" s="713"/>
      <c r="BB4" s="724"/>
      <c r="BC4" s="726"/>
      <c r="BD4" s="726"/>
      <c r="BE4" s="726"/>
      <c r="BF4" s="728"/>
    </row>
    <row r="5" spans="1:58" customHeight="1" ht="13.9">
      <c r="A5" s="485" t="str">
        <f>IF(B5="","",2)</f>
        <v/>
      </c>
      <c r="B5" s="68"/>
      <c r="C5" s="69"/>
      <c r="D5" s="70"/>
      <c r="E5" s="76"/>
      <c r="F5" s="70"/>
      <c r="G5" s="76"/>
      <c r="H5" s="70"/>
      <c r="I5" s="75"/>
      <c r="J5" s="75"/>
      <c r="K5" s="70"/>
      <c r="L5" s="494"/>
      <c r="M5" s="494"/>
      <c r="N5" s="76"/>
      <c r="O5" s="248"/>
      <c r="P5" s="466"/>
      <c r="Q5" s="412"/>
      <c r="R5" s="410"/>
      <c r="S5" s="277"/>
      <c r="T5" s="401"/>
      <c r="U5" s="407"/>
      <c r="V5" s="249"/>
      <c r="W5" s="401"/>
      <c r="X5" s="278"/>
      <c r="Y5" s="78"/>
      <c r="Z5" s="403"/>
      <c r="AA5" s="281"/>
      <c r="AB5" s="79"/>
      <c r="AC5" s="80"/>
      <c r="AD5" s="55" t="str">
        <f>IF(B5="","",(((C5+F5+H5+K5+Q5+N5+O5)*50))+((E5*10))+(((I5+J5+D5+G5+L5+M5+U5)*25)+(X5*25)+(Y5*25)+(Z5*25)+(AA5*25)+(AB5*40)+(AC5*50)+(R5*1)+(S5*1)+(T5*1)))</f>
        <v/>
      </c>
      <c r="AE5" s="55" t="str">
        <f>IF(B5="","",C5+F5+H5+K5+Q5+N5+O5+((I5+J5+D5+G5+U5)/2)+(R5/50)+(S5/50)+(T5/50)+(E5/5))</f>
        <v/>
      </c>
      <c r="AF5" s="56" t="str">
        <f>IF(B5="","",((AE5*50)/AD5))</f>
        <v/>
      </c>
      <c r="AG5" s="57" t="str">
        <f>IF(C5="","",((Z5)*25)/AD5)</f>
        <v/>
      </c>
      <c r="AH5" s="57" t="str">
        <f>IF(B5="","",(X5*25)/AD5)</f>
        <v/>
      </c>
      <c r="AI5" s="57" t="str">
        <f>IF(B5="","",(Y5*25)/AD5)</f>
        <v/>
      </c>
      <c r="AJ5" s="57" t="str">
        <f>IF(B5="","",(AA5*25)/AD5)</f>
        <v/>
      </c>
      <c r="AK5" s="58" t="str">
        <f>IF(B5="","",(AB5*40)/AD5)</f>
        <v/>
      </c>
      <c r="AL5" s="58" t="str">
        <f>IF(B5="","",(AC5*50)/AD5)</f>
        <v/>
      </c>
      <c r="AM5" s="59" t="str">
        <f>IF(B5="","",B5)</f>
        <v/>
      </c>
      <c r="AN5" s="233"/>
      <c r="AO5" s="82"/>
      <c r="AP5" s="234"/>
      <c r="AQ5" s="63" t="str">
        <f>IF(AN5="","",AN5/AO5)</f>
        <v/>
      </c>
      <c r="AR5" s="64" t="str">
        <f>IF(AN5="","",(AD5/AN5)/1000)</f>
        <v/>
      </c>
      <c r="AS5" s="64" t="str">
        <f>IF(AN5="","",AR5*24)</f>
        <v/>
      </c>
      <c r="AT5" s="65" t="str">
        <f>IF(AN5="","",(AD5/1000)*100%/AS5)</f>
        <v/>
      </c>
      <c r="AU5" s="64" t="str">
        <f>IF(AN5="","",(AE5/AN5))</f>
        <v/>
      </c>
      <c r="AV5" s="229" t="str">
        <f>IF(AN5="","",(AD5/AO5)/1000)</f>
        <v/>
      </c>
      <c r="AW5" s="714"/>
      <c r="AX5" s="714"/>
      <c r="AY5" s="714"/>
      <c r="AZ5" s="723"/>
      <c r="BA5" s="714"/>
      <c r="BB5" s="725"/>
      <c r="BC5" s="727"/>
      <c r="BD5" s="727"/>
      <c r="BE5" s="727"/>
      <c r="BF5" s="729"/>
    </row>
    <row r="6" spans="1:58" customHeight="1" ht="13.9">
      <c r="A6" s="485" t="str">
        <f>IF(B6="","",3)</f>
        <v/>
      </c>
      <c r="B6" s="68"/>
      <c r="C6" s="69"/>
      <c r="D6" s="70"/>
      <c r="E6" s="76"/>
      <c r="F6" s="70"/>
      <c r="G6" s="76"/>
      <c r="H6" s="70"/>
      <c r="I6" s="491"/>
      <c r="J6" s="491"/>
      <c r="K6" s="70"/>
      <c r="L6" s="494"/>
      <c r="M6" s="494"/>
      <c r="N6" s="76"/>
      <c r="O6" s="76"/>
      <c r="P6" s="467"/>
      <c r="Q6" s="412"/>
      <c r="R6" s="410"/>
      <c r="S6" s="276"/>
      <c r="T6" s="401"/>
      <c r="U6" s="407"/>
      <c r="V6" s="249"/>
      <c r="W6" s="401"/>
      <c r="X6" s="278"/>
      <c r="Y6" s="78"/>
      <c r="Z6" s="403"/>
      <c r="AA6" s="281"/>
      <c r="AB6" s="79"/>
      <c r="AC6" s="85"/>
      <c r="AD6" s="55" t="str">
        <f>IF(B6="","",(((C6+F6+H6+K6+Q6+N6+O6)*50))+((E6*10))+(((I6+J6+D6+G6+L6+M6+U6)*25)+(X6*25)+(Y6*25)+(Z6*25)+(AA6*25)+(AB6*40)+(AC6*50)+(R6*1)+(S6*1)+(T6*1)))</f>
        <v/>
      </c>
      <c r="AE6" s="55" t="str">
        <f>IF(B6="","",C6+F6+H6+K6+Q6+N6+O6+((I6+J6+D6+G6+U6)/2)+(R6/50)+(S6/50)+(T6/50)+(E6/5))</f>
        <v/>
      </c>
      <c r="AF6" s="56" t="str">
        <f>IF(B6="","",((AE6*50)/AD6))</f>
        <v/>
      </c>
      <c r="AG6" s="57" t="str">
        <f>IF(C6="","",((Z6)*25)/AD6)</f>
        <v/>
      </c>
      <c r="AH6" s="57" t="str">
        <f>IF(B6="","",(X6*25)/AD6)</f>
        <v/>
      </c>
      <c r="AI6" s="57" t="str">
        <f>IF(B6="","",(Y6*25)/AD6)</f>
        <v/>
      </c>
      <c r="AJ6" s="57" t="str">
        <f>IF(B6="","",(AA6*25)/AD6)</f>
        <v/>
      </c>
      <c r="AK6" s="58" t="str">
        <f>IF(B6="","",(AB6*40)/AD6)</f>
        <v/>
      </c>
      <c r="AL6" s="58" t="str">
        <f>IF(B6="","",(AC6*50)/AD6)</f>
        <v/>
      </c>
      <c r="AM6" s="59" t="str">
        <f>IF(B6="","",B6)</f>
        <v/>
      </c>
      <c r="AN6" s="233"/>
      <c r="AO6" s="82"/>
      <c r="AP6" s="234"/>
      <c r="AQ6" s="63" t="str">
        <f>IF(AN6="","",AN6/AO6)</f>
        <v/>
      </c>
      <c r="AR6" s="64" t="str">
        <f>IF(AN6="","",(AD6/AN6)/1000)</f>
        <v/>
      </c>
      <c r="AS6" s="64" t="str">
        <f>IF(AN6="","",AR6*24)</f>
        <v/>
      </c>
      <c r="AT6" s="65" t="str">
        <f>IF(AN6="","",(AD6/1000)*100%/AS6)</f>
        <v/>
      </c>
      <c r="AU6" s="64" t="str">
        <f>IF(AN6="","",(AE6/AN6))</f>
        <v/>
      </c>
      <c r="AV6" s="229" t="str">
        <f>IF(AN6="","",(AD6/AO6)/1000)</f>
        <v/>
      </c>
      <c r="AW6" s="714"/>
      <c r="AX6" s="714"/>
      <c r="AY6" s="714"/>
      <c r="AZ6" s="723"/>
      <c r="BA6" s="714"/>
      <c r="BB6" s="725"/>
      <c r="BC6" s="727"/>
      <c r="BD6" s="727"/>
      <c r="BE6" s="727"/>
      <c r="BF6" s="729"/>
    </row>
    <row r="7" spans="1:58" customHeight="1" ht="13.9">
      <c r="A7" s="485" t="str">
        <f>IF(B7="","",4)</f>
        <v/>
      </c>
      <c r="B7" s="68"/>
      <c r="C7" s="69"/>
      <c r="D7" s="70"/>
      <c r="E7" s="76"/>
      <c r="F7" s="70"/>
      <c r="G7" s="76"/>
      <c r="H7" s="70"/>
      <c r="I7" s="414"/>
      <c r="J7" s="414"/>
      <c r="K7" s="70"/>
      <c r="L7" s="494"/>
      <c r="M7" s="494"/>
      <c r="N7" s="76"/>
      <c r="O7" s="76"/>
      <c r="P7" s="467"/>
      <c r="Q7" s="412"/>
      <c r="R7" s="410"/>
      <c r="S7" s="274"/>
      <c r="T7" s="401"/>
      <c r="U7" s="407"/>
      <c r="V7" s="249"/>
      <c r="W7" s="401"/>
      <c r="X7" s="278"/>
      <c r="Y7" s="78"/>
      <c r="Z7" s="403"/>
      <c r="AA7" s="281"/>
      <c r="AB7" s="79"/>
      <c r="AC7" s="85"/>
      <c r="AD7" s="55" t="str">
        <f>IF(B7="","",(((C7+F7+H7+K7+Q7+N7+O7)*50))+((E7*10))+(((I7+J7+D7+G7+L7+M7+U7)*25)+(X7*25)+(Y7*25)+(Z7*25)+(AA7*25)+(AB7*40)+(AC7*50)+(R7*1)+(S7*1)+(T7*1)))</f>
        <v/>
      </c>
      <c r="AE7" s="55" t="str">
        <f>IF(B7="","",C7+F7+H7+K7+Q7+N7+O7+((I7+J7+D7+G7+U7)/2)+(R7/50)+(S7/50)+(T7/50)+(E7/5))</f>
        <v/>
      </c>
      <c r="AF7" s="56" t="str">
        <f>IF(B7="","",((AE7*50)/AD7))</f>
        <v/>
      </c>
      <c r="AG7" s="57" t="str">
        <f>IF(C7="","",((Z7)*25)/AD7)</f>
        <v/>
      </c>
      <c r="AH7" s="57" t="str">
        <f>IF(B7="","",(X7*25)/AD7)</f>
        <v/>
      </c>
      <c r="AI7" s="57" t="str">
        <f>IF(B7="","",(Y7*25)/AD7)</f>
        <v/>
      </c>
      <c r="AJ7" s="57" t="str">
        <f>IF(B7="","",(AA7*25)/AD7)</f>
        <v/>
      </c>
      <c r="AK7" s="58" t="str">
        <f>IF(B7="","",(AB7*40)/AD7)</f>
        <v/>
      </c>
      <c r="AL7" s="58" t="str">
        <f>IF(B7="","",(AC7*50)/AD7)</f>
        <v/>
      </c>
      <c r="AM7" s="59" t="str">
        <f>IF(B7="","",B7)</f>
        <v/>
      </c>
      <c r="AN7" s="233"/>
      <c r="AO7" s="82"/>
      <c r="AP7" s="234"/>
      <c r="AQ7" s="63" t="str">
        <f>IF(AN7="","",AN7/AO7)</f>
        <v/>
      </c>
      <c r="AR7" s="64" t="str">
        <f>IF(AN7="","",(AD7/AN7)/1000)</f>
        <v/>
      </c>
      <c r="AS7" s="64" t="str">
        <f>IF(AN7="","",AR7*24)</f>
        <v/>
      </c>
      <c r="AT7" s="65" t="str">
        <f>IF(AN7="","",(AD7/1000)*100%/AS7)</f>
        <v/>
      </c>
      <c r="AU7" s="64" t="str">
        <f>IF(AN7="","",(AE7/AN7))</f>
        <v/>
      </c>
      <c r="AV7" s="229" t="str">
        <f>IF(AN7="","",(AD7/AO7)/1000)</f>
        <v/>
      </c>
      <c r="AW7" s="714"/>
      <c r="AX7" s="714"/>
      <c r="AY7" s="714"/>
      <c r="AZ7" s="723"/>
      <c r="BA7" s="714"/>
      <c r="BB7" s="725"/>
      <c r="BC7" s="727"/>
      <c r="BD7" s="727"/>
      <c r="BE7" s="727"/>
      <c r="BF7" s="729"/>
    </row>
    <row r="8" spans="1:58" customHeight="1" ht="13.9">
      <c r="A8" s="485" t="str">
        <f>IF(B8="","",5)</f>
        <v/>
      </c>
      <c r="B8" s="68"/>
      <c r="C8" s="69"/>
      <c r="D8" s="70"/>
      <c r="E8" s="76"/>
      <c r="F8" s="70"/>
      <c r="G8" s="76"/>
      <c r="H8" s="70"/>
      <c r="I8" s="491"/>
      <c r="J8" s="491"/>
      <c r="K8" s="70"/>
      <c r="L8" s="494"/>
      <c r="M8" s="494"/>
      <c r="N8" s="76"/>
      <c r="O8" s="76"/>
      <c r="P8" s="467"/>
      <c r="Q8" s="412"/>
      <c r="R8" s="422"/>
      <c r="S8" s="274"/>
      <c r="T8" s="401"/>
      <c r="U8" s="407"/>
      <c r="V8" s="249"/>
      <c r="W8" s="401"/>
      <c r="X8" s="278"/>
      <c r="Y8" s="78"/>
      <c r="Z8" s="403"/>
      <c r="AA8" s="281"/>
      <c r="AB8" s="79"/>
      <c r="AC8" s="85"/>
      <c r="AD8" s="55" t="str">
        <f>IF(B8="","",(((C8+F8+H8+K8+Q8+N8+O8)*50))+((E8*10))+(((I8+J8+D8+G8+L8+M8+U8)*25)+(X8*25)+(Y8*25)+(Z8*25)+(AA8*25)+(AB8*40)+(AC8*50)+(R8*1)+(S8*1)+(T8*1)))</f>
        <v/>
      </c>
      <c r="AE8" s="55" t="str">
        <f>IF(B8="","",C8+F8+H8+K8+Q8+N8+O8+((I8+J8+D8+G8+U8)/2)+(R8/50)+(S8/50)+(T8/50)+(E8/5))</f>
        <v/>
      </c>
      <c r="AF8" s="56" t="str">
        <f>IF(B8="","",((AE8*50)/AD8))</f>
        <v/>
      </c>
      <c r="AG8" s="252" t="str">
        <f>IF(C8="","",((Z8)*25)/AD8)</f>
        <v/>
      </c>
      <c r="AH8" s="57" t="str">
        <f>IF(B8="","",(X8*25)/AD8)</f>
        <v/>
      </c>
      <c r="AI8" s="57" t="str">
        <f>IF(B8="","",(Y8*25)/AD8)</f>
        <v/>
      </c>
      <c r="AJ8" s="57" t="str">
        <f>IF(B8="","",(AA8*25)/AD8)</f>
        <v/>
      </c>
      <c r="AK8" s="58" t="str">
        <f>IF(B8="","",(AB8*40)/AD8)</f>
        <v/>
      </c>
      <c r="AL8" s="58" t="str">
        <f>IF(B8="","",(AC8*50)/AD8)</f>
        <v/>
      </c>
      <c r="AM8" s="59" t="str">
        <f>IF(B8="","",B8)</f>
        <v/>
      </c>
      <c r="AN8" s="233"/>
      <c r="AO8" s="82"/>
      <c r="AP8" s="234"/>
      <c r="AQ8" s="63" t="str">
        <f>IF(AN8="","",AN8/AO8)</f>
        <v/>
      </c>
      <c r="AR8" s="64" t="str">
        <f>IF(AN8="","",(AD8/AN8)/1000)</f>
        <v/>
      </c>
      <c r="AS8" s="64" t="str">
        <f>IF(AN8="","",AR8*24)</f>
        <v/>
      </c>
      <c r="AT8" s="65" t="str">
        <f>IF(AN8="","",(AD8/1000)*100%/AS8)</f>
        <v/>
      </c>
      <c r="AU8" s="64" t="str">
        <f>IF(AN8="","",(AE8/AN8))</f>
        <v/>
      </c>
      <c r="AV8" s="229" t="str">
        <f>IF(AN8="","",(AD8/AO8)/1000)</f>
        <v/>
      </c>
      <c r="AW8" s="714"/>
      <c r="AX8" s="714"/>
      <c r="AY8" s="714"/>
      <c r="AZ8" s="723"/>
      <c r="BA8" s="714"/>
      <c r="BB8" s="725"/>
      <c r="BC8" s="727"/>
      <c r="BD8" s="727"/>
      <c r="BE8" s="727"/>
      <c r="BF8" s="729"/>
    </row>
    <row r="9" spans="1:58" customHeight="1" ht="15">
      <c r="A9" s="485" t="str">
        <f>IF(B9="","",6)</f>
        <v/>
      </c>
      <c r="B9" s="68"/>
      <c r="C9" s="69"/>
      <c r="D9" s="70"/>
      <c r="E9" s="76"/>
      <c r="F9" s="70"/>
      <c r="G9" s="76"/>
      <c r="H9" s="70"/>
      <c r="I9" s="491"/>
      <c r="J9" s="491"/>
      <c r="K9" s="70"/>
      <c r="L9" s="494"/>
      <c r="M9" s="494"/>
      <c r="N9" s="76"/>
      <c r="O9" s="76"/>
      <c r="P9" s="467"/>
      <c r="Q9" s="412"/>
      <c r="R9" s="410"/>
      <c r="S9" s="242"/>
      <c r="T9" s="401"/>
      <c r="U9" s="407"/>
      <c r="V9" s="249"/>
      <c r="W9" s="401"/>
      <c r="X9" s="278"/>
      <c r="Y9" s="78"/>
      <c r="Z9" s="403"/>
      <c r="AA9" s="281"/>
      <c r="AB9" s="79"/>
      <c r="AC9" s="85"/>
      <c r="AD9" s="55" t="str">
        <f>IF(B9="","",(((C9+F9+H9+K9+Q9+N9+O9)*50))+((E9*10))+(((I9+J9+D9+G9+L9+M9+U9)*25)+(X9*25)+(Y9*25)+(Z9*25)+(AA9*25)+(AB9*40)+(AC9*50)+(R9*1)+(S9*1)+(T9*1)))</f>
        <v/>
      </c>
      <c r="AE9" s="55" t="str">
        <f>IF(B9="","",C9+F9+H9+K9+Q9+N9+O9+((I9+J9+D9+G9+U9)/2)+(R9/50)+(S9/50)+(T9/50)+(E9/5))</f>
        <v/>
      </c>
      <c r="AF9" s="56" t="str">
        <f>IF(B9="","",((AE9*50)/AD9))</f>
        <v/>
      </c>
      <c r="AG9" s="57" t="str">
        <f>IF(C9="","",((Z9)*25)/AD9)</f>
        <v/>
      </c>
      <c r="AH9" s="57" t="str">
        <f>IF(B9="","",(X9*25)/AD9)</f>
        <v/>
      </c>
      <c r="AI9" s="57" t="str">
        <f>IF(B9="","",(Y9*25)/AD9)</f>
        <v/>
      </c>
      <c r="AJ9" s="57" t="str">
        <f>IF(B9="","",(AA9*25)/AD9)</f>
        <v/>
      </c>
      <c r="AK9" s="58" t="str">
        <f>IF(B9="","",(AB9*40)/AD9)</f>
        <v/>
      </c>
      <c r="AL9" s="58" t="str">
        <f>IF(B9="","",(AC9*50)/AD9)</f>
        <v/>
      </c>
      <c r="AM9" s="59" t="str">
        <f>IF(B9="","",B9)</f>
        <v/>
      </c>
      <c r="AN9" s="233"/>
      <c r="AO9" s="82"/>
      <c r="AP9" s="234"/>
      <c r="AQ9" s="63" t="str">
        <f>IF(AN9="","",AN9/AO9)</f>
        <v/>
      </c>
      <c r="AR9" s="64" t="str">
        <f>IF(AN9="","",(AD9/AN9)/1000)</f>
        <v/>
      </c>
      <c r="AS9" s="64" t="str">
        <f>IF(AN9="","",AR9*24)</f>
        <v/>
      </c>
      <c r="AT9" s="65" t="str">
        <f>IF(AN9="","",(AD9/1000)*100%/AS9)</f>
        <v/>
      </c>
      <c r="AU9" s="64" t="str">
        <f>IF(AN9="","",(AE9/AN9))</f>
        <v/>
      </c>
      <c r="AV9" s="229" t="str">
        <f>IF(AN9="","",(AD9/AO9)/1000)</f>
        <v/>
      </c>
      <c r="AW9" s="714"/>
      <c r="AX9" s="714"/>
      <c r="AY9" s="714"/>
      <c r="AZ9" s="723"/>
      <c r="BA9" s="714"/>
      <c r="BB9" s="725"/>
      <c r="BC9" s="727"/>
      <c r="BD9" s="727"/>
      <c r="BE9" s="727"/>
      <c r="BF9" s="729"/>
    </row>
    <row r="10" spans="1:58" customHeight="1" ht="13.9">
      <c r="A10" s="485" t="str">
        <f>IF(B10="","",7)</f>
        <v/>
      </c>
      <c r="B10" s="68"/>
      <c r="C10" s="69"/>
      <c r="D10" s="70"/>
      <c r="E10" s="76"/>
      <c r="F10" s="70"/>
      <c r="G10" s="76"/>
      <c r="H10" s="70"/>
      <c r="I10" s="491"/>
      <c r="J10" s="491"/>
      <c r="K10" s="70"/>
      <c r="L10" s="494"/>
      <c r="M10" s="494"/>
      <c r="N10" s="76"/>
      <c r="O10" s="76"/>
      <c r="P10" s="467"/>
      <c r="Q10" s="412"/>
      <c r="R10" s="410"/>
      <c r="S10" s="242"/>
      <c r="T10" s="401"/>
      <c r="U10" s="407"/>
      <c r="V10" s="249"/>
      <c r="W10" s="401"/>
      <c r="X10" s="278"/>
      <c r="Y10" s="78"/>
      <c r="Z10" s="403"/>
      <c r="AA10" s="281"/>
      <c r="AB10" s="79"/>
      <c r="AC10" s="85"/>
      <c r="AD10" s="55" t="str">
        <f>IF(B10="","",(((C10+F10+H10+K10+Q10+N10+O10)*50))+((E10*10))+(((I10+J10+D10+G10+L10+M10+U10)*25)+(X10*25)+(Y10*25)+(Z10*25)+(AA10*25)+(AB10*40)+(AC10*50)+(R10*1)+(S10*1)+(T10*1)))</f>
        <v/>
      </c>
      <c r="AE10" s="55" t="str">
        <f>IF(B10="","",C10+F10+H10+K10+Q10+N10+O10+((I10+J10+D10+G10+U10)/2)+(R10/50)+(S10/50)+(T10/50)+(E10/5))</f>
        <v/>
      </c>
      <c r="AF10" s="56" t="str">
        <f>IF(B10="","",((AE10*50)/AD10))</f>
        <v/>
      </c>
      <c r="AG10" s="57" t="str">
        <f>IF(C10="","",((Z10)*25)/AD10)</f>
        <v/>
      </c>
      <c r="AH10" s="57" t="str">
        <f>IF(B10="","",(X10*25)/AD10)</f>
        <v/>
      </c>
      <c r="AI10" s="57" t="str">
        <f>IF(B10="","",(Y10*25)/AD10)</f>
        <v/>
      </c>
      <c r="AJ10" s="57" t="str">
        <f>IF(B10="","",(AA10*25)/AD10)</f>
        <v/>
      </c>
      <c r="AK10" s="58" t="str">
        <f>IF(B10="","",(AB10*40)/AD10)</f>
        <v/>
      </c>
      <c r="AL10" s="58" t="str">
        <f>IF(B10="","",(AC10*50)/AD10)</f>
        <v/>
      </c>
      <c r="AM10" s="59" t="str">
        <f>IF(B10="","",B10)</f>
        <v/>
      </c>
      <c r="AN10" s="233"/>
      <c r="AO10" s="82"/>
      <c r="AP10" s="234"/>
      <c r="AQ10" s="63" t="str">
        <f>IF(AN10="","",AN10/AO10)</f>
        <v/>
      </c>
      <c r="AR10" s="64" t="str">
        <f>IF(AN10="","",(AD10/AN10)/1000)</f>
        <v/>
      </c>
      <c r="AS10" s="64" t="str">
        <f>IF(AN10="","",AR10*24)</f>
        <v/>
      </c>
      <c r="AT10" s="65" t="str">
        <f>IF(AN10="","",(AD10/1000)*100%/AS10)</f>
        <v/>
      </c>
      <c r="AU10" s="64" t="str">
        <f>IF(AN10="","",(AE10/AN10))</f>
        <v/>
      </c>
      <c r="AV10" s="229" t="str">
        <f>IF(AN10="","",(AD10/AO10)/1000)</f>
        <v/>
      </c>
      <c r="AW10" s="714"/>
      <c r="AX10" s="714"/>
      <c r="AY10" s="714"/>
      <c r="AZ10" s="723"/>
      <c r="BA10" s="714"/>
      <c r="BB10" s="725"/>
      <c r="BC10" s="727"/>
      <c r="BD10" s="727"/>
      <c r="BE10" s="727"/>
      <c r="BF10" s="729"/>
    </row>
    <row r="11" spans="1:58" customHeight="1" ht="13.9">
      <c r="A11" s="485" t="str">
        <f>IF(B11="","",8)</f>
        <v/>
      </c>
      <c r="B11" s="226"/>
      <c r="C11" s="69"/>
      <c r="D11" s="70"/>
      <c r="E11" s="76"/>
      <c r="F11" s="70"/>
      <c r="G11" s="76"/>
      <c r="H11" s="70"/>
      <c r="I11" s="491"/>
      <c r="J11" s="491"/>
      <c r="K11" s="70"/>
      <c r="L11" s="494"/>
      <c r="M11" s="494"/>
      <c r="N11" s="76"/>
      <c r="O11" s="76"/>
      <c r="P11" s="467"/>
      <c r="Q11" s="412"/>
      <c r="R11" s="410"/>
      <c r="S11" s="242"/>
      <c r="T11" s="401"/>
      <c r="U11" s="407"/>
      <c r="V11" s="249"/>
      <c r="W11" s="401"/>
      <c r="X11" s="278"/>
      <c r="Y11" s="78"/>
      <c r="Z11" s="403"/>
      <c r="AA11" s="281"/>
      <c r="AB11" s="79"/>
      <c r="AC11" s="85"/>
      <c r="AD11" s="55" t="str">
        <f>IF(B11="","",(((C11+F11+H11+K11+Q11+N11+O11)*50))+((E11*10))+(((I11+J11+D11+G11+L11+M11+U11)*25)+(X11*25)+(Y11*25)+(Z11*25)+(AA11*25)+(AB11*40)+(AC11*50)+(R11*1)+(S11*1)+(T11*1)))</f>
        <v/>
      </c>
      <c r="AE11" s="55" t="str">
        <f>IF(B11="","",C11+F11+H11+K11+Q11+N11+O11+((I11+J11+D11+G11+U11+P11)/2)+(R11/50)+(S11/50)+(T11/50)+(E11/5))</f>
        <v/>
      </c>
      <c r="AF11" s="56" t="str">
        <f>IF(B11="","",((AE11*50)/AD11))</f>
        <v/>
      </c>
      <c r="AG11" s="57" t="str">
        <f>IF(C11="","",((Z11)*25)/AD11)</f>
        <v/>
      </c>
      <c r="AH11" s="57" t="str">
        <f>IF(B11="","",(X11*25)/AD11)</f>
        <v/>
      </c>
      <c r="AI11" s="57" t="str">
        <f>IF(B11="","",(Y11*25)/AD11)</f>
        <v/>
      </c>
      <c r="AJ11" s="57" t="str">
        <f>IF(B11="","",(AA11*25)/AD11)</f>
        <v/>
      </c>
      <c r="AK11" s="58" t="str">
        <f>IF(B11="","",(AB11*40)/AD11)</f>
        <v/>
      </c>
      <c r="AL11" s="58" t="str">
        <f>IF(B11="","",(AC11*50)/AD11)</f>
        <v/>
      </c>
      <c r="AM11" s="59" t="str">
        <f>IF(B11="","",B11)</f>
        <v/>
      </c>
      <c r="AN11" s="233"/>
      <c r="AO11" s="82"/>
      <c r="AP11" s="234"/>
      <c r="AQ11" s="63" t="str">
        <f>IF(AN11="","",AN11/AO11)</f>
        <v/>
      </c>
      <c r="AR11" s="64" t="str">
        <f>IF(AN11="","",(AD11/AN11)/1000)</f>
        <v/>
      </c>
      <c r="AS11" s="64" t="str">
        <f>IF(AN11="","",AR11*24)</f>
        <v/>
      </c>
      <c r="AT11" s="65" t="str">
        <f>IF(AN11="","",(AD11/1000)*100%/AS11)</f>
        <v/>
      </c>
      <c r="AU11" s="64" t="str">
        <f>IF(AN11="","",(AE11/AN11))</f>
        <v/>
      </c>
      <c r="AV11" s="229" t="str">
        <f>IF(AN11="","",(AD11/AO11)/1000)</f>
        <v/>
      </c>
      <c r="AW11" s="714"/>
      <c r="AX11" s="714"/>
      <c r="AY11" s="714"/>
      <c r="AZ11" s="723"/>
      <c r="BA11" s="714"/>
      <c r="BB11" s="725"/>
      <c r="BC11" s="727"/>
      <c r="BD11" s="727"/>
      <c r="BE11" s="727"/>
      <c r="BF11" s="729"/>
    </row>
    <row r="12" spans="1:58" customHeight="1" ht="13.9">
      <c r="A12" s="485" t="str">
        <f>IF(B12="","",9)</f>
        <v/>
      </c>
      <c r="B12" s="226"/>
      <c r="C12" s="69"/>
      <c r="D12" s="70"/>
      <c r="E12" s="76"/>
      <c r="F12" s="70"/>
      <c r="G12" s="76"/>
      <c r="H12" s="70"/>
      <c r="I12" s="491"/>
      <c r="J12" s="491"/>
      <c r="K12" s="70"/>
      <c r="L12" s="494"/>
      <c r="M12" s="494"/>
      <c r="N12" s="76"/>
      <c r="O12" s="76"/>
      <c r="P12" s="467"/>
      <c r="Q12" s="412"/>
      <c r="R12" s="410"/>
      <c r="S12" s="242"/>
      <c r="T12" s="401"/>
      <c r="U12" s="407"/>
      <c r="V12" s="249"/>
      <c r="W12" s="401"/>
      <c r="X12" s="278"/>
      <c r="Y12" s="78"/>
      <c r="Z12" s="403"/>
      <c r="AA12" s="281"/>
      <c r="AB12" s="79"/>
      <c r="AC12" s="85"/>
      <c r="AD12" s="55" t="str">
        <f>IF(B12="","",(((C12+F12+H12+K12+Q12+N12+O12)*50))+((E12*10))+(((I12+J12+D12+G12+L12+M12+U12)*25)+(X12*25)+(Y12*25)+(Z12*25)+(AA12*25)+(AB12*40)+(AC12*50)+(R12*1)+(S12*1)+(T12*1)))</f>
        <v/>
      </c>
      <c r="AE12" s="55" t="str">
        <f>IF(B12="","",C12+F12+H12+K12+Q12+N12+O12+((I12+J12+D12+G12+U12)/2)+(R12/50)+(S12/50)+(T12/50)+(E12/5))</f>
        <v/>
      </c>
      <c r="AF12" s="56" t="str">
        <f>IF(B12="","",((AE12*50)/AD12))</f>
        <v/>
      </c>
      <c r="AG12" s="57" t="str">
        <f>IF(C12="","",((Z12)*25)/AD12)</f>
        <v/>
      </c>
      <c r="AH12" s="57" t="str">
        <f>IF(B12="","",(X12*25)/AD12)</f>
        <v/>
      </c>
      <c r="AI12" s="57" t="str">
        <f>IF(B12="","",(Y12*25)/AD12)</f>
        <v/>
      </c>
      <c r="AJ12" s="57" t="str">
        <f>IF(B12="","",(AA12*25)/AD12)</f>
        <v/>
      </c>
      <c r="AK12" s="58" t="str">
        <f>IF(B12="","",(AB12*40)/AD12)</f>
        <v/>
      </c>
      <c r="AL12" s="58" t="str">
        <f>IF(B12="","",(AC12*50)/AD12)</f>
        <v/>
      </c>
      <c r="AM12" s="59" t="str">
        <f>IF(B12="","",B12)</f>
        <v/>
      </c>
      <c r="AN12" s="233"/>
      <c r="AO12" s="82"/>
      <c r="AP12" s="234"/>
      <c r="AQ12" s="63" t="str">
        <f>IF(AN12="","",AN12/AO12)</f>
        <v/>
      </c>
      <c r="AR12" s="64" t="str">
        <f>IF(AN12="","",(AD12/AN12)/1000)</f>
        <v/>
      </c>
      <c r="AS12" s="64" t="str">
        <f>IF(AN12="","",AR12*24)</f>
        <v/>
      </c>
      <c r="AT12" s="65" t="str">
        <f>IF(AN12="","",(AD12/1000)*100%/AS12)</f>
        <v/>
      </c>
      <c r="AU12" s="64" t="str">
        <f>IF(AN12="","",(AE12/AN12))</f>
        <v/>
      </c>
      <c r="AV12" s="229" t="str">
        <f>IF(AN12="","",(AD12/AO12)/1000)</f>
        <v/>
      </c>
      <c r="AW12" s="714"/>
      <c r="AX12" s="714"/>
      <c r="AY12" s="714"/>
      <c r="AZ12" s="723"/>
      <c r="BA12" s="714"/>
      <c r="BB12" s="725"/>
      <c r="BC12" s="727"/>
      <c r="BD12" s="727"/>
      <c r="BE12" s="727"/>
      <c r="BF12" s="729"/>
    </row>
    <row r="13" spans="1:58" customHeight="1" ht="13.9">
      <c r="A13" s="485" t="str">
        <f>IF(B13="","",11)</f>
        <v/>
      </c>
      <c r="B13" s="226"/>
      <c r="C13" s="69"/>
      <c r="D13" s="70"/>
      <c r="E13" s="76"/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/>
      <c r="S13" s="242"/>
      <c r="T13" s="401"/>
      <c r="U13" s="407"/>
      <c r="V13" s="249"/>
      <c r="W13" s="401"/>
      <c r="X13" s="278"/>
      <c r="Y13" s="78"/>
      <c r="Z13" s="403"/>
      <c r="AA13" s="281"/>
      <c r="AB13" s="79"/>
      <c r="AC13" s="85"/>
      <c r="AD13" s="55" t="str">
        <f>IF(B13="","",(((C13+F13+H13+K13+Q13+N13+O13)*50))+((E13*10))+(((I13+J13+D13+G13+L13+M13+U13)*25)+(X13*25)+(Y13*25)+(Z13*25)+(AA13*25)+(AB13*40)+(AC13*50)+(R13*1)+(S13*1)+(T13*1)))</f>
        <v/>
      </c>
      <c r="AE13" s="55" t="str">
        <f>IF(B13="","",C13+F13+H13+K13+Q13+N13+O13+((I13+J13+D13+G13+U13)/2)+(R13/50)+(S13/50)+(T13/50)+(E13/5))</f>
        <v/>
      </c>
      <c r="AF13" s="56" t="str">
        <f>IF(B13="","",((AE13*50)/AD13))</f>
        <v/>
      </c>
      <c r="AG13" s="57" t="str">
        <f>IF(C13="","",((Z13)*25)/AD13)</f>
        <v/>
      </c>
      <c r="AH13" s="57" t="str">
        <f>IF(B13="","",(X13*25)/AD13)</f>
        <v/>
      </c>
      <c r="AI13" s="57" t="str">
        <f>IF(B13="","",(Y13*25)/AD13)</f>
        <v/>
      </c>
      <c r="AJ13" s="57" t="str">
        <f>IF(B13="","",(AA13*25)/AD13)</f>
        <v/>
      </c>
      <c r="AK13" s="58" t="str">
        <f>IF(B13="","",(AB13*40)/AD13)</f>
        <v/>
      </c>
      <c r="AL13" s="58" t="str">
        <f>IF(B13="","",(AC13*50)/AD13)</f>
        <v/>
      </c>
      <c r="AM13" s="59" t="str">
        <f>IF(B13="","",B13)</f>
        <v/>
      </c>
      <c r="AN13" s="233"/>
      <c r="AO13" s="82"/>
      <c r="AP13" s="234"/>
      <c r="AQ13" s="63" t="str">
        <f>IF(AN13="","",AN13/AO13)</f>
        <v/>
      </c>
      <c r="AR13" s="64" t="str">
        <f>IF(AN13="","",(AD13/AN13)/1000)</f>
        <v/>
      </c>
      <c r="AS13" s="64" t="str">
        <f>IF(AN13="","",AR13*24)</f>
        <v/>
      </c>
      <c r="AT13" s="65" t="str">
        <f>IF(AN13="","",(AD13/1000)*100%/AS13)</f>
        <v/>
      </c>
      <c r="AU13" s="64" t="str">
        <f>IF(AN13="","",(AE13/AN13))</f>
        <v/>
      </c>
      <c r="AV13" s="229" t="str">
        <f>IF(AN13="","",(AD13/AO13)/1000)</f>
        <v/>
      </c>
      <c r="AW13" s="714"/>
      <c r="AX13" s="714"/>
      <c r="AY13" s="714"/>
      <c r="AZ13" s="723"/>
      <c r="BA13" s="714"/>
      <c r="BB13" s="725"/>
      <c r="BC13" s="727"/>
      <c r="BD13" s="727"/>
      <c r="BE13" s="727"/>
      <c r="BF13" s="729"/>
    </row>
    <row r="14" spans="1:58" customHeight="1" ht="13.9">
      <c r="A14" s="485" t="str">
        <f>IF(B14="","",12)</f>
        <v/>
      </c>
      <c r="B14" s="226"/>
      <c r="C14" s="69"/>
      <c r="D14" s="70"/>
      <c r="E14" s="76"/>
      <c r="F14" s="70"/>
      <c r="G14" s="76"/>
      <c r="H14" s="70"/>
      <c r="I14" s="491"/>
      <c r="J14" s="491"/>
      <c r="K14" s="70"/>
      <c r="L14" s="494"/>
      <c r="M14" s="494"/>
      <c r="N14" s="76"/>
      <c r="O14" s="76"/>
      <c r="P14" s="467"/>
      <c r="Q14" s="412"/>
      <c r="R14" s="410"/>
      <c r="S14" s="242"/>
      <c r="T14" s="401"/>
      <c r="U14" s="407"/>
      <c r="V14" s="249"/>
      <c r="W14" s="401"/>
      <c r="X14" s="278"/>
      <c r="Y14" s="78"/>
      <c r="Z14" s="403"/>
      <c r="AA14" s="281"/>
      <c r="AB14" s="79"/>
      <c r="AC14" s="85"/>
      <c r="AD14" s="55" t="str">
        <f>IF(B14="","",(((C14+F14+H14+K14+Q14+N14+O14)*50))+((E14*10))+(((I14+J14+D14+G14+L14+M14+U14)*25)+(X14*25)+(Y14*25)+(Z14*25)+(AA14*25)+(AB14*40)+(AC14*50)+(R14*1)+(S14*1)+(T14*1)))</f>
        <v/>
      </c>
      <c r="AE14" s="55" t="str">
        <f>IF(B14="","",C14+F14+H14+K14+Q14+N14+O14+((I14+J14+D14+G14+U14)/2)+(R14/50)+(S14/50)+(T14/50)+(E14/5))</f>
        <v/>
      </c>
      <c r="AF14" s="56" t="str">
        <f>IF(B14="","",((AE14*50)/AD14))</f>
        <v/>
      </c>
      <c r="AG14" s="57" t="str">
        <f>IF(C14="","",((Z14)*25)/AD14)</f>
        <v/>
      </c>
      <c r="AH14" s="57" t="str">
        <f>IF(B14="","",(X14*25)/AD14)</f>
        <v/>
      </c>
      <c r="AI14" s="57" t="str">
        <f>IF(B14="","",(Y14*25)/AD14)</f>
        <v/>
      </c>
      <c r="AJ14" s="57" t="str">
        <f>IF(B14="","",(AA14*25)/AD14)</f>
        <v/>
      </c>
      <c r="AK14" s="58" t="str">
        <f>IF(B14="","",(AB14*40)/AD14)</f>
        <v/>
      </c>
      <c r="AL14" s="58" t="str">
        <f>IF(B14="","",(AC14*50)/AD14)</f>
        <v/>
      </c>
      <c r="AM14" s="59" t="str">
        <f>IF(B14="","",B14)</f>
        <v/>
      </c>
      <c r="AN14" s="233"/>
      <c r="AO14" s="82"/>
      <c r="AP14" s="234"/>
      <c r="AQ14" s="63" t="str">
        <f>IF(AN14="","",AN14/AO14)</f>
        <v/>
      </c>
      <c r="AR14" s="64" t="str">
        <f>IF(AN14="","",(AD14/AN14)/1000)</f>
        <v/>
      </c>
      <c r="AS14" s="64" t="str">
        <f>IF(AN14="","",AR14*24)</f>
        <v/>
      </c>
      <c r="AT14" s="65" t="str">
        <f>IF(AN14="","",(AD14/1000)*100%/AS14)</f>
        <v/>
      </c>
      <c r="AU14" s="64" t="str">
        <f>IF(AN14="","",(AE14/AN14))</f>
        <v/>
      </c>
      <c r="AV14" s="229" t="str">
        <f>IF(AN14="","",(AD14/AO14)/1000)</f>
        <v/>
      </c>
      <c r="AW14" s="714"/>
      <c r="AX14" s="714"/>
      <c r="AY14" s="714"/>
      <c r="AZ14" s="723"/>
      <c r="BA14" s="714"/>
      <c r="BB14" s="725"/>
      <c r="BC14" s="727"/>
      <c r="BD14" s="727"/>
      <c r="BE14" s="727"/>
      <c r="BF14" s="729"/>
    </row>
    <row r="15" spans="1:58" customHeight="1" ht="13.9">
      <c r="A15" s="485" t="str">
        <f>IF(B15="","",13)</f>
        <v/>
      </c>
      <c r="B15" s="226"/>
      <c r="C15" s="69"/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/>
      <c r="S15" s="242"/>
      <c r="T15" s="401"/>
      <c r="U15" s="407"/>
      <c r="V15" s="249"/>
      <c r="W15" s="401"/>
      <c r="X15" s="278"/>
      <c r="Y15" s="78"/>
      <c r="Z15" s="403"/>
      <c r="AA15" s="281"/>
      <c r="AC15" s="79"/>
      <c r="AD15" s="55" t="str">
        <f>IF(B15="","",(((C15+F15+H15+K15+Q15+N15+O15)*50))+((E15*10))+(((I15+J15+D15+G15+L15+M15+U15)*25)+(X15*25)+(Y15*25)+(Z15*25)+(AA15*25)+(AB15*40)+(AC15*50)+(R15*1)+(S15*1)+(T15*1)))</f>
        <v/>
      </c>
      <c r="AE15" s="55" t="str">
        <f>IF(B15="","",C15+F15+H15+K15+Q15+N15+O15+((I15+J15+D15+G15+U15)/2)+(R15/50)+(S15/50)+(T15/50)+(E15/5))</f>
        <v/>
      </c>
      <c r="AF15" s="56" t="str">
        <f>IF(B15="","",((AE15*50)/AD15))</f>
        <v/>
      </c>
      <c r="AG15" s="57" t="str">
        <f>IF(C15="","",((Z15)*25)/AD15)</f>
        <v/>
      </c>
      <c r="AH15" s="57" t="str">
        <f>IF(B15="","",(X15*25)/AD15)</f>
        <v/>
      </c>
      <c r="AI15" s="57" t="str">
        <f>IF(B15="","",(Y15*25)/AD15)</f>
        <v/>
      </c>
      <c r="AJ15" s="57" t="str">
        <f>IF(B15="","",(AA15*25)/AD15)</f>
        <v/>
      </c>
      <c r="AK15" s="58" t="str">
        <f>IF(B15="","",(AC15*40)/AD15)</f>
        <v/>
      </c>
      <c r="AL15" s="58" t="str">
        <f>IF(B15="","",(AC15*50)/AD15)</f>
        <v/>
      </c>
      <c r="AM15" s="59" t="str">
        <f>IF(B15="","",B15)</f>
        <v/>
      </c>
      <c r="AN15" s="233"/>
      <c r="AO15" s="82"/>
      <c r="AP15" s="234"/>
      <c r="AQ15" s="63" t="str">
        <f>IF(AN15="","",AN15/AO15)</f>
        <v/>
      </c>
      <c r="AR15" s="64" t="str">
        <f>IF(AN15="","",(AD15/AN15)/1000)</f>
        <v/>
      </c>
      <c r="AS15" s="64" t="str">
        <f>IF(AN15="","",AR15*24)</f>
        <v/>
      </c>
      <c r="AT15" s="65" t="str">
        <f>IF(AN15="","",(AD15/1000)*100%/AS15)</f>
        <v/>
      </c>
      <c r="AU15" s="64" t="str">
        <f>IF(AN15="","",(AE15/AN15))</f>
        <v/>
      </c>
      <c r="AV15" s="229" t="str">
        <f>IF(AN15="","",(AD15/AO15)/1000)</f>
        <v/>
      </c>
      <c r="AW15" s="714"/>
      <c r="AX15" s="714"/>
      <c r="AY15" s="714"/>
      <c r="AZ15" s="723"/>
      <c r="BA15" s="714"/>
      <c r="BB15" s="725"/>
      <c r="BC15" s="727"/>
      <c r="BD15" s="727"/>
      <c r="BE15" s="727"/>
      <c r="BF15" s="729"/>
    </row>
    <row r="16" spans="1:58" customHeight="1" ht="13.9">
      <c r="A16" s="485" t="str">
        <f>IF(B16="","",1+A15)</f>
        <v/>
      </c>
      <c r="B16" s="226"/>
      <c r="C16" s="69"/>
      <c r="D16" s="70"/>
      <c r="E16" s="76"/>
      <c r="F16" s="70"/>
      <c r="G16" s="76"/>
      <c r="H16" s="70"/>
      <c r="I16" s="491"/>
      <c r="J16" s="491"/>
      <c r="K16" s="70"/>
      <c r="L16" s="494"/>
      <c r="M16" s="494"/>
      <c r="N16" s="76"/>
      <c r="O16" s="76"/>
      <c r="P16" s="467"/>
      <c r="Q16" s="412"/>
      <c r="R16" s="410"/>
      <c r="S16" s="242"/>
      <c r="T16" s="401"/>
      <c r="U16" s="407"/>
      <c r="V16" s="249"/>
      <c r="W16" s="401"/>
      <c r="X16" s="278"/>
      <c r="Y16" s="78"/>
      <c r="Z16" s="403"/>
      <c r="AA16" s="281"/>
      <c r="AB16" s="79"/>
      <c r="AC16" s="85"/>
      <c r="AD16" s="55" t="str">
        <f>IF(B16="","",(((C16+F16+H16+K16+Q16+N16+O16)*50))+((E16*10))+(((I16+J16+D16+G16+L16+M16+U16)*25)+(X16*25)+(Y16*25)+(Z16*25)+(AA16*25)+(AB16*40)+(AC16*50)+(R16*1)+(S16*1)+(T16*1)))</f>
        <v/>
      </c>
      <c r="AE16" s="55" t="str">
        <f>IF(B16="","",C16+F16+H16+K16+Q16+N16+O16+((I16+J16+D16+G16+U16)/2)+(R16/50)+(S16/50)+(T16/50)+(E16/5))</f>
        <v/>
      </c>
      <c r="AF16" s="56" t="str">
        <f>IF(B16="","",((AE16*50)/AD16))</f>
        <v/>
      </c>
      <c r="AG16" s="57" t="str">
        <f>IF(C16="","",((Z16)*25)/AD16)</f>
        <v/>
      </c>
      <c r="AH16" s="57" t="str">
        <f>IF(B16="","",(X16*25)/AD16)</f>
        <v/>
      </c>
      <c r="AI16" s="57" t="str">
        <f>IF(B16="","",(Y16*25)/AD16)</f>
        <v/>
      </c>
      <c r="AJ16" s="57" t="str">
        <f>IF(B16="","",(AA16*25)/AD16)</f>
        <v/>
      </c>
      <c r="AK16" s="58" t="str">
        <f>IF(B16="","",(AB16*40)/AD16)</f>
        <v/>
      </c>
      <c r="AL16" s="58" t="str">
        <f>IF(B16="","",(AC16*50)/AD16)</f>
        <v/>
      </c>
      <c r="AM16" s="59" t="str">
        <f>IF(B16="","",B16)</f>
        <v/>
      </c>
      <c r="AN16" s="233"/>
      <c r="AO16" s="82"/>
      <c r="AP16" s="234"/>
      <c r="AQ16" s="63" t="str">
        <f>IF(AN16="","",AN16/AO16)</f>
        <v/>
      </c>
      <c r="AR16" s="64" t="str">
        <f>IF(AN16="","",(AD16/AN16)/1000)</f>
        <v/>
      </c>
      <c r="AS16" s="64" t="str">
        <f>IF(AN16="","",AR16*24)</f>
        <v/>
      </c>
      <c r="AT16" s="65" t="str">
        <f>IF(AN16="","",(AD16/1000)*100%/AS16)</f>
        <v/>
      </c>
      <c r="AU16" s="64" t="str">
        <f>IF(AN16="","",(AE16/AN16))</f>
        <v/>
      </c>
      <c r="AV16" s="229" t="str">
        <f>IF(AN16="","",(AD16/AO16)/1000)</f>
        <v/>
      </c>
      <c r="AW16" s="714"/>
      <c r="AX16" s="714"/>
      <c r="AY16" s="714"/>
      <c r="AZ16" s="723"/>
      <c r="BA16" s="714"/>
      <c r="BB16" s="725"/>
      <c r="BC16" s="727"/>
      <c r="BD16" s="727"/>
      <c r="BE16" s="727"/>
      <c r="BF16" s="729"/>
    </row>
    <row r="17" spans="1:58" customHeight="1" ht="13.9">
      <c r="A17" s="485" t="str">
        <f>IF(B17="","",15)</f>
        <v/>
      </c>
      <c r="B17" s="226"/>
      <c r="C17" s="69"/>
      <c r="D17" s="70"/>
      <c r="E17" s="76"/>
      <c r="F17" s="70"/>
      <c r="G17" s="76"/>
      <c r="H17" s="70"/>
      <c r="I17" s="491"/>
      <c r="J17" s="491"/>
      <c r="K17" s="70"/>
      <c r="L17" s="494"/>
      <c r="M17" s="494"/>
      <c r="N17" s="76"/>
      <c r="O17" s="76"/>
      <c r="P17" s="467"/>
      <c r="Q17" s="412"/>
      <c r="R17" s="410"/>
      <c r="S17" s="242"/>
      <c r="T17" s="401"/>
      <c r="U17" s="407"/>
      <c r="V17" s="249"/>
      <c r="W17" s="401"/>
      <c r="X17" s="278"/>
      <c r="Y17" s="78"/>
      <c r="Z17" s="403"/>
      <c r="AA17" s="281"/>
      <c r="AB17" s="79"/>
      <c r="AC17" s="85"/>
      <c r="AD17" s="55" t="str">
        <f>IF(B17="","",(((C17+F17+H17+K17+Q17+N17+O17)*50))+((E17*10))+(((I17+J17+D17+G17+L17+M17+U17)*25)+(X17*25)+(Y17*25)+(Z17*25)+(AA17*25)+(AB17*40)+(AC17*50)+(R17*1)+(S17*1)+(T17*1)))</f>
        <v/>
      </c>
      <c r="AE17" s="55" t="str">
        <f>IF(B17="","",C17+F17+H17+K17+Q17+N17+O17+((I17+J17+D17+G17+U17)/2)+(R17/50)+(S17/50)+(T17/50)+(E17/5))</f>
        <v/>
      </c>
      <c r="AF17" s="56" t="str">
        <f>IF(B17="","",((AE17*50)/AD17))</f>
        <v/>
      </c>
      <c r="AG17" s="57" t="str">
        <f>IF(C17="","",((Z17)*25)/AD17)</f>
        <v/>
      </c>
      <c r="AH17" s="57" t="str">
        <f>IF(B17="","",(X17*25)/AD17)</f>
        <v/>
      </c>
      <c r="AI17" s="57" t="str">
        <f>IF(B17="","",(Y17*25)/AD17)</f>
        <v/>
      </c>
      <c r="AJ17" s="57" t="str">
        <f>IF(B17="","",(AA17*25)/AD17)</f>
        <v/>
      </c>
      <c r="AK17" s="58" t="str">
        <f>IF(B17="","",(AB17*40)/AD17)</f>
        <v/>
      </c>
      <c r="AL17" s="58" t="str">
        <f>IF(B17="","",(AC17*50)/AD17)</f>
        <v/>
      </c>
      <c r="AM17" s="59" t="str">
        <f>IF(B17="","",B17)</f>
        <v/>
      </c>
      <c r="AN17" s="233"/>
      <c r="AO17" s="82"/>
      <c r="AP17" s="234"/>
      <c r="AQ17" s="63" t="str">
        <f>IF(AN17="","",AN17/AO17)</f>
        <v/>
      </c>
      <c r="AR17" s="64" t="str">
        <f>IF(AN17="","",(AD17/AN17)/1000)</f>
        <v/>
      </c>
      <c r="AS17" s="64" t="str">
        <f>IF(AN17="","",AR17*24)</f>
        <v/>
      </c>
      <c r="AT17" s="65" t="str">
        <f>IF(AN17="","",(AD17/1000)*100%/AS17)</f>
        <v/>
      </c>
      <c r="AU17" s="64" t="str">
        <f>IF(AN17="","",(AE17/AN17))</f>
        <v/>
      </c>
      <c r="AV17" s="229" t="str">
        <f>IF(AN17="","",(AD17/AO17)/1000)</f>
        <v/>
      </c>
      <c r="AW17" s="714"/>
      <c r="AX17" s="714"/>
      <c r="AY17" s="714"/>
      <c r="AZ17" s="723"/>
      <c r="BA17" s="714"/>
      <c r="BB17" s="725"/>
      <c r="BC17" s="727"/>
      <c r="BD17" s="727"/>
      <c r="BE17" s="727"/>
      <c r="BF17" s="729"/>
    </row>
    <row r="18" spans="1:58" customHeight="1" ht="13.9">
      <c r="A18" s="485" t="str">
        <f>IF(B18="","",16)</f>
        <v/>
      </c>
      <c r="B18" s="226"/>
      <c r="C18" s="69"/>
      <c r="D18" s="70"/>
      <c r="E18" s="76"/>
      <c r="F18" s="70"/>
      <c r="G18" s="76"/>
      <c r="H18" s="70"/>
      <c r="I18" s="491"/>
      <c r="J18" s="491"/>
      <c r="K18" s="70"/>
      <c r="L18" s="494"/>
      <c r="M18" s="494"/>
      <c r="N18" s="76"/>
      <c r="O18" s="76"/>
      <c r="P18" s="467"/>
      <c r="Q18" s="412"/>
      <c r="R18" s="410"/>
      <c r="S18" s="242"/>
      <c r="T18" s="401"/>
      <c r="U18" s="407"/>
      <c r="V18" s="249"/>
      <c r="W18" s="401"/>
      <c r="X18" s="278"/>
      <c r="Y18" s="78"/>
      <c r="Z18" s="403"/>
      <c r="AA18" s="281"/>
      <c r="AB18" s="79"/>
      <c r="AC18" s="85"/>
      <c r="AD18" s="55" t="str">
        <f>IF(B18="","",(((C18+F18+H18+K18+Q18+N18+O18)*50))+((E18*10))+(((I18+J18+D18+G18+L18+M18+U18)*25)+(X18*25)+(Y18*25)+(Z18*25)+(AA18*25)+(AB18*40)+(AC18*50)+(R18*1)+(S18*1)+(T18*1)))</f>
        <v/>
      </c>
      <c r="AE18" s="55" t="str">
        <f>IF(B18="","",C18+F18+H18+K18+Q18+N18+O18+((I18+J18+D18+G18+U18)/2)+(R18/50)+(S18/50)+(T18/50)+(E18/5))</f>
        <v/>
      </c>
      <c r="AF18" s="56" t="str">
        <f>IF(B18="","",((AE18*50)/AD18))</f>
        <v/>
      </c>
      <c r="AG18" s="57" t="str">
        <f>IF(C18="","",((Z18)*25)/AD18)</f>
        <v/>
      </c>
      <c r="AH18" s="57" t="str">
        <f>IF(B18="","",(X18*25)/AD18)</f>
        <v/>
      </c>
      <c r="AI18" s="57" t="str">
        <f>IF(B18="","",(Y18*25)/AD18)</f>
        <v/>
      </c>
      <c r="AJ18" s="57" t="str">
        <f>IF(B18="","",(AA18*25)/AD18)</f>
        <v/>
      </c>
      <c r="AK18" s="58" t="str">
        <f>IF(B18="","",(AB18*40)/AD18)</f>
        <v/>
      </c>
      <c r="AL18" s="58" t="str">
        <f>IF(B18="","",(AC18*50)/AD18)</f>
        <v/>
      </c>
      <c r="AM18" s="59" t="str">
        <f>IF(B18="","",B18)</f>
        <v/>
      </c>
      <c r="AN18" s="233"/>
      <c r="AO18" s="82"/>
      <c r="AP18" s="234"/>
      <c r="AQ18" s="63" t="str">
        <f>IF(AN18="","",AN18/AO18)</f>
        <v/>
      </c>
      <c r="AR18" s="64" t="str">
        <f>IF(AN18="","",(AD18/AN18)/1000)</f>
        <v/>
      </c>
      <c r="AS18" s="64" t="str">
        <f>IF(AN18="","",AR18*24)</f>
        <v/>
      </c>
      <c r="AT18" s="65" t="str">
        <f>IF(AN18="","",(AD18/1000)*100%/AS18)</f>
        <v/>
      </c>
      <c r="AU18" s="64" t="str">
        <f>IF(AN18="","",(AE18/AN18))</f>
        <v/>
      </c>
      <c r="AV18" s="229" t="str">
        <f>IF(AN18="","",(AD18/AO18)/1000)</f>
        <v/>
      </c>
      <c r="AW18" s="714"/>
      <c r="AX18" s="714"/>
      <c r="AY18" s="714"/>
      <c r="AZ18" s="723"/>
      <c r="BA18" s="714"/>
      <c r="BB18" s="725"/>
      <c r="BC18" s="727"/>
      <c r="BD18" s="727"/>
      <c r="BE18" s="727"/>
      <c r="BF18" s="729"/>
    </row>
    <row r="19" spans="1:58" customHeight="1" ht="13.9">
      <c r="A19" s="485" t="str">
        <f>IF(B19="","",17)</f>
        <v/>
      </c>
      <c r="B19" s="68"/>
      <c r="C19" s="69"/>
      <c r="D19" s="70"/>
      <c r="E19" s="76"/>
      <c r="F19" s="70"/>
      <c r="G19" s="76"/>
      <c r="H19" s="70"/>
      <c r="I19" s="491"/>
      <c r="J19" s="491"/>
      <c r="K19" s="70"/>
      <c r="L19" s="494"/>
      <c r="M19" s="494"/>
      <c r="N19" s="76"/>
      <c r="O19" s="76"/>
      <c r="P19" s="467"/>
      <c r="Q19" s="412"/>
      <c r="R19" s="410"/>
      <c r="S19" s="242"/>
      <c r="T19" s="401"/>
      <c r="U19" s="407"/>
      <c r="V19" s="249"/>
      <c r="W19" s="401"/>
      <c r="X19" s="278"/>
      <c r="Y19" s="78"/>
      <c r="Z19" s="403"/>
      <c r="AA19" s="281"/>
      <c r="AB19" s="79"/>
      <c r="AC19" s="85"/>
      <c r="AD19" s="55" t="str">
        <f>IF(B19="","",(((C19+F19+H19+K19+Q19+N19+O19)*50))+((E19*10))+(((I19+J19+D19+G19+L19+M19+U19)*25)+(X19*25)+(Y19*25)+(Z19*25)+(AA19*25)+(AB19*40)+(AC19*50)+(R19*1)+(S19*1)+(T19*1)))</f>
        <v/>
      </c>
      <c r="AE19" s="55" t="str">
        <f>IF(B19="","",C19+F19+H19+K19+Q19+N19+O19+((I19+J19+D19+G19+U19)/2)+(R19/50)+(S19/50)+(T19/50)+(E19/5))</f>
        <v/>
      </c>
      <c r="AF19" s="56" t="str">
        <f>IF(B19="","",((AE19*50)/AD19))</f>
        <v/>
      </c>
      <c r="AG19" s="57" t="str">
        <f>IF(C19="","",((Z19)*25)/AD19)</f>
        <v/>
      </c>
      <c r="AH19" s="57" t="str">
        <f>IF(B19="","",(X19*25)/AD19)</f>
        <v/>
      </c>
      <c r="AI19" s="57" t="str">
        <f>IF(B19="","",(Y19*25)/AD19)</f>
        <v/>
      </c>
      <c r="AJ19" s="57" t="str">
        <f>IF(B19="","",(AA19*25)/AD19)</f>
        <v/>
      </c>
      <c r="AK19" s="58" t="str">
        <f>IF(B19="","",(AB19*40)/AD19)</f>
        <v/>
      </c>
      <c r="AL19" s="58" t="str">
        <f>IF(B19="","",(AC19*50)/AD19)</f>
        <v/>
      </c>
      <c r="AM19" s="59" t="str">
        <f>IF(B19="","",B19)</f>
        <v/>
      </c>
      <c r="AN19" s="233"/>
      <c r="AO19" s="82"/>
      <c r="AP19" s="234"/>
      <c r="AQ19" s="63" t="str">
        <f>IF(AN19="","",AN19/AO19)</f>
        <v/>
      </c>
      <c r="AR19" s="64" t="str">
        <f>IF(AN19="","",(AD19/AN19)/1000)</f>
        <v/>
      </c>
      <c r="AS19" s="64" t="str">
        <f>IF(AN19="","",AR19*24)</f>
        <v/>
      </c>
      <c r="AT19" s="65" t="str">
        <f>IF(AN19="","",(AD19/1000)*100%/AS19)</f>
        <v/>
      </c>
      <c r="AU19" s="64" t="str">
        <f>IF(AN19="","",(AE19/AN19))</f>
        <v/>
      </c>
      <c r="AV19" s="229" t="str">
        <f>IF(AN19="","",(AD19/AO19)/1000)</f>
        <v/>
      </c>
      <c r="AW19" s="714"/>
      <c r="AX19" s="714"/>
      <c r="AY19" s="714"/>
      <c r="AZ19" s="723"/>
      <c r="BA19" s="714"/>
      <c r="BB19" s="725"/>
      <c r="BC19" s="727"/>
      <c r="BD19" s="727"/>
      <c r="BE19" s="727"/>
      <c r="BF19" s="729"/>
    </row>
    <row r="20" spans="1:58" customHeight="1" ht="13.9">
      <c r="A20" s="485" t="str">
        <f>IF(B20="","",1+A19)</f>
        <v/>
      </c>
      <c r="B20" s="68"/>
      <c r="C20" s="69"/>
      <c r="D20" s="70"/>
      <c r="E20" s="76"/>
      <c r="F20" s="70"/>
      <c r="G20" s="76"/>
      <c r="H20" s="70"/>
      <c r="I20" s="491"/>
      <c r="J20" s="491"/>
      <c r="K20" s="70"/>
      <c r="L20" s="494"/>
      <c r="M20" s="494"/>
      <c r="N20" s="76"/>
      <c r="O20" s="76"/>
      <c r="P20" s="467"/>
      <c r="Q20" s="412"/>
      <c r="R20" s="410"/>
      <c r="S20" s="242"/>
      <c r="T20" s="401"/>
      <c r="U20" s="407"/>
      <c r="V20" s="249"/>
      <c r="W20" s="401"/>
      <c r="X20" s="278"/>
      <c r="Y20" s="78"/>
      <c r="Z20" s="403"/>
      <c r="AA20" s="281"/>
      <c r="AB20" s="79"/>
      <c r="AC20" s="85"/>
      <c r="AD20" s="55" t="str">
        <f>IF(B20="","",(((C20+F20+H20+K20+Q20+N20+O20)*50))+((E20*10))+(((I20+J20+D20+G20+L20+M20+U20)*25)+(X20*25)+(Y20*25)+(Z20*25)+(AA20*25)+(AB20*40)+(AC20*50)+(R20*1)+(S20*1)+(T20*1)))</f>
        <v/>
      </c>
      <c r="AE20" s="55" t="str">
        <f>IF(B20="","",C20+F20+H20+K20+Q20+N20+O20+((I20+J20+D20+G20+U20)/2)+(R20/50)+(S20/50)+(T20/50)+(E20/5))</f>
        <v/>
      </c>
      <c r="AF20" s="56" t="str">
        <f>IF(B20="","",((AE20*50)/AD20))</f>
        <v/>
      </c>
      <c r="AG20" s="57" t="str">
        <f>IF(C20="","",((Z20)*25)/AD20)</f>
        <v/>
      </c>
      <c r="AH20" s="57" t="str">
        <f>IF(B20="","",(X20*25)/AD20)</f>
        <v/>
      </c>
      <c r="AI20" s="57" t="str">
        <f>IF(B20="","",(Y20*25)/AD20)</f>
        <v/>
      </c>
      <c r="AJ20" s="57" t="str">
        <f>IF(B20="","",(AA20*25)/AD20)</f>
        <v/>
      </c>
      <c r="AK20" s="58" t="str">
        <f>IF(B20="","",(AB20*40)/AD20)</f>
        <v/>
      </c>
      <c r="AL20" s="58" t="str">
        <f>IF(B20="","",(AC20*50)/AD20)</f>
        <v/>
      </c>
      <c r="AM20" s="59" t="str">
        <f>IF(B20="","",B20)</f>
        <v/>
      </c>
      <c r="AN20" s="233"/>
      <c r="AO20" s="82"/>
      <c r="AP20" s="234"/>
      <c r="AQ20" s="63" t="str">
        <f>IF(AN20="","",AN20/AO20)</f>
        <v/>
      </c>
      <c r="AR20" s="64" t="str">
        <f>IF(AN20="","",(AD20/AN20)/1000)</f>
        <v/>
      </c>
      <c r="AS20" s="64" t="str">
        <f>IF(AN20="","",AR20*24)</f>
        <v/>
      </c>
      <c r="AT20" s="65" t="str">
        <f>IF(AN20="","",(AD20/1000)*100%/AS20)</f>
        <v/>
      </c>
      <c r="AU20" s="64" t="str">
        <f>IF(AN20="","",(AE20/AN20))</f>
        <v/>
      </c>
      <c r="AV20" s="229" t="str">
        <f>IF(AN20="","",(AD20/AO20)/1000)</f>
        <v/>
      </c>
      <c r="AW20" s="714"/>
      <c r="AX20" s="714"/>
      <c r="AY20" s="714"/>
      <c r="AZ20" s="723"/>
      <c r="BA20" s="714"/>
      <c r="BB20" s="725"/>
      <c r="BC20" s="727"/>
      <c r="BD20" s="727"/>
      <c r="BE20" s="727"/>
      <c r="BF20" s="729"/>
    </row>
    <row r="21" spans="1:58" customHeight="1" ht="13.9">
      <c r="A21" s="485" t="str">
        <f>IF(B21="","",1+A20)</f>
        <v/>
      </c>
      <c r="B21" s="68"/>
      <c r="C21" s="69"/>
      <c r="D21" s="70"/>
      <c r="E21" s="76"/>
      <c r="F21" s="70"/>
      <c r="G21" s="76"/>
      <c r="H21" s="70"/>
      <c r="I21" s="491"/>
      <c r="J21" s="491"/>
      <c r="K21" s="70"/>
      <c r="L21" s="494"/>
      <c r="M21" s="494"/>
      <c r="N21" s="76"/>
      <c r="O21" s="76"/>
      <c r="P21" s="467"/>
      <c r="Q21" s="412"/>
      <c r="R21" s="410"/>
      <c r="S21" s="242"/>
      <c r="T21" s="401"/>
      <c r="U21" s="407"/>
      <c r="V21" s="249"/>
      <c r="W21" s="401"/>
      <c r="X21" s="278"/>
      <c r="Y21" s="78"/>
      <c r="Z21" s="403"/>
      <c r="AA21" s="281"/>
      <c r="AB21" s="79"/>
      <c r="AC21" s="85"/>
      <c r="AD21" s="55"/>
      <c r="AE21" s="55" t="str">
        <f>IF(B21="","",C21+F21+H21+K21+Q21+N21+O21+((I21+J21+D21+G21+U21)/2)+(R21/50)+(S21/50)+(T21/50)+(E21/5))</f>
        <v/>
      </c>
      <c r="AF21" s="56" t="str">
        <f>IF(B21="","",((AE21*50)/AD21))</f>
        <v/>
      </c>
      <c r="AG21" s="57" t="str">
        <f>IF(C21="","",((Z21)*25)/AD21)</f>
        <v/>
      </c>
      <c r="AH21" s="57" t="str">
        <f>IF(B21="","",(X21*25)/AD21)</f>
        <v/>
      </c>
      <c r="AI21" s="57" t="str">
        <f>IF(B21="","",(Y21*25)/AD21)</f>
        <v/>
      </c>
      <c r="AJ21" s="57" t="str">
        <f>IF(B21="","",(AA21*25)/AD21)</f>
        <v/>
      </c>
      <c r="AK21" s="58" t="str">
        <f>IF(B21="","",(AB21*40)/AD21)</f>
        <v/>
      </c>
      <c r="AL21" s="58" t="str">
        <f>IF(B21="","",(AC21*50)/AD21)</f>
        <v/>
      </c>
      <c r="AM21" s="59" t="str">
        <f>IF(B21="","",B21)</f>
        <v/>
      </c>
      <c r="AN21" s="233"/>
      <c r="AO21" s="82"/>
      <c r="AP21" s="234"/>
      <c r="AQ21" s="63" t="str">
        <f>IF(AN21="","",AN21/AO21)</f>
        <v/>
      </c>
      <c r="AR21" s="64" t="str">
        <f>IF(AN21="","",(AD21/AN21)/1000)</f>
        <v/>
      </c>
      <c r="AS21" s="64" t="str">
        <f>IF(AN21="","",AR21*24)</f>
        <v/>
      </c>
      <c r="AT21" s="65" t="str">
        <f>IF(AN21="","",(AD21/1000)*100%/AS21)</f>
        <v/>
      </c>
      <c r="AU21" s="64" t="str">
        <f>IF(AN21="","",(AE21/AN21))</f>
        <v/>
      </c>
      <c r="AV21" s="229" t="str">
        <f>IF(AN21="","",(AD21/AO21)/1000)</f>
        <v/>
      </c>
      <c r="AW21" s="714"/>
      <c r="AX21" s="714"/>
      <c r="AY21" s="714"/>
      <c r="AZ21" s="723"/>
      <c r="BA21" s="714"/>
      <c r="BB21" s="725"/>
      <c r="BC21" s="727"/>
      <c r="BD21" s="727"/>
      <c r="BE21" s="727"/>
      <c r="BF21" s="729"/>
    </row>
    <row r="22" spans="1:58" customHeight="1" ht="13.9">
      <c r="A22" s="485" t="str">
        <f>IF(B22="","",1+A21)</f>
        <v/>
      </c>
      <c r="B22" s="68"/>
      <c r="C22" s="69"/>
      <c r="D22" s="70"/>
      <c r="E22" s="76"/>
      <c r="F22" s="70"/>
      <c r="G22" s="76"/>
      <c r="H22" s="70"/>
      <c r="I22" s="76"/>
      <c r="J22" s="76"/>
      <c r="K22" s="70"/>
      <c r="L22" s="494"/>
      <c r="M22" s="494"/>
      <c r="N22" s="76"/>
      <c r="O22" s="76"/>
      <c r="P22" s="467"/>
      <c r="Q22" s="412"/>
      <c r="R22" s="410"/>
      <c r="S22" s="242"/>
      <c r="T22" s="401"/>
      <c r="U22" s="407"/>
      <c r="V22" s="249"/>
      <c r="W22" s="401"/>
      <c r="X22" s="278"/>
      <c r="Y22" s="78"/>
      <c r="Z22" s="403"/>
      <c r="AA22" s="281"/>
      <c r="AB22" s="79"/>
      <c r="AC22" s="85"/>
      <c r="AD22" s="55" t="str">
        <f>IF(B22="","",(((C22+F22+H22+K22+Q22+N22+O22)*50))+((E22*10))+(((I22+J22+D22+G22+L22+M22+U22)*25)+(X22*25)+(Y22*25)+(Z22*25)+(AA22*25)+(AB22*40)+(AC22*50)+(R22*1)+(S22*1)+(T22*1)))</f>
        <v/>
      </c>
      <c r="AE22" s="55" t="str">
        <f>IF(B22="","",C22+F22+H22+K22+Q22+N22+O22+((I22+J22+D22+G22+U22)/2)+(R22/50)+(S22/50)+(T22/50)+(E22/5))</f>
        <v/>
      </c>
      <c r="AF22" s="56" t="str">
        <f>IF(B22="","",((AE22*50)/AD22))</f>
        <v/>
      </c>
      <c r="AG22" s="57" t="str">
        <f>IF(C22="","",((Z22)*25)/AD22)</f>
        <v/>
      </c>
      <c r="AH22" s="57" t="str">
        <f>IF(B22="","",(X22*25)/AD22)</f>
        <v/>
      </c>
      <c r="AI22" s="57" t="str">
        <f>IF(B22="","",(Y22*25)/AD22)</f>
        <v/>
      </c>
      <c r="AJ22" s="57" t="str">
        <f>IF(B22="","",(AA22*25)/AD22)</f>
        <v/>
      </c>
      <c r="AK22" s="58" t="str">
        <f>IF(B22="","",(AB22*40)/AD22)</f>
        <v/>
      </c>
      <c r="AL22" s="58" t="str">
        <f>IF(B22="","",(AC22*50)/AD22)</f>
        <v/>
      </c>
      <c r="AM22" s="59" t="str">
        <f>IF(B22="","",B22)</f>
        <v/>
      </c>
      <c r="AN22" s="233"/>
      <c r="AO22" s="82"/>
      <c r="AP22" s="234"/>
      <c r="AQ22" s="63" t="str">
        <f>IF(AN22="","",AN22/AO22)</f>
        <v/>
      </c>
      <c r="AR22" s="64" t="str">
        <f>IF(AN22="","",(AD22/AN22)/1000)</f>
        <v/>
      </c>
      <c r="AS22" s="64" t="str">
        <f>IF(AN22="","",AR22*24)</f>
        <v/>
      </c>
      <c r="AT22" s="65" t="str">
        <f>IF(AN22="","",(AD22/1000)*100%/AS22)</f>
        <v/>
      </c>
      <c r="AU22" s="64" t="str">
        <f>IF(AN22="","",(AE22/AN22))</f>
        <v/>
      </c>
      <c r="AV22" s="229" t="str">
        <f>IF(AN22="","",(AD22/AO22)/1000)</f>
        <v/>
      </c>
      <c r="AW22" s="714"/>
      <c r="AX22" s="714"/>
      <c r="AY22" s="714"/>
      <c r="AZ22" s="723"/>
      <c r="BA22" s="714"/>
      <c r="BB22" s="725"/>
      <c r="BC22" s="727"/>
      <c r="BD22" s="727"/>
      <c r="BE22" s="727"/>
      <c r="BF22" s="729"/>
    </row>
    <row r="23" spans="1:58" customHeight="1" ht="13.9">
      <c r="A23" s="485" t="str">
        <f>IF(B23="","",1+A22)</f>
        <v/>
      </c>
      <c r="B23" s="68"/>
      <c r="C23" s="69"/>
      <c r="D23" s="70"/>
      <c r="E23" s="76"/>
      <c r="F23" s="70"/>
      <c r="G23" s="76"/>
      <c r="H23" s="70"/>
      <c r="I23" s="76"/>
      <c r="J23" s="76"/>
      <c r="K23" s="70"/>
      <c r="L23" s="494"/>
      <c r="M23" s="494"/>
      <c r="N23" s="76"/>
      <c r="O23" s="76"/>
      <c r="P23" s="467"/>
      <c r="Q23" s="412"/>
      <c r="R23" s="410"/>
      <c r="S23" s="242"/>
      <c r="T23" s="401"/>
      <c r="U23" s="407"/>
      <c r="V23" s="249"/>
      <c r="W23" s="401"/>
      <c r="X23" s="278"/>
      <c r="Y23" s="78"/>
      <c r="Z23" s="403"/>
      <c r="AA23" s="281"/>
      <c r="AB23" s="79"/>
      <c r="AC23" s="85"/>
      <c r="AD23" s="55"/>
      <c r="AE23" s="55" t="str">
        <f>IF(B23="","",C23+F23+H23+K23+Q23+N23+O23+((I23+J23+D23+G23+U23)/2)+(R23/50)+(S23/50)+(T23/50)+(E23/5))</f>
        <v/>
      </c>
      <c r="AF23" s="56" t="str">
        <f>IF(B23="","",((AE23*50)/AD23))</f>
        <v/>
      </c>
      <c r="AG23" s="57" t="str">
        <f>IF(C23="","",((Z23)*25)/AD23)</f>
        <v/>
      </c>
      <c r="AH23" s="57" t="str">
        <f>IF(B23="","",(X23*25)/AD23)</f>
        <v/>
      </c>
      <c r="AI23" s="57" t="str">
        <f>IF(B23="","",(Y23*25)/AD23)</f>
        <v/>
      </c>
      <c r="AJ23" s="57" t="str">
        <f>IF(B23="","",(AA23*25)/AD23)</f>
        <v/>
      </c>
      <c r="AK23" s="58" t="str">
        <f>IF(B23="","",(AB23*40)/AD23)</f>
        <v/>
      </c>
      <c r="AL23" s="58" t="str">
        <f>IF(B23="","",(AC23*50)/AD23)</f>
        <v/>
      </c>
      <c r="AM23" s="59" t="str">
        <f>IF(B23="","",B23)</f>
        <v/>
      </c>
      <c r="AN23" s="233"/>
      <c r="AO23" s="82"/>
      <c r="AP23" s="234"/>
      <c r="AQ23" s="63" t="str">
        <f>IF(AN23="","",AN23/AO23)</f>
        <v/>
      </c>
      <c r="AR23" s="64" t="str">
        <f>IF(AN23="","",(AD23/AN23)/1000)</f>
        <v/>
      </c>
      <c r="AS23" s="64" t="str">
        <f>IF(AN23="","",AR23*24)</f>
        <v/>
      </c>
      <c r="AT23" s="65" t="str">
        <f>IF(AN23="","",(AD23/1000)*100%/AS23)</f>
        <v/>
      </c>
      <c r="AU23" s="64" t="str">
        <f>IF(AN23="","",(AE23/AN23))</f>
        <v/>
      </c>
      <c r="AV23" s="229" t="str">
        <f>IF(AN23="","",(AD23/AO23)/1000)</f>
        <v/>
      </c>
      <c r="AW23" s="714"/>
      <c r="AX23" s="714"/>
      <c r="AY23" s="714"/>
      <c r="AZ23" s="723"/>
      <c r="BA23" s="714"/>
      <c r="BB23" s="725"/>
      <c r="BC23" s="727"/>
      <c r="BD23" s="727"/>
      <c r="BE23" s="727"/>
      <c r="BF23" s="729"/>
    </row>
    <row r="24" spans="1:58" customHeight="1" ht="13.9">
      <c r="A24" s="485" t="str">
        <f>IF(B24="","",1+A23)</f>
        <v/>
      </c>
      <c r="B24" s="68"/>
      <c r="C24" s="69"/>
      <c r="D24" s="70"/>
      <c r="E24" s="76"/>
      <c r="F24" s="70"/>
      <c r="G24" s="76"/>
      <c r="H24" s="70"/>
      <c r="I24" s="76"/>
      <c r="J24" s="76"/>
      <c r="K24" s="70"/>
      <c r="L24" s="494"/>
      <c r="M24" s="494"/>
      <c r="N24" s="76"/>
      <c r="O24" s="76"/>
      <c r="P24" s="467"/>
      <c r="Q24" s="412"/>
      <c r="R24" s="410"/>
      <c r="S24" s="242"/>
      <c r="T24" s="401"/>
      <c r="U24" s="407"/>
      <c r="V24" s="249"/>
      <c r="W24" s="401"/>
      <c r="X24" s="278"/>
      <c r="Y24" s="78"/>
      <c r="Z24" s="403"/>
      <c r="AA24" s="281"/>
      <c r="AB24" s="79"/>
      <c r="AC24" s="85"/>
      <c r="AD24" s="55" t="str">
        <f>IF(B24="","",(((C24+F24+H24+K24+Q24+N24+O24)*50))+((E24*10))+(((I24+J24+D24+G24+L24+M24+U24)*25)+(X24*25)+(Y24*25)+(Z24*25)+(AA24*25)+(AB24*40)+(AC24*50)+(R24*1)+(S24*1)+(T24*1)))</f>
        <v/>
      </c>
      <c r="AE24" s="55" t="str">
        <f>IF(B24="","",C24+F24+H24+K24+Q24+N24+O24+((I24+J24+D24+G24+U24)/2)+(R24/50)+(S24/50)+(T24/50)+(E24/5))</f>
        <v/>
      </c>
      <c r="AF24" s="56" t="str">
        <f>IF(B24="","",((AE24*50)/AD24))</f>
        <v/>
      </c>
      <c r="AG24" s="57" t="str">
        <f>IF(C24="","",((Z24)*25)/AD24)</f>
        <v/>
      </c>
      <c r="AH24" s="57" t="str">
        <f>IF(B24="","",(X24*25)/AD24)</f>
        <v/>
      </c>
      <c r="AI24" s="57" t="str">
        <f>IF(B24="","",(Y24*25)/AD24)</f>
        <v/>
      </c>
      <c r="AJ24" s="57" t="str">
        <f>IF(B24="","",(AA24*25)/AD24)</f>
        <v/>
      </c>
      <c r="AK24" s="58" t="str">
        <f>IF(B24="","",(AB24*40)/AD24)</f>
        <v/>
      </c>
      <c r="AL24" s="58" t="str">
        <f>IF(B24="","",(AC24*50)/AD24)</f>
        <v/>
      </c>
      <c r="AM24" s="59" t="str">
        <f>IF(B24="","",B24)</f>
        <v/>
      </c>
      <c r="AN24" s="233"/>
      <c r="AO24" s="82"/>
      <c r="AP24" s="234"/>
      <c r="AQ24" s="63" t="str">
        <f>IF(AN24="","",AN24/AO24)</f>
        <v/>
      </c>
      <c r="AR24" s="64" t="str">
        <f>IF(AN24="","",(AD24/AN24)/1000)</f>
        <v/>
      </c>
      <c r="AS24" s="64" t="str">
        <f>IF(AN24="","",AR24*24)</f>
        <v/>
      </c>
      <c r="AT24" s="65" t="str">
        <f>IF(AN24="","",(AD24/1000)*100%/AS24)</f>
        <v/>
      </c>
      <c r="AU24" s="64" t="str">
        <f>IF(AN24="","",(AE24/AN24))</f>
        <v/>
      </c>
      <c r="AV24" s="229" t="str">
        <f>IF(AN24="","",(AD24/AO24)/1000)</f>
        <v/>
      </c>
      <c r="AW24" s="714"/>
      <c r="AX24" s="714"/>
      <c r="AY24" s="714"/>
      <c r="AZ24" s="723"/>
      <c r="BA24" s="714"/>
      <c r="BB24" s="725"/>
      <c r="BC24" s="727"/>
      <c r="BD24" s="727"/>
      <c r="BE24" s="727"/>
      <c r="BF24" s="729"/>
    </row>
    <row r="25" spans="1:58" customHeight="1" ht="13.9">
      <c r="A25" s="485"/>
      <c r="B25" s="68"/>
      <c r="C25" s="415"/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/>
      <c r="S25" s="242"/>
      <c r="T25" s="401"/>
      <c r="U25" s="407"/>
      <c r="V25" s="249"/>
      <c r="W25" s="401"/>
      <c r="X25" s="278"/>
      <c r="Y25" s="78"/>
      <c r="Z25" s="403"/>
      <c r="AA25" s="281"/>
      <c r="AB25" s="79"/>
      <c r="AC25" s="85"/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str">
        <f>IF(C25="","",((Z25)*25)/AD25)</f>
        <v/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492" t="str">
        <f>IF(AN25="","",(AD25/AO25)/1000)</f>
        <v/>
      </c>
      <c r="AW25" s="714"/>
      <c r="AX25" s="714"/>
      <c r="AY25" s="714"/>
      <c r="AZ25" s="723"/>
      <c r="BA25" s="714"/>
      <c r="BB25" s="725"/>
      <c r="BC25" s="727"/>
      <c r="BD25" s="727"/>
      <c r="BE25" s="727"/>
      <c r="BF25" s="729"/>
    </row>
    <row r="26" spans="1:58" customHeight="1" ht="13.9">
      <c r="A26" s="485"/>
      <c r="B26" s="68"/>
      <c r="C26" s="69"/>
      <c r="D26" s="70"/>
      <c r="E26" s="76"/>
      <c r="F26" s="70"/>
      <c r="G26" s="76"/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/>
      <c r="S26" s="242"/>
      <c r="T26" s="401"/>
      <c r="U26" s="407"/>
      <c r="V26" s="249"/>
      <c r="W26" s="401"/>
      <c r="X26" s="278"/>
      <c r="Y26" s="78"/>
      <c r="Z26" s="403"/>
      <c r="AA26" s="281"/>
      <c r="AB26" s="79"/>
      <c r="AC26" s="85"/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str">
        <f>IF(C26="","",((Z26)*25)/AD26)</f>
        <v/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229" t="str">
        <f>IF(AN26="","",(AD26/AO26)/1000)</f>
        <v/>
      </c>
      <c r="AW26" s="714"/>
      <c r="AX26" s="714"/>
      <c r="AY26" s="714"/>
      <c r="AZ26" s="723"/>
      <c r="BA26" s="714"/>
      <c r="BB26" s="725"/>
      <c r="BC26" s="727"/>
      <c r="BD26" s="727"/>
      <c r="BE26" s="727"/>
      <c r="BF26" s="729"/>
    </row>
    <row r="27" spans="1:58" customHeight="1" ht="13.9">
      <c r="A27" s="485"/>
      <c r="B27" s="68"/>
      <c r="C27" s="69"/>
      <c r="D27" s="70"/>
      <c r="E27" s="76"/>
      <c r="F27" s="70"/>
      <c r="G27" s="76"/>
      <c r="H27" s="70"/>
      <c r="I27" s="76"/>
      <c r="J27" s="76"/>
      <c r="K27" s="70"/>
      <c r="L27" s="494"/>
      <c r="M27" s="494"/>
      <c r="N27" s="76"/>
      <c r="O27" s="76"/>
      <c r="P27" s="467"/>
      <c r="Q27" s="412"/>
      <c r="R27" s="410"/>
      <c r="S27" s="242"/>
      <c r="T27" s="401"/>
      <c r="U27" s="407"/>
      <c r="V27" s="249"/>
      <c r="W27" s="401"/>
      <c r="X27" s="278"/>
      <c r="Y27" s="78"/>
      <c r="Z27" s="403"/>
      <c r="AA27" s="281"/>
      <c r="AB27" s="79"/>
      <c r="AC27" s="85"/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str">
        <f>IF(C27="","",((Z27)*25)/AD27)</f>
        <v/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23"/>
      <c r="BA27" s="714"/>
      <c r="BB27" s="725"/>
      <c r="BC27" s="727"/>
      <c r="BD27" s="727"/>
      <c r="BE27" s="727"/>
      <c r="BF27" s="729"/>
    </row>
    <row r="28" spans="1:58">
      <c r="A28" s="41"/>
      <c r="B28" s="68"/>
      <c r="C28" s="69"/>
      <c r="D28" s="70"/>
      <c r="E28" s="76"/>
      <c r="F28" s="70"/>
      <c r="G28" s="76"/>
      <c r="H28" s="70"/>
      <c r="I28" s="75"/>
      <c r="J28" s="75"/>
      <c r="K28" s="70"/>
      <c r="L28" s="494"/>
      <c r="M28" s="494"/>
      <c r="N28" s="76"/>
      <c r="O28" s="76"/>
      <c r="P28" s="467"/>
      <c r="Q28" s="412"/>
      <c r="R28" s="410"/>
      <c r="S28" s="242"/>
      <c r="T28" s="401"/>
      <c r="U28" s="407"/>
      <c r="V28" s="249"/>
      <c r="W28" s="401"/>
      <c r="X28" s="278"/>
      <c r="Y28" s="78"/>
      <c r="Z28" s="403"/>
      <c r="AA28" s="281"/>
      <c r="AB28" s="79"/>
      <c r="AC28" s="85"/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str">
        <f>IF(C28="","",((Z28)*25)/AD28)</f>
        <v/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23"/>
      <c r="BA28" s="714"/>
      <c r="BB28" s="725"/>
      <c r="BC28" s="727"/>
      <c r="BD28" s="727"/>
      <c r="BE28" s="727"/>
      <c r="BF28" s="729"/>
    </row>
    <row r="29" spans="1:58">
      <c r="A29" s="41"/>
      <c r="B29" s="68"/>
      <c r="C29" s="69"/>
      <c r="D29" s="70"/>
      <c r="E29" s="76"/>
      <c r="F29" s="70"/>
      <c r="G29" s="430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/>
      <c r="S29" s="242"/>
      <c r="T29" s="401"/>
      <c r="U29" s="407"/>
      <c r="V29" s="249"/>
      <c r="W29" s="401"/>
      <c r="X29" s="278"/>
      <c r="Y29" s="78"/>
      <c r="Z29" s="403"/>
      <c r="AA29" s="281"/>
      <c r="AB29" s="79"/>
      <c r="AC29" s="85"/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str">
        <f>IF(C29="","",((Z29)*25)/AD29)</f>
        <v/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23"/>
      <c r="BA29" s="714"/>
      <c r="BB29" s="725"/>
      <c r="BC29" s="727"/>
      <c r="BD29" s="727"/>
      <c r="BE29" s="727"/>
      <c r="BF29" s="729"/>
    </row>
    <row r="30" spans="1:58">
      <c r="A30" s="41" t="str">
        <f>IF(B30="","",1+A29)</f>
        <v/>
      </c>
      <c r="B30" s="425"/>
      <c r="C30" s="426"/>
      <c r="D30" s="427"/>
      <c r="E30" s="428"/>
      <c r="F30" s="460"/>
      <c r="G30" s="459"/>
      <c r="H30" s="427"/>
      <c r="I30" s="429"/>
      <c r="J30" s="429"/>
      <c r="K30" s="427"/>
      <c r="L30" s="495"/>
      <c r="M30" s="495"/>
      <c r="N30" s="430"/>
      <c r="O30" s="430"/>
      <c r="P30" s="468"/>
      <c r="Q30" s="431"/>
      <c r="R30" s="432"/>
      <c r="S30" s="433"/>
      <c r="T30" s="434"/>
      <c r="U30" s="435"/>
      <c r="V30" s="436"/>
      <c r="W30" s="434"/>
      <c r="X30" s="279"/>
      <c r="Y30" s="437"/>
      <c r="Z30" s="438"/>
      <c r="AA30" s="439"/>
      <c r="AB30" s="440"/>
      <c r="AC30" s="441"/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str">
        <f>IF(C30="","",((Z30)*25)/AD30)</f>
        <v/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443"/>
      <c r="AO30" s="444"/>
      <c r="AP30" s="445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23"/>
      <c r="BA30" s="714"/>
      <c r="BB30" s="725"/>
      <c r="BC30" s="727"/>
      <c r="BD30" s="727"/>
      <c r="BE30" s="727"/>
      <c r="BF30" s="729"/>
    </row>
    <row r="31" spans="1:58">
      <c r="A31" s="41" t="str">
        <f>IF(B31="","",1+A30)</f>
        <v/>
      </c>
      <c r="B31" s="425"/>
      <c r="C31" s="426"/>
      <c r="D31" s="427"/>
      <c r="E31" s="428"/>
      <c r="F31" s="460"/>
      <c r="G31" s="428"/>
      <c r="H31" s="427"/>
      <c r="I31" s="429"/>
      <c r="J31" s="429"/>
      <c r="K31" s="427"/>
      <c r="L31" s="495"/>
      <c r="M31" s="495"/>
      <c r="N31" s="430"/>
      <c r="O31" s="430"/>
      <c r="P31" s="468"/>
      <c r="Q31" s="431"/>
      <c r="R31" s="432"/>
      <c r="S31" s="433"/>
      <c r="T31" s="434"/>
      <c r="U31" s="435"/>
      <c r="V31" s="436"/>
      <c r="W31" s="434"/>
      <c r="X31" s="279"/>
      <c r="Y31" s="437"/>
      <c r="Z31" s="438"/>
      <c r="AA31" s="439"/>
      <c r="AB31" s="440"/>
      <c r="AC31" s="441"/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str">
        <f>IF(C31="","",((Z31)*25)/AD31)</f>
        <v/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23"/>
      <c r="BA31" s="714"/>
      <c r="BB31" s="725"/>
      <c r="BC31" s="727"/>
      <c r="BD31" s="727"/>
      <c r="BE31" s="727"/>
      <c r="BF31" s="729"/>
    </row>
    <row r="32" spans="1:58">
      <c r="A32" s="41" t="str">
        <f>IF(B32="","",1+A31)</f>
        <v/>
      </c>
      <c r="B32" s="425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/>
      <c r="S32" s="433"/>
      <c r="T32" s="434"/>
      <c r="U32" s="435"/>
      <c r="V32" s="436"/>
      <c r="W32" s="434"/>
      <c r="X32" s="279"/>
      <c r="Y32" s="437"/>
      <c r="Z32" s="438"/>
      <c r="AA32" s="439"/>
      <c r="AB32" s="440"/>
      <c r="AC32" s="441"/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23"/>
      <c r="BA32" s="714"/>
      <c r="BB32" s="725"/>
      <c r="BC32" s="727"/>
      <c r="BD32" s="727"/>
      <c r="BE32" s="727"/>
      <c r="BF32" s="729"/>
    </row>
    <row r="33" spans="1:58">
      <c r="A33" s="41" t="str">
        <f>IF(B33="","",1+A32)</f>
        <v/>
      </c>
      <c r="B33" s="425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23"/>
      <c r="BA33" s="714"/>
      <c r="BB33" s="725"/>
      <c r="BC33" s="727"/>
      <c r="BD33" s="727"/>
      <c r="BE33" s="727"/>
      <c r="BF33" s="729"/>
    </row>
    <row r="34" spans="1:58">
      <c r="A34" s="41" t="str">
        <f>IF(B34="","",1+A33)</f>
        <v/>
      </c>
      <c r="B34" s="442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452"/>
      <c r="AX34" s="452"/>
      <c r="AY34" s="452"/>
      <c r="AZ34" s="144"/>
      <c r="BA34" s="452"/>
      <c r="BB34" s="455"/>
      <c r="BC34" s="142"/>
      <c r="BD34" s="142"/>
      <c r="BE34" s="142"/>
      <c r="BF34" s="283"/>
    </row>
    <row r="35" spans="1:58">
      <c r="A35" s="41" t="str">
        <f>IF(B35="","",1+A34)</f>
        <v/>
      </c>
      <c r="B35" s="95"/>
      <c r="C35" s="96"/>
      <c r="D35" s="387"/>
      <c r="E35" s="250"/>
      <c r="F35" s="461"/>
      <c r="G35" s="100"/>
      <c r="H35" s="97"/>
      <c r="I35" s="101"/>
      <c r="J35" s="101"/>
      <c r="K35" s="97"/>
      <c r="L35" s="496"/>
      <c r="M35" s="496"/>
      <c r="N35" s="102"/>
      <c r="O35" s="102"/>
      <c r="P35" s="469"/>
      <c r="Q35" s="413"/>
      <c r="R35" s="411"/>
      <c r="S35" s="243"/>
      <c r="T35" s="402"/>
      <c r="U35" s="408"/>
      <c r="V35" s="250"/>
      <c r="W35" s="402"/>
      <c r="X35" s="400"/>
      <c r="Y35" s="104"/>
      <c r="Z35" s="404"/>
      <c r="AA35" s="282"/>
      <c r="AB35" s="105"/>
      <c r="AC35" s="106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6"/>
      <c r="AO35" s="447"/>
      <c r="AP35" s="383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3"/>
      <c r="AX35" s="453"/>
      <c r="AY35" s="453"/>
      <c r="AZ35" s="454"/>
      <c r="BA35" s="453"/>
      <c r="BB35" s="456"/>
      <c r="BC35" s="457"/>
      <c r="BD35" s="457"/>
      <c r="BE35" s="457"/>
      <c r="BF35" s="458"/>
    </row>
    <row r="36" spans="1:58">
      <c r="A36" s="114"/>
      <c r="B36" s="115" t="s">
        <v>67</v>
      </c>
      <c r="C36" s="536">
        <f>SUM(C4:C35)</f>
        <v>0</v>
      </c>
      <c r="D36" s="536">
        <f>SUM(D4:D35)</f>
        <v>0</v>
      </c>
      <c r="E36" s="536">
        <f>SUM(E4:E35)</f>
        <v>0</v>
      </c>
      <c r="F36" s="536">
        <f>SUM(F4:F35)</f>
        <v>0</v>
      </c>
      <c r="G36" s="536">
        <f>SUM(G4:G35)</f>
        <v>0</v>
      </c>
      <c r="H36" s="536">
        <f>SUM(H4:H35)</f>
        <v>0</v>
      </c>
      <c r="I36" s="536">
        <f>SUM(I4:I35)</f>
        <v>0</v>
      </c>
      <c r="J36" s="536">
        <f>SUM(J4:J35)</f>
        <v>0</v>
      </c>
      <c r="K36" s="536">
        <f>SUM(K4:K35)</f>
        <v>0</v>
      </c>
      <c r="L36" s="535">
        <f>SUM(L4:L35)</f>
        <v>0</v>
      </c>
      <c r="M36" s="535">
        <f>SUM(M4:M35)</f>
        <v>0</v>
      </c>
      <c r="N36" s="535">
        <f>SUM(N4:N35)</f>
        <v>0</v>
      </c>
      <c r="O36" s="535">
        <f>SUM(O4:O35)</f>
        <v>0</v>
      </c>
      <c r="P36" s="535">
        <f>SUM(P4:P35)</f>
        <v>0</v>
      </c>
      <c r="Q36" s="536">
        <f>SUM(Q4:Q35)</f>
        <v>0</v>
      </c>
      <c r="R36" s="536">
        <f>SUM(R4:R35)</f>
        <v>0</v>
      </c>
      <c r="S36" s="536">
        <f>SUM(S4:S35)</f>
        <v>0</v>
      </c>
      <c r="T36" s="536">
        <f>SUM(T4:T35)</f>
        <v>0</v>
      </c>
      <c r="U36" s="535">
        <f>SUM(U4:U35)</f>
        <v>0</v>
      </c>
      <c r="V36" s="535">
        <f>SUM(V4:V35)</f>
        <v>0</v>
      </c>
      <c r="W36" s="535">
        <f>SUM(W4:W35)</f>
        <v>0</v>
      </c>
      <c r="X36" s="535">
        <f>SUM(X4:X35)</f>
        <v>0</v>
      </c>
      <c r="Y36" s="535">
        <f>SUM(Y4:Y35)</f>
        <v>0</v>
      </c>
      <c r="Z36" s="535">
        <f>SUM(Z4:Z35)</f>
        <v>0</v>
      </c>
      <c r="AA36" s="536">
        <f>SUM(AA4:AA35)</f>
        <v>0</v>
      </c>
      <c r="AB36" s="536">
        <f>SUM(AB4:AB35)</f>
        <v>0</v>
      </c>
      <c r="AC36" s="536">
        <f>SUM(AC4:AC35)</f>
        <v>0</v>
      </c>
      <c r="AD36" s="117">
        <f>SUM(AD4:AD35)</f>
        <v>0</v>
      </c>
      <c r="AE36" s="118">
        <f>SUM(AE4:AE35)</f>
        <v>0</v>
      </c>
      <c r="AF36" s="119" t="str">
        <f>IF(AD40=0,"",(AE36*50)/AD36)</f>
        <v/>
      </c>
      <c r="AG36" s="120" t="str">
        <f>IF(AD40=0,"",(Z36*50)/AD36)</f>
        <v/>
      </c>
      <c r="AH36" s="6" t="str">
        <f>IF(AD40=0,"",(X36*25)/AD36)</f>
        <v/>
      </c>
      <c r="AI36" s="119" t="str">
        <f>IF(AD40=0,"",(Y36*25)/AD36)</f>
        <v/>
      </c>
      <c r="AJ36" s="119" t="str">
        <f>IF(AD40=0,"",(AA36*25)/AD36)</f>
        <v/>
      </c>
      <c r="AK36" s="119" t="str">
        <f>IF(AD40=0,"",(AB36*40)/AD36)</f>
        <v/>
      </c>
      <c r="AL36" s="119" t="str">
        <f>IF(AD40=0,"",(AC36*50)/AD36)</f>
        <v/>
      </c>
      <c r="AM36" s="115" t="s">
        <v>67</v>
      </c>
      <c r="AN36" s="121">
        <f>SUM(AN4:AN35)</f>
        <v>0</v>
      </c>
      <c r="AO36" s="121">
        <f>SUM(AO4:AO35)</f>
        <v>0</v>
      </c>
      <c r="AP36" s="121">
        <f>SUM(AP4:AP35)</f>
        <v>0</v>
      </c>
      <c r="AQ36" s="122" t="str">
        <f>IF(AN36=0,"",AN36/AO36)</f>
        <v/>
      </c>
      <c r="AR36" s="122" t="str">
        <f>IF(AN36=0,"",(AD36/AN36)/1000)</f>
        <v/>
      </c>
      <c r="AS36" s="121" t="str">
        <f>IF(AN36=0,"",AR36*24)</f>
        <v/>
      </c>
      <c r="AT36" s="123" t="str">
        <f>IF(AN36=0,"",AD40/(AS36*26))</f>
        <v/>
      </c>
      <c r="AU36" s="121" t="str">
        <f>IF(AN36=0,"",(AE36/AN36))</f>
        <v/>
      </c>
      <c r="AV36" s="122" t="str">
        <f>IF(AO36=0,"",(AD36/AO36)/1000)</f>
        <v/>
      </c>
      <c r="AW36" s="124">
        <f>SUM(AW4:AW35)/1000</f>
        <v>0</v>
      </c>
      <c r="AX36" s="124">
        <f>SUM(AX4:AX35)/1000</f>
        <v>0</v>
      </c>
      <c r="AY36" s="124">
        <f>SUM(AY4:AY35)/1000</f>
        <v>0</v>
      </c>
      <c r="AZ36" s="124">
        <f>SUM(AZ4)</f>
        <v>0</v>
      </c>
      <c r="BA36" s="124">
        <f>SUM(BA4:BA35)</f>
        <v>0</v>
      </c>
      <c r="BB36" s="124">
        <f>SUM(BB4:BB35)</f>
        <v>0</v>
      </c>
      <c r="BC36" s="1">
        <f>SUM(BC4:BC35)/1000</f>
        <v>0</v>
      </c>
      <c r="BD36" s="1">
        <f>SUM(BD4:BD35)/1000</f>
        <v>0</v>
      </c>
      <c r="BE36" s="1">
        <f>SUM(BE4:BE35)/1000</f>
        <v>0</v>
      </c>
      <c r="BF36" s="1">
        <f>SUM(BF4:BF35)/1000</f>
        <v>0</v>
      </c>
    </row>
    <row r="37" spans="1:58">
      <c r="B37" s="115" t="s">
        <v>68</v>
      </c>
      <c r="C37" s="116" t="str">
        <f>IF(C36=0,"",AVERAGE(C4:C35))</f>
        <v/>
      </c>
      <c r="D37" s="116" t="str">
        <f>IF(D36=0,"",AVERAGE(D4:D35))</f>
        <v/>
      </c>
      <c r="E37" s="116" t="str">
        <f>IF(E36=0,"",AVERAGE(E4:E35))</f>
        <v/>
      </c>
      <c r="F37" s="116" t="str">
        <f>IF(F36=0,"",AVERAGE(F4:F35))</f>
        <v/>
      </c>
      <c r="G37" s="116" t="str">
        <f>IF(G36=0,"",AVERAGE(G4:G35))</f>
        <v/>
      </c>
      <c r="H37" s="116" t="str">
        <f>IF(H36=0,"",AVERAGE(H4:H35))</f>
        <v/>
      </c>
      <c r="I37" s="116" t="str">
        <f>IF(I36=0,"",AVERAGE(I4:I35))</f>
        <v/>
      </c>
      <c r="J37" s="116" t="str">
        <f>IF(J36=0,"",AVERAGE(J4:J35))</f>
        <v/>
      </c>
      <c r="K37" s="116" t="str">
        <f>IF(K36=0,"",AVERAGE(K4:K35))</f>
        <v/>
      </c>
      <c r="L37" s="116"/>
      <c r="M37" s="116"/>
      <c r="N37" s="116" t="str">
        <f>IF(N36=0,"",AVERAGE(N4:N35))</f>
        <v/>
      </c>
      <c r="O37" s="116" t="str">
        <f>IF(O36=0,"",AVERAGE(O4:O35))</f>
        <v/>
      </c>
      <c r="P37" s="116" t="str">
        <f>IF(P36=0,"",AVERAGE(P4:P35))</f>
        <v/>
      </c>
      <c r="Q37" s="116" t="str">
        <f>IF(Q36=0,"",AVERAGE(Q4:Q35))</f>
        <v/>
      </c>
      <c r="R37" s="116" t="str">
        <f>IF(R36=0,"",AVERAGE(R4:R35))</f>
        <v/>
      </c>
      <c r="S37" s="116" t="str">
        <f>IF(S36=0,"",AVERAGE(S4:S35))</f>
        <v/>
      </c>
      <c r="T37" s="116" t="str">
        <f>IF(T36=0,"",AVERAGE(T4:T35))</f>
        <v/>
      </c>
      <c r="U37" s="116" t="str">
        <f>IF(U36=0,"",AVERAGE(U4:U35))</f>
        <v/>
      </c>
      <c r="V37" s="116" t="str">
        <f>IF(V36=0,"",AVERAGE(V4:V35))</f>
        <v/>
      </c>
      <c r="W37" s="116" t="str">
        <f>IF(W36=0,"",AVERAGE(W4:W35))</f>
        <v/>
      </c>
      <c r="X37" s="116" t="str">
        <f>IF(X36=0,"",AVERAGE(X4:X35))</f>
        <v/>
      </c>
      <c r="Y37" s="116" t="str">
        <f>IF(Y36=0,"",AVERAGE(Y4:Y35))</f>
        <v/>
      </c>
      <c r="Z37" s="116" t="str">
        <f>IF(Z36=0,"",AVERAGE(Z4:Z35))</f>
        <v/>
      </c>
      <c r="AA37" s="116" t="str">
        <f>IF(AA36=0,"",AVERAGE(AA4:AA35))</f>
        <v/>
      </c>
      <c r="AB37" s="116" t="str">
        <f>IF(AB36=0,"",AVERAGE(AB4:AB35))</f>
        <v/>
      </c>
      <c r="AC37" s="116" t="str">
        <f>IF(AC36=0,"",AVERAGE(AC4:AC35))</f>
        <v/>
      </c>
      <c r="AE37" s="7"/>
      <c r="AG37" s="119"/>
      <c r="AJ37" s="6"/>
      <c r="AK37" s="6"/>
      <c r="AL37" s="6"/>
      <c r="AM37" s="115" t="s">
        <v>68</v>
      </c>
      <c r="AN37" s="121" t="str">
        <f>IF(AN36=0,"",AVERAGE(AN4:AN35))</f>
        <v/>
      </c>
      <c r="AO37" s="121" t="str">
        <f>IF(AO36=0,"",AVERAGE(AO4:AO35))</f>
        <v/>
      </c>
      <c r="AP37" s="121" t="str">
        <f>IF(AP36=0,"",AVERAGE(AP4:AP35))</f>
        <v/>
      </c>
      <c r="AQ37" s="122" t="str">
        <f>IF(AQ36="","",AVERAGE(AQ4:AQ35))</f>
        <v/>
      </c>
      <c r="AR37" s="122" t="str">
        <f>IF(AR36="","",AVERAGE(AR4:AR35))</f>
        <v/>
      </c>
      <c r="AS37" s="121" t="str">
        <f>IF(AS36="","",AVERAGE(AS4:AS35))</f>
        <v/>
      </c>
      <c r="AT37" s="123" t="str">
        <f>IF(AT36="","",AVERAGE(AT4:AT35))</f>
        <v/>
      </c>
      <c r="AU37" s="121" t="str">
        <f>IF(AU36="","",AVERAGE(AU4:AU35))</f>
        <v/>
      </c>
      <c r="AV37" s="122" t="str">
        <f>IF(AV36="","",AVERAGE(AV4:AV35))</f>
        <v/>
      </c>
      <c r="AW37" s="122"/>
      <c r="AX37" s="122"/>
      <c r="AY37" s="122"/>
      <c r="AZ37" s="122"/>
      <c r="BA37" s="122"/>
    </row>
    <row r="38" spans="1:58" customHeight="1" ht="23.85">
      <c r="B38" s="115" t="s">
        <v>69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C38" s="125"/>
      <c r="AD38" s="697" t="s">
        <v>70</v>
      </c>
      <c r="AE38" s="697"/>
      <c r="AF38" s="6"/>
      <c r="AG38" s="119"/>
      <c r="AH38" s="6"/>
      <c r="AI38" s="6"/>
      <c r="AJ38" s="6"/>
      <c r="AK38" s="6"/>
      <c r="AL38" s="6"/>
      <c r="AM38" s="6"/>
      <c r="AN38" s="121"/>
      <c r="AO38" s="121"/>
      <c r="AP38" s="121"/>
      <c r="AQ38" s="121"/>
      <c r="AR38" s="116"/>
      <c r="AS38" s="123"/>
      <c r="AT38" s="123"/>
      <c r="AU38" s="121"/>
    </row>
    <row r="39" spans="1:58">
      <c r="B39" s="115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25"/>
      <c r="AE39" s="697" t="s">
        <v>71</v>
      </c>
      <c r="AF39" s="697"/>
      <c r="AG39" s="119"/>
      <c r="AH39" s="127"/>
      <c r="AI39" s="127"/>
      <c r="AJ39" s="6"/>
      <c r="AK39" s="6"/>
      <c r="AL39" s="6"/>
      <c r="AM39" s="6"/>
      <c r="AN39" s="121"/>
      <c r="AO39" s="121"/>
      <c r="AP39" s="121"/>
      <c r="AQ39" s="121"/>
      <c r="AR39" s="121"/>
      <c r="AS39" s="116"/>
      <c r="AT39" s="123"/>
      <c r="AU39" s="116"/>
      <c r="AV39" s="121"/>
    </row>
    <row r="40" spans="1:58">
      <c r="A40" s="137"/>
      <c r="B40" s="499" t="s">
        <v>67</v>
      </c>
      <c r="C40" s="476">
        <f>SUM(C4:C35)</f>
        <v>0</v>
      </c>
      <c r="D40" s="476">
        <f>SUM(D4:D35)</f>
        <v>0</v>
      </c>
      <c r="E40" s="476">
        <f>SUM(E4:E35)</f>
        <v>0</v>
      </c>
      <c r="F40" s="476">
        <f>SUM(F4:F35)</f>
        <v>0</v>
      </c>
      <c r="G40" s="476">
        <f>SUM(G4:G35)</f>
        <v>0</v>
      </c>
      <c r="H40" s="476">
        <f>SUM(H4:H35)</f>
        <v>0</v>
      </c>
      <c r="I40" s="476">
        <f>SUM(I4:I35)</f>
        <v>0</v>
      </c>
      <c r="J40" s="476">
        <f>SUM(J4:J35)</f>
        <v>0</v>
      </c>
      <c r="K40" s="476">
        <f>SUM(K4:K35)</f>
        <v>0</v>
      </c>
      <c r="L40" s="476">
        <f>SUM(L4:L35)</f>
        <v>0</v>
      </c>
      <c r="M40" s="476">
        <f>SUM(M4:M35)</f>
        <v>0</v>
      </c>
      <c r="N40" s="476">
        <f>SUM(N4:N35)</f>
        <v>0</v>
      </c>
      <c r="O40" s="476">
        <f>SUM(O4:O35)</f>
        <v>0</v>
      </c>
      <c r="P40" s="476">
        <f>SUM(P4:P35)</f>
        <v>0</v>
      </c>
      <c r="Q40" s="476">
        <f>SUM(Q4:Q35)</f>
        <v>0</v>
      </c>
      <c r="R40" s="476">
        <f>SUM(R4:R35)</f>
        <v>0</v>
      </c>
      <c r="S40" s="476">
        <f>SUM(S4:S35)</f>
        <v>0</v>
      </c>
      <c r="T40" s="476">
        <f>SUM(T4:T35)</f>
        <v>0</v>
      </c>
      <c r="U40" s="476">
        <f>SUM(U4:U35)</f>
        <v>0</v>
      </c>
      <c r="V40" s="476">
        <f>SUM(V4:V35)</f>
        <v>0</v>
      </c>
      <c r="W40" s="476">
        <f>SUM(W4:W35)</f>
        <v>0</v>
      </c>
      <c r="X40" s="476">
        <f>SUM(X4:X35)</f>
        <v>0</v>
      </c>
      <c r="Y40" s="476">
        <f>SUM(Y4:Y35)</f>
        <v>0</v>
      </c>
      <c r="Z40" s="476">
        <f>SUM(Z4:Z35)</f>
        <v>0</v>
      </c>
      <c r="AA40" s="476">
        <f>SUM(AA4:AA35)</f>
        <v>0</v>
      </c>
      <c r="AB40" s="476">
        <f>SUM(AB4:AB35)</f>
        <v>0</v>
      </c>
      <c r="AC40" s="476">
        <f>SUM(AC4:AC35)</f>
        <v>0</v>
      </c>
      <c r="AD40" s="534">
        <f>AD36/1000</f>
        <v>0</v>
      </c>
      <c r="AE40" s="6"/>
      <c r="AF40" s="6"/>
      <c r="AG40" s="119"/>
      <c r="AH40" s="6"/>
      <c r="AI40" s="6"/>
      <c r="AJ40" s="6"/>
      <c r="AK40" s="6"/>
      <c r="AL40" s="115"/>
      <c r="AM40" s="115"/>
      <c r="AN40" s="121"/>
      <c r="AO40" s="121"/>
      <c r="AP40" s="121"/>
      <c r="AQ40" s="116"/>
      <c r="AR40" s="123"/>
      <c r="AS40" s="116"/>
      <c r="AT40" s="128"/>
    </row>
    <row r="41" spans="1:58"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4"/>
      <c r="AB41" s="7"/>
      <c r="AC41" s="6"/>
      <c r="AD41" s="6"/>
      <c r="AE41" s="115"/>
      <c r="AF41" s="121"/>
      <c r="AG41" s="129"/>
      <c r="AH41" s="121"/>
      <c r="AI41" s="121"/>
      <c r="AJ41" s="121"/>
      <c r="AK41" s="121"/>
      <c r="AL41" s="121"/>
      <c r="AM41" s="121"/>
      <c r="AN41" s="116"/>
      <c r="AO41" s="121"/>
    </row>
    <row r="42" spans="1:58">
      <c r="A42" s="130" t="s">
        <v>72</v>
      </c>
      <c r="B42" s="226"/>
      <c r="C42" s="131"/>
      <c r="D42" s="75"/>
      <c r="E42" s="75"/>
      <c r="F42" s="75"/>
      <c r="G42" s="75"/>
      <c r="H42" s="75"/>
      <c r="I42" s="72"/>
      <c r="J42" s="71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249"/>
      <c r="V42" s="71"/>
      <c r="W42" s="75"/>
      <c r="X42" s="79"/>
      <c r="Y42" s="79"/>
      <c r="Z42" s="79"/>
      <c r="AA42" s="79"/>
      <c r="AB42" s="79"/>
      <c r="AC42" s="85"/>
      <c r="AD42" s="55">
        <f>(Z42+AA42)*25.8</f>
        <v>0</v>
      </c>
      <c r="AE42" s="55">
        <f>Z42</f>
        <v>0</v>
      </c>
      <c r="AF42" s="56" t="str">
        <f>IF(B42="","",((AE42*25)/AD42))</f>
        <v/>
      </c>
      <c r="AG42" s="57" t="str">
        <f>IF(B42="","",((Z42)*25)/AD42)</f>
        <v/>
      </c>
      <c r="AH42" s="57" t="str">
        <f>IF(B42="","",(X42*25)/AD42)</f>
        <v/>
      </c>
      <c r="AI42" s="57" t="str">
        <f>IF(B42="","",(Y42*25)/AD42)</f>
        <v/>
      </c>
      <c r="AJ42" s="57" t="str">
        <f>IF(B42="","",(AA42*25)/AD42)</f>
        <v/>
      </c>
      <c r="AK42" s="58" t="str">
        <f>IF(B42="","",(AB42*40)/AD42)</f>
        <v/>
      </c>
      <c r="AL42" s="58" t="str">
        <f>IF(B42="","",(AC42*50)/AD42)</f>
        <v/>
      </c>
      <c r="AM42" s="59" t="str">
        <f>IF(B42="","",B42)</f>
        <v/>
      </c>
      <c r="AN42" s="81"/>
      <c r="AO42" s="94"/>
      <c r="AP42" s="83"/>
      <c r="AQ42" s="63" t="str">
        <f>IF(AN42="","",AN42/AO42)</f>
        <v/>
      </c>
      <c r="AR42" s="64" t="str">
        <f>IF(AN42="","",(AD42/AN42)/1000)</f>
        <v/>
      </c>
      <c r="AS42" s="64" t="str">
        <f>IF(AN42="","",AR42*24)</f>
        <v/>
      </c>
      <c r="AT42" s="65" t="str">
        <f>IF(AN42="","",(AD42/1000)*100%/AS42)</f>
        <v/>
      </c>
      <c r="AU42" s="64" t="str">
        <f>IF(AN42="","",(AE42/AN42))</f>
        <v/>
      </c>
      <c r="AV42" s="66" t="str">
        <f>IF(AN42="","",(AD42/AO42)/1000)</f>
        <v/>
      </c>
      <c r="AW42" s="389"/>
      <c r="AX42" s="390"/>
      <c r="AY42" s="390"/>
      <c r="AZ42" s="391"/>
      <c r="BA42" s="391"/>
      <c r="BB42" s="392"/>
      <c r="BC42" s="368"/>
      <c r="BD42" s="368"/>
      <c r="BE42" s="368"/>
      <c r="BF42" s="393"/>
    </row>
    <row r="43" spans="1:58">
      <c r="A43" s="130" t="s">
        <v>73</v>
      </c>
      <c r="B43" s="68"/>
      <c r="C43" s="131"/>
      <c r="D43" s="75"/>
      <c r="E43" s="75"/>
      <c r="F43" s="75"/>
      <c r="G43" s="75"/>
      <c r="H43" s="75"/>
      <c r="I43" s="72"/>
      <c r="J43" s="71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249"/>
      <c r="V43" s="71"/>
      <c r="W43" s="75"/>
      <c r="X43" s="79"/>
      <c r="Y43" s="79"/>
      <c r="Z43" s="79"/>
      <c r="AA43" s="79"/>
      <c r="AB43" s="79"/>
      <c r="AC43" s="85"/>
      <c r="AD43" s="55">
        <f>(Z43*25)+(AA43*25)+(AB43*40)+(AC43*50)</f>
        <v>0</v>
      </c>
      <c r="AE43" s="55" t="str">
        <f>IF(B43="","",C43+E43+G43+K43+N43+O43+Q43+R43+((D43+H43)/4)+((F43+I43+J43+T43+Z43)/2))</f>
        <v/>
      </c>
      <c r="AF43" s="56" t="str">
        <f>IF(B43="","",((AE43*50)/AD43))</f>
        <v/>
      </c>
      <c r="AG43" s="57" t="str">
        <f>IF(B43="","",((Z43)*25)/AD43)</f>
        <v/>
      </c>
      <c r="AH43" s="57" t="str">
        <f>IF(B43="","",(X43*25)/AD43)</f>
        <v/>
      </c>
      <c r="AI43" s="57" t="str">
        <f>IF(B43="","",(Y43*25)/AD43)</f>
        <v/>
      </c>
      <c r="AJ43" s="57" t="str">
        <f>IF(B43="","",(AA43*25)/AD43)</f>
        <v/>
      </c>
      <c r="AK43" s="58" t="str">
        <f>IF(B43="","",(AB43*40)/AD43)</f>
        <v/>
      </c>
      <c r="AL43" s="58" t="str">
        <f>IF(B43="","",(AC43*50)/AD43)</f>
        <v/>
      </c>
      <c r="AM43" s="59" t="str">
        <f>IF(B43="","",B43)</f>
        <v/>
      </c>
      <c r="AN43" s="81"/>
      <c r="AO43" s="94"/>
      <c r="AP43" s="83"/>
      <c r="AQ43" s="63" t="str">
        <f>IF(AN43="","",AN43/AO43)</f>
        <v/>
      </c>
      <c r="AR43" s="64" t="str">
        <f>IF(AN43="","",(AD43/AN43)/1000)</f>
        <v/>
      </c>
      <c r="AS43" s="64" t="str">
        <f>IF(AN43="","",AR43*24)</f>
        <v/>
      </c>
      <c r="AT43" s="65" t="str">
        <f>IF(AN43="","",(AD43/1000)*100%/AS43)</f>
        <v/>
      </c>
      <c r="AU43" s="64" t="str">
        <f>IF(AN43="","",(AE43/AN43))</f>
        <v/>
      </c>
      <c r="AV43" s="66" t="str">
        <f>IF(AN43="","",(AD43/AO43)/1000)</f>
        <v/>
      </c>
      <c r="AW43" s="394"/>
      <c r="AX43" s="92"/>
      <c r="AY43" s="92"/>
      <c r="AZ43" s="93"/>
      <c r="BA43" s="93"/>
      <c r="BB43" s="350"/>
      <c r="BC43" s="351"/>
      <c r="BD43" s="351"/>
      <c r="BE43" s="351"/>
      <c r="BF43" s="395"/>
    </row>
    <row r="44" spans="1:58">
      <c r="A44" s="130" t="s">
        <v>74</v>
      </c>
      <c r="B44" s="68"/>
      <c r="C44" s="131"/>
      <c r="D44" s="75"/>
      <c r="E44" s="75"/>
      <c r="F44" s="75"/>
      <c r="G44" s="75"/>
      <c r="H44" s="75"/>
      <c r="I44" s="72"/>
      <c r="J44" s="71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249"/>
      <c r="V44" s="71"/>
      <c r="W44" s="75"/>
      <c r="X44" s="79"/>
      <c r="Y44" s="79"/>
      <c r="Z44" s="79"/>
      <c r="AA44" s="79"/>
      <c r="AB44" s="79"/>
      <c r="AC44" s="85"/>
      <c r="AD44" s="55">
        <f>Z44*25</f>
        <v>0</v>
      </c>
      <c r="AE44" s="55" t="str">
        <f>IF(B44="","",C44+E44+G44+K44+N44+O44+Q44+R44+((D44+H44)/4)+((F44+I44+J44+T44)/2))</f>
        <v/>
      </c>
      <c r="AF44" s="56" t="str">
        <f>IF(B44="","",((AE44*50)/AD44))</f>
        <v/>
      </c>
      <c r="AG44" s="57" t="str">
        <f>IF(B44="","",((Z44)*25)/AD44)</f>
        <v/>
      </c>
      <c r="AH44" s="57" t="str">
        <f>IF(B44="","",(X44*25)/AD44)</f>
        <v/>
      </c>
      <c r="AI44" s="57" t="str">
        <f>IF(B44="","",(Y44*25)/AD44)</f>
        <v/>
      </c>
      <c r="AJ44" s="57" t="str">
        <f>IF(B44="","",(AA44*25)/AD44)</f>
        <v/>
      </c>
      <c r="AK44" s="58" t="str">
        <f>IF(B44="","",(AB44*40)/AD44)</f>
        <v/>
      </c>
      <c r="AL44" s="58" t="str">
        <f>IF(B44="","",(AC44*50)/AD44)</f>
        <v/>
      </c>
      <c r="AM44" s="59" t="str">
        <f>IF(B44="","",B44)</f>
        <v/>
      </c>
      <c r="AN44" s="81"/>
      <c r="AO44" s="94"/>
      <c r="AP44" s="83"/>
      <c r="AQ44" s="63" t="str">
        <f>IF(AN44="","",AN44/AO44)</f>
        <v/>
      </c>
      <c r="AR44" s="64" t="str">
        <f>IF(AN44="","",(AD44/AN44)/1000)</f>
        <v/>
      </c>
      <c r="AS44" s="64" t="str">
        <f>IF(AN44="","",AR44*24)</f>
        <v/>
      </c>
      <c r="AT44" s="65" t="str">
        <f>IF(AN44="","",(AD44/1000)*100%/AS44)</f>
        <v/>
      </c>
      <c r="AU44" s="64" t="str">
        <f>IF(AN44="","",(AE44/AN44))</f>
        <v/>
      </c>
      <c r="AV44" s="66" t="str">
        <f>IF(AN44="","",(AD44/AO44)/1000)</f>
        <v/>
      </c>
      <c r="AW44" s="394"/>
      <c r="AX44" s="92"/>
      <c r="AY44" s="92"/>
      <c r="AZ44" s="93"/>
      <c r="BA44" s="93"/>
      <c r="BB44" s="350"/>
      <c r="BC44" s="351"/>
      <c r="BD44" s="351"/>
      <c r="BE44" s="351"/>
      <c r="BF44" s="395"/>
    </row>
    <row r="45" spans="1:58">
      <c r="A45" s="130" t="s">
        <v>75</v>
      </c>
      <c r="B45" s="68"/>
      <c r="C45" s="131"/>
      <c r="D45" s="75"/>
      <c r="E45" s="75"/>
      <c r="F45" s="75"/>
      <c r="G45" s="75"/>
      <c r="H45" s="75"/>
      <c r="I45" s="72"/>
      <c r="J45" s="71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249"/>
      <c r="V45" s="71"/>
      <c r="W45" s="75"/>
      <c r="X45" s="79"/>
      <c r="Y45" s="79"/>
      <c r="Z45" s="79"/>
      <c r="AA45" s="79"/>
      <c r="AB45" s="79"/>
      <c r="AC45" s="85"/>
      <c r="AD45" s="55">
        <f>(Z45+AA45)*25.275</f>
        <v>0</v>
      </c>
      <c r="AE45" s="55" t="str">
        <f>IF(B45="","",C45+E45+G45+K45+N45+O45+Q45+R45+((D45+H45)/4)+((F45+I45+J45+T45)/2))</f>
        <v/>
      </c>
      <c r="AF45" s="56" t="str">
        <f>IF(B45="","",((AE45*50)/AD45))</f>
        <v/>
      </c>
      <c r="AG45" s="57" t="str">
        <f>IF(B45="","",((Z45)*25)/AD45)</f>
        <v/>
      </c>
      <c r="AH45" s="57" t="str">
        <f>IF(B45="","",(X45*25)/AD45)</f>
        <v/>
      </c>
      <c r="AI45" s="57" t="str">
        <f>IF(B45="","",(Y45*25)/AD45)</f>
        <v/>
      </c>
      <c r="AJ45" s="57" t="str">
        <f>IF(B45="","",(AA45*25)/AD45)</f>
        <v/>
      </c>
      <c r="AK45" s="58" t="str">
        <f>IF(B45="","",(AB45*40)/AD45)</f>
        <v/>
      </c>
      <c r="AL45" s="58" t="str">
        <f>IF(B45="","",(AC45*50)/AD45)</f>
        <v/>
      </c>
      <c r="AM45" s="59" t="str">
        <f>IF(B45="","",B45)</f>
        <v/>
      </c>
      <c r="AN45" s="81"/>
      <c r="AO45" s="94"/>
      <c r="AP45" s="83"/>
      <c r="AQ45" s="63" t="str">
        <f>IF(AN45="","",AN45/AO45)</f>
        <v/>
      </c>
      <c r="AR45" s="64" t="str">
        <f>IF(AN45="","",(AD45/AN45)/1000)</f>
        <v/>
      </c>
      <c r="AS45" s="64" t="str">
        <f>IF(AN45="","",AR45*24)</f>
        <v/>
      </c>
      <c r="AT45" s="65" t="str">
        <f>IF(AN45="","",(AD45/1000)*100%/AS45)</f>
        <v/>
      </c>
      <c r="AU45" s="64" t="str">
        <f>IF(AN45="","",(AE45/AN45))</f>
        <v/>
      </c>
      <c r="AV45" s="66" t="str">
        <f>IF(AN45="","",(AD45/AO45)/1000)</f>
        <v/>
      </c>
      <c r="AW45" s="396"/>
      <c r="AX45" s="231"/>
      <c r="AY45" s="231"/>
      <c r="AZ45" s="232"/>
      <c r="BA45" s="232"/>
      <c r="BB45" s="397"/>
      <c r="BC45" s="398"/>
      <c r="BD45" s="398"/>
      <c r="BE45" s="398"/>
      <c r="BF45" s="399"/>
    </row>
    <row r="46" spans="1:58">
      <c r="B46" s="115"/>
      <c r="C46" s="116"/>
      <c r="D46" s="116"/>
      <c r="E46" s="116"/>
      <c r="F46" s="116"/>
      <c r="G46" s="116"/>
      <c r="H46" s="116"/>
      <c r="O46" s="116"/>
      <c r="P46" s="116"/>
      <c r="Q46" s="116"/>
      <c r="R46" s="116"/>
      <c r="S46" s="116"/>
      <c r="T46" s="116"/>
      <c r="U46" s="116"/>
      <c r="V46" s="116"/>
      <c r="W46" s="7"/>
      <c r="X46" s="7"/>
      <c r="AB46" s="6"/>
      <c r="AC46" s="6"/>
      <c r="AD46" s="55">
        <f>SUM(AD42:AD45)</f>
        <v>0</v>
      </c>
      <c r="AE46" s="121"/>
      <c r="AF46" s="121"/>
      <c r="AG46" s="121"/>
      <c r="AH46" s="116"/>
      <c r="AI46" s="123"/>
      <c r="AJ46" s="123"/>
      <c r="AK46" s="116"/>
      <c r="AL46" s="121"/>
      <c r="AX46" s="1">
        <f>AX42/1000</f>
        <v>0</v>
      </c>
    </row>
    <row r="47" spans="1:58">
      <c r="B47" s="115"/>
      <c r="C47" s="116"/>
      <c r="D47" s="116"/>
      <c r="E47" s="116"/>
      <c r="F47" s="116"/>
      <c r="G47" s="116"/>
      <c r="H47" s="116"/>
      <c r="I47" s="116"/>
      <c r="Q47" s="116"/>
      <c r="R47" s="116"/>
      <c r="S47" s="116"/>
      <c r="T47" s="116"/>
      <c r="U47" s="116"/>
      <c r="V47" s="116"/>
      <c r="W47" s="116"/>
      <c r="X47" s="7"/>
      <c r="Y47" s="7"/>
      <c r="AC47" s="6"/>
      <c r="AD47" s="697" t="s">
        <v>70</v>
      </c>
      <c r="AE47" s="697"/>
      <c r="AF47" s="121"/>
      <c r="AG47" s="121"/>
      <c r="AH47" s="121"/>
      <c r="AI47" s="116"/>
      <c r="AJ47" s="123"/>
      <c r="AK47" s="123"/>
      <c r="AL47" s="116"/>
      <c r="AM47" s="121"/>
    </row>
    <row r="48" spans="1:58">
      <c r="B48" s="115"/>
      <c r="C48" s="116"/>
      <c r="D48" s="116"/>
      <c r="E48" s="116"/>
      <c r="F48" s="116"/>
      <c r="G48" s="116"/>
      <c r="H48" s="116"/>
      <c r="I48" s="117">
        <v>3.6</v>
      </c>
      <c r="J48" s="116"/>
      <c r="K48" s="516"/>
      <c r="L48" s="516"/>
      <c r="M48" s="516"/>
      <c r="N48" s="5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7"/>
      <c r="Z48" s="7"/>
      <c r="AD48" s="126">
        <f>AD46/1000</f>
        <v>0</v>
      </c>
      <c r="AE48" s="697" t="s">
        <v>71</v>
      </c>
      <c r="AF48" s="697"/>
      <c r="AG48" s="121"/>
      <c r="AH48" s="121"/>
      <c r="AI48" s="121"/>
      <c r="AJ48" s="116"/>
      <c r="AK48" s="123"/>
      <c r="AL48" s="123"/>
      <c r="AM48" s="116"/>
      <c r="AN48" s="121"/>
    </row>
    <row r="49" spans="1:58" customHeight="1" ht="13.9">
      <c r="A49" s="676" t="s">
        <v>76</v>
      </c>
      <c r="B49" s="677"/>
      <c r="C49" s="678" t="s">
        <v>77</v>
      </c>
      <c r="D49" s="133"/>
      <c r="F49" s="655" t="s">
        <v>78</v>
      </c>
      <c r="G49" s="656"/>
      <c r="H49" s="657"/>
      <c r="I49" s="355" t="s">
        <v>79</v>
      </c>
      <c r="J49" s="136"/>
      <c r="K49" s="679" t="s">
        <v>80</v>
      </c>
      <c r="L49" s="679"/>
      <c r="M49" s="680"/>
      <c r="N49" s="515" t="s">
        <v>81</v>
      </c>
      <c r="O49" s="688" t="s">
        <v>82</v>
      </c>
      <c r="P49" s="689"/>
      <c r="Q49" s="690"/>
      <c r="R49" s="688" t="s">
        <v>83</v>
      </c>
      <c r="S49" s="689"/>
      <c r="T49" s="689"/>
      <c r="U49" s="690"/>
      <c r="V49" s="500" t="s">
        <v>84</v>
      </c>
      <c r="W49" s="488"/>
      <c r="X49" s="501"/>
      <c r="AB49" s="247"/>
      <c r="AG49" s="6"/>
      <c r="AH49" s="6"/>
      <c r="AI49" s="121"/>
      <c r="AJ49" s="121"/>
      <c r="AK49" s="116"/>
      <c r="AL49" s="123"/>
      <c r="AM49" s="123"/>
      <c r="AN49" s="116"/>
      <c r="AO49" s="121"/>
    </row>
    <row r="50" spans="1:58" customHeight="1" ht="15">
      <c r="A50" s="369" t="s">
        <v>85</v>
      </c>
      <c r="B50" s="482">
        <f>AD40+AD48</f>
        <v>0</v>
      </c>
      <c r="C50" s="678"/>
      <c r="E50" s="137"/>
      <c r="F50" s="662" t="s">
        <v>86</v>
      </c>
      <c r="G50" s="663"/>
      <c r="H50" s="325">
        <f>IF(G53="",0,G56/G53)</f>
        <v>0</v>
      </c>
      <c r="I50" s="138">
        <f>IF(I53="",0,I56/I53)</f>
        <v>0</v>
      </c>
      <c r="J50" s="136"/>
      <c r="K50" s="681"/>
      <c r="L50" s="681"/>
      <c r="M50" s="141" t="e">
        <f>IF($V$50="",0,K50/$V$55)</f>
        <v>#DIV/0!</v>
      </c>
      <c r="N50" s="489"/>
      <c r="O50" s="695"/>
      <c r="P50" s="696"/>
      <c r="Q50" s="141" t="e">
        <f>IF($V$50="",0,O50/$V$55)</f>
        <v>#DIV/0!</v>
      </c>
      <c r="R50" s="140" t="str">
        <f>D80</f>
        <v>CWRS</v>
      </c>
      <c r="S50" s="721">
        <f>(B82*D82)+(B85*D85)+(B86*D86)+(B87*D87)+(B89*D89)+(B92*D92)+(B94*D94)+(B95*D95)+(B98*D98)+(B99*D99)+(B100*D100)+(B102*D102)+(B103*D103)+(B108*D108)+(B111*D111)+(B83*D83)+(B104*D104)+(B84*D84)+(B91*D91)+(B115*D115)+(B106*D106)+(B105*D105)+(B113*D113)+(B110*D110)+(B88*D88)+(B90*D90)+(B96*D96)+(B97*D97)+(B107*D107)</f>
        <v>0</v>
      </c>
      <c r="T50" s="721"/>
      <c r="U50" s="486">
        <f>IF($S$55=0,0,S50/$S$55)</f>
        <v>0</v>
      </c>
      <c r="V50" s="695">
        <f>K50+O50-S50</f>
        <v>0</v>
      </c>
      <c r="W50" s="696"/>
      <c r="X50" s="484" t="e">
        <f>IF($V$50="",0,V50/$V$55)</f>
        <v>#DIV/0!</v>
      </c>
      <c r="AB50" s="157"/>
      <c r="AJ50" s="121"/>
      <c r="AK50" s="116"/>
      <c r="AL50" s="123"/>
      <c r="AM50" s="123"/>
      <c r="AN50" s="116"/>
      <c r="AO50" s="121"/>
    </row>
    <row r="51" spans="1:58" customHeight="1" ht="15">
      <c r="A51" s="326" t="s">
        <v>87</v>
      </c>
      <c r="B51" s="318">
        <f>AE36</f>
        <v>0</v>
      </c>
      <c r="C51" s="377">
        <f>B50/(B60*120)</f>
        <v>-0</v>
      </c>
      <c r="E51" s="137"/>
      <c r="F51" s="662" t="s">
        <v>88</v>
      </c>
      <c r="G51" s="663"/>
      <c r="H51" s="318">
        <f>IF(G53="",0,G53/B50)</f>
        <v>0</v>
      </c>
      <c r="I51" s="272"/>
      <c r="J51" s="136"/>
      <c r="K51" s="685"/>
      <c r="L51" s="685"/>
      <c r="M51" s="141" t="e">
        <f>IF($V$51="",0,K51/$V$55)</f>
        <v>#DIV/0!</v>
      </c>
      <c r="N51" s="489"/>
      <c r="O51" s="687"/>
      <c r="P51" s="681"/>
      <c r="Q51" s="141" t="e">
        <f>IF($V$51="",0,O51/$V$55)</f>
        <v>#DIV/0!</v>
      </c>
      <c r="R51" s="140" t="str">
        <f>IF(E80="","",E80)</f>
        <v>CPS</v>
      </c>
      <c r="S51" s="720">
        <f>(B82*E82)+(B85*E85)+(B86*E86)+(B87*E87)+(B89*E89)+(B92*E92)+(B94*E94)+(B95*E95)+(B98*E98)+(B99*E99)+(B100*E100)+(B102*E102)+(B103*E103)+(B108*E108)+(B113*E113)+(B105*E105)+(B111*E111)+(B104*E104)+(B83*E83)+(B84*E84)+(B91*E91)+(B106*E106)+(B115*E115)+(B116*E116)+(B110*E110)+(B101*E101)+(B88*E88)+(B90*E90)+(B97*E97)+(B107*E107+B96*E96)</f>
        <v>0</v>
      </c>
      <c r="T51" s="720"/>
      <c r="U51" s="486">
        <f>IF($S$55=0,0,S51/$S$55)</f>
        <v>0</v>
      </c>
      <c r="V51" s="687">
        <f>K51+O51-S51</f>
        <v>0</v>
      </c>
      <c r="W51" s="681"/>
      <c r="X51" s="141" t="e">
        <f>IF($V$51="",0,V51/$V$55)</f>
        <v>#DIV/0!</v>
      </c>
      <c r="AJ51" s="121"/>
      <c r="AK51" s="116"/>
      <c r="AL51" s="123"/>
      <c r="AM51" s="123"/>
      <c r="AN51" s="116"/>
      <c r="AO51" s="121"/>
    </row>
    <row r="52" spans="1:58" customHeight="1" ht="15">
      <c r="A52" s="326" t="s">
        <v>89</v>
      </c>
      <c r="B52" s="318">
        <f>(B51*50)/1000</f>
        <v>0</v>
      </c>
      <c r="E52" s="120"/>
      <c r="F52" s="662" t="s">
        <v>90</v>
      </c>
      <c r="G52" s="663"/>
      <c r="H52" s="318">
        <f>IF(G53="",0,G53/((B51*50)/1000))</f>
        <v>0</v>
      </c>
      <c r="I52" s="272"/>
      <c r="J52" s="136"/>
      <c r="K52" s="685"/>
      <c r="L52" s="685"/>
      <c r="M52" s="141" t="e">
        <f>IF($V$50="",0,K52/$V$55)</f>
        <v>#DIV/0!</v>
      </c>
      <c r="N52" s="489"/>
      <c r="O52" s="687"/>
      <c r="P52" s="681"/>
      <c r="Q52" s="141" t="e">
        <f>IF($V$50="",0,O52/$V$55)</f>
        <v>#DIV/0!</v>
      </c>
      <c r="R52" s="148" t="s">
        <v>91</v>
      </c>
      <c r="S52" s="720">
        <f>(B82*G82)+(B85*G85)+(B86*G86)+(B87*G87)+(B89*G89)+(B92*G92)+(B94*G94)+(B95*G95)+(B98*G98)+(B99*G99)+(B100*G100)+(B102*G102)+(B103*G103)+(B108*G108)+(B113*G113)+(B109*G109)+(B116*G116)+(B114*G114)+(B115*G115)+(B83*G83)+(B84*G84)+(B104*G104)+(B106*G106)+(B96*G96)+(B97*G97)+(B90*G90)+(B88*G88)+(B105*G105)+(B91*G91)+(B110*G110)</f>
        <v>0</v>
      </c>
      <c r="T52" s="720"/>
      <c r="U52" s="486">
        <f>IF($S$55=0,0,S52/$S$55)</f>
        <v>0</v>
      </c>
      <c r="V52" s="687">
        <f>K52+O52-S52</f>
        <v>0</v>
      </c>
      <c r="W52" s="681"/>
      <c r="X52" s="141" t="e">
        <f>IF($V$50="",0,V52/$V$55)</f>
        <v>#DIV/0!</v>
      </c>
      <c r="AJ52" s="121"/>
      <c r="AK52" s="116"/>
      <c r="AL52" s="123"/>
      <c r="AM52" s="123"/>
      <c r="AN52" s="116"/>
      <c r="AO52" s="121"/>
    </row>
    <row r="53" spans="1:58" customHeight="1" ht="15">
      <c r="A53" s="326" t="s">
        <v>92</v>
      </c>
      <c r="B53" s="580">
        <f>IF(AF36="",0,AF36)</f>
        <v>0</v>
      </c>
      <c r="E53" s="144"/>
      <c r="F53" s="326" t="s">
        <v>93</v>
      </c>
      <c r="G53" s="693"/>
      <c r="H53" s="694"/>
      <c r="I53" s="353"/>
      <c r="J53" s="136"/>
      <c r="K53" s="686">
        <v>0</v>
      </c>
      <c r="L53" s="686"/>
      <c r="M53" s="141" t="e">
        <f>IF($V$50="",0,L53/$V$55)</f>
        <v>#DIV/0!</v>
      </c>
      <c r="N53" s="490"/>
      <c r="O53" s="687"/>
      <c r="P53" s="681"/>
      <c r="Q53" s="141" t="e">
        <f>IF($V$50="",0,O53/$V$55)</f>
        <v>#DIV/0!</v>
      </c>
      <c r="R53" s="140" t="s">
        <v>94</v>
      </c>
      <c r="S53" s="720">
        <f>(B82*F82)+(B85*F85)+(B86*F86)+(B87*F87)+(B89*F89)+(B92*F92)+(B94*F94)+(B95*F95)+(B98*F98)+(B99*F99)+(B100*F100)+(B102*F102)+(B103*F103)+(B108*F108)+(B113*F113)+(B115*F115)+(B111*F111)+(B109*F109)+(B105*F105)+(B116*F116)+(B101*F101)+(B88*F88)+(B90*F90)+(B91*F91)+(B106*F106)+(B107*F107)+(B96*F96)</f>
        <v>0</v>
      </c>
      <c r="T53" s="720"/>
      <c r="U53" s="486">
        <f>IF($S$55=0,0,S53/$S$55)</f>
        <v>0</v>
      </c>
      <c r="V53" s="687">
        <f>L53+O53-S53</f>
        <v>0</v>
      </c>
      <c r="W53" s="681"/>
      <c r="X53" s="141" t="e">
        <f>IF($V$50="",0,V53/$V$55)</f>
        <v>#DIV/0!</v>
      </c>
      <c r="AG53" s="6"/>
      <c r="AH53" s="6"/>
      <c r="AI53" s="121"/>
      <c r="AJ53" s="121"/>
      <c r="AK53" s="116"/>
      <c r="AL53" s="123"/>
      <c r="AM53" s="123"/>
      <c r="AN53" s="116"/>
      <c r="AO53" s="121"/>
    </row>
    <row r="54" spans="1:58" customHeight="1" ht="15">
      <c r="A54" s="326" t="s">
        <v>95</v>
      </c>
      <c r="B54" s="319">
        <f>AN36</f>
        <v>0</v>
      </c>
      <c r="E54" s="146"/>
      <c r="F54" s="326" t="s">
        <v>96</v>
      </c>
      <c r="G54" s="682"/>
      <c r="H54" s="683"/>
      <c r="I54" s="684"/>
      <c r="J54" s="136"/>
      <c r="K54" s="686">
        <v>0</v>
      </c>
      <c r="L54" s="686"/>
      <c r="M54" s="141" t="e">
        <f>IF($V$50="",0,L54/$V$55)</f>
        <v>#DIV/0!</v>
      </c>
      <c r="N54" s="489"/>
      <c r="O54" s="691">
        <v>0</v>
      </c>
      <c r="P54" s="692"/>
      <c r="Q54" s="141" t="e">
        <f>IF($V$50="",0,O54/$V$55)</f>
        <v>#DIV/0!</v>
      </c>
      <c r="R54" s="480" t="s">
        <v>97</v>
      </c>
      <c r="S54" s="719">
        <f>IF(AD43="",0,AD43)</f>
        <v>0</v>
      </c>
      <c r="T54" s="719"/>
      <c r="U54" s="141">
        <f>IF($S$55=0,0,S54/$S$55)</f>
        <v>0</v>
      </c>
      <c r="V54" s="691">
        <f>L54+O54-S54</f>
        <v>0</v>
      </c>
      <c r="W54" s="692"/>
      <c r="X54" s="141" t="e">
        <f>IF($V$50="",0,V54/$V$55)</f>
        <v>#DIV/0!</v>
      </c>
      <c r="AC54" s="421"/>
      <c r="AF54" s="6"/>
      <c r="AG54" s="6"/>
      <c r="AH54" s="6"/>
      <c r="AJ54" s="147"/>
      <c r="AK54" s="147"/>
      <c r="AL54" s="6"/>
      <c r="AM54" s="6"/>
      <c r="AN54" s="147"/>
      <c r="AO54" s="147"/>
    </row>
    <row r="55" spans="1:58" customHeight="1" ht="15">
      <c r="A55" s="326" t="s">
        <v>98</v>
      </c>
      <c r="B55" s="320">
        <f>IF(B50=0,0,AP36/AN36)</f>
        <v>0</v>
      </c>
      <c r="E55" s="146"/>
      <c r="F55" s="326" t="s">
        <v>99</v>
      </c>
      <c r="G55" s="660"/>
      <c r="H55" s="661"/>
      <c r="I55" s="149"/>
      <c r="J55" s="136"/>
      <c r="K55" s="671">
        <f>SUM(K50:K54)</f>
        <v>0</v>
      </c>
      <c r="L55" s="670"/>
      <c r="M55" s="481"/>
      <c r="N55" s="487">
        <f>SUM(N50:N54)</f>
        <v>0</v>
      </c>
      <c r="O55" s="671">
        <f>SUM(O50:O54)</f>
        <v>0</v>
      </c>
      <c r="P55" s="670"/>
      <c r="Q55" s="481"/>
      <c r="R55" s="150"/>
      <c r="S55" s="670">
        <f>SUM(S50:S54)</f>
        <v>0</v>
      </c>
      <c r="T55" s="670"/>
      <c r="U55" s="479"/>
      <c r="V55" s="671">
        <f>SUM(V50:V54)</f>
        <v>0</v>
      </c>
      <c r="W55" s="670"/>
      <c r="X55" s="481"/>
      <c r="AH55" s="6"/>
      <c r="AJ55" s="147"/>
      <c r="AK55" s="147"/>
      <c r="AL55" s="6"/>
      <c r="AM55" s="6"/>
      <c r="AN55" s="147"/>
      <c r="AO55" s="147"/>
    </row>
    <row r="56" spans="1:58" customHeight="1" ht="13.9">
      <c r="A56" s="326" t="s">
        <v>100</v>
      </c>
      <c r="B56" s="321" t="str">
        <f>AT37</f>
        <v/>
      </c>
      <c r="E56" s="146"/>
      <c r="F56" s="326" t="s">
        <v>101</v>
      </c>
      <c r="G56" s="672">
        <v>77284230</v>
      </c>
      <c r="H56" s="673"/>
      <c r="I56" s="153">
        <v>2803509</v>
      </c>
      <c r="K56" s="216"/>
      <c r="L56" s="216"/>
      <c r="M56" s="216"/>
      <c r="N56" s="216"/>
      <c r="O56" s="375"/>
      <c r="P56" s="517"/>
      <c r="Q56" s="517"/>
      <c r="AH56" s="6"/>
      <c r="AJ56" s="147"/>
      <c r="AK56" s="147"/>
      <c r="AL56" s="6"/>
      <c r="AM56" s="6"/>
      <c r="AN56" s="147"/>
      <c r="AO56" s="147"/>
    </row>
    <row r="57" spans="1:58" customHeight="1" ht="13.9">
      <c r="A57" s="326" t="s">
        <v>102</v>
      </c>
      <c r="B57" s="580" t="str">
        <f>+AT36</f>
        <v/>
      </c>
      <c r="E57" s="137"/>
      <c r="F57" s="662" t="s">
        <v>103</v>
      </c>
      <c r="G57" s="663"/>
      <c r="H57" s="327"/>
      <c r="I57" s="155"/>
      <c r="K57" s="665" t="s">
        <v>104</v>
      </c>
      <c r="L57" s="666"/>
      <c r="M57" s="666"/>
      <c r="N57" s="666"/>
      <c r="O57" s="666"/>
      <c r="P57" s="518"/>
      <c r="Q57" s="246"/>
      <c r="X57" s="4"/>
      <c r="AD57" s="4"/>
      <c r="AH57" s="6"/>
      <c r="AJ57" s="147"/>
      <c r="AK57" s="147"/>
      <c r="AL57" s="6"/>
      <c r="AM57" s="6"/>
      <c r="AN57" s="147"/>
      <c r="AO57" s="147"/>
    </row>
    <row r="58" spans="1:58" customHeight="1" ht="13.9">
      <c r="A58" s="326" t="s">
        <v>105</v>
      </c>
      <c r="B58" s="322">
        <f>IF(AS36="",0,AS36)</f>
        <v>0</v>
      </c>
      <c r="E58" s="137"/>
      <c r="F58" s="326"/>
      <c r="G58" s="216"/>
      <c r="H58" s="323"/>
      <c r="K58" s="326" t="s">
        <v>106</v>
      </c>
      <c r="L58" s="216"/>
      <c r="M58" s="332">
        <f>AX36</f>
        <v>0</v>
      </c>
      <c r="N58" s="332"/>
      <c r="O58" s="216" t="s">
        <v>107</v>
      </c>
      <c r="P58" s="140"/>
      <c r="S58" s="156"/>
      <c r="V58" s="142"/>
      <c r="X58" s="4"/>
      <c r="AB58" s="157"/>
      <c r="AD58" s="4"/>
      <c r="AH58" s="6"/>
      <c r="AJ58" s="147"/>
      <c r="AK58" s="147"/>
      <c r="AL58" s="6"/>
      <c r="AM58" s="6"/>
      <c r="AN58" s="147"/>
      <c r="AO58" s="147"/>
    </row>
    <row r="59" spans="1:58" customHeight="1" ht="13.9">
      <c r="A59" s="326" t="s">
        <v>108</v>
      </c>
      <c r="B59" s="322">
        <f>IF(AU36="",0,AU36)</f>
        <v>0</v>
      </c>
      <c r="E59" s="137"/>
      <c r="F59" s="328" t="s">
        <v>109</v>
      </c>
      <c r="G59" s="329"/>
      <c r="H59" s="330" t="s">
        <v>110</v>
      </c>
      <c r="K59" s="326" t="s">
        <v>111</v>
      </c>
      <c r="L59" s="216"/>
      <c r="M59" s="332">
        <f>AY36</f>
        <v>0</v>
      </c>
      <c r="N59" s="332"/>
      <c r="O59" s="323" t="s">
        <v>107</v>
      </c>
      <c r="S59" s="156"/>
      <c r="W59" s="156"/>
      <c r="AC59" s="247"/>
      <c r="AD59" s="157"/>
      <c r="AE59" s="157"/>
      <c r="AF59" s="157"/>
      <c r="AG59" s="6"/>
      <c r="AJ59" s="147"/>
      <c r="AK59" s="6"/>
      <c r="AL59" s="147"/>
      <c r="AM59" s="147"/>
      <c r="AN59" s="147"/>
    </row>
    <row r="60" spans="1:58" customHeight="1" ht="13.9">
      <c r="A60" s="326" t="s">
        <v>112</v>
      </c>
      <c r="B60" s="323">
        <f>31-COUNTBLANK(A4:A35)</f>
        <v>-1</v>
      </c>
      <c r="F60" s="331" t="s">
        <v>113</v>
      </c>
      <c r="G60" s="664" t="e">
        <f>G59/(B50*1000)</f>
        <v>#DIV/0!</v>
      </c>
      <c r="H60" s="664"/>
      <c r="I60" s="376"/>
      <c r="J60" s="136"/>
      <c r="K60" s="418" t="s">
        <v>92</v>
      </c>
      <c r="L60" s="483"/>
      <c r="M60" s="419" t="e">
        <f>M59/M58</f>
        <v>#DIV/0!</v>
      </c>
      <c r="N60" s="419"/>
      <c r="O60" s="420"/>
      <c r="S60" s="145"/>
      <c r="T60" s="665" t="s">
        <v>114</v>
      </c>
      <c r="U60" s="666"/>
      <c r="V60" s="667"/>
      <c r="X60" s="4"/>
      <c r="Y60" s="472" t="s">
        <v>115</v>
      </c>
      <c r="Z60" s="273" t="s">
        <v>169</v>
      </c>
      <c r="AA60" s="273">
        <v>900</v>
      </c>
      <c r="AB60" s="273" t="s">
        <v>117</v>
      </c>
      <c r="AC60" s="273">
        <v>7200</v>
      </c>
      <c r="AD60" s="273">
        <v>4200</v>
      </c>
      <c r="AE60" s="273">
        <v>8530</v>
      </c>
      <c r="AF60" s="157"/>
      <c r="AG60" s="6"/>
      <c r="AJ60" s="147"/>
      <c r="AK60" s="6"/>
      <c r="AL60" s="147"/>
      <c r="AM60" s="147"/>
      <c r="AN60" s="147"/>
    </row>
    <row r="61" spans="1:58" customHeight="1" ht="13.9">
      <c r="A61" s="370" t="s">
        <v>118</v>
      </c>
      <c r="B61" s="324">
        <f>AD40+AD48</f>
        <v>0</v>
      </c>
      <c r="G61" s="156" t="s">
        <v>119</v>
      </c>
      <c r="O61" s="4"/>
      <c r="P61" s="4"/>
      <c r="T61" s="354" t="s">
        <v>120</v>
      </c>
      <c r="U61" s="668"/>
      <c r="V61" s="669"/>
      <c r="X61" s="165" t="str">
        <f>C82</f>
        <v>Extrapan
 50</v>
      </c>
      <c r="Y61" s="531"/>
      <c r="Z61" s="531"/>
      <c r="AA61" s="531"/>
      <c r="AB61" s="531"/>
      <c r="AC61" s="531"/>
      <c r="AD61" s="531"/>
      <c r="AE61" s="531"/>
      <c r="AG61" s="147"/>
      <c r="AH61" s="147"/>
      <c r="AI61" s="6"/>
      <c r="AJ61" s="6"/>
      <c r="AK61" s="147"/>
      <c r="AL61" s="147"/>
      <c r="AM61" s="147"/>
    </row>
    <row r="62" spans="1:58" customHeight="1" ht="14.45">
      <c r="A62" s="259" t="s">
        <v>121</v>
      </c>
      <c r="B62" s="477">
        <f>B50/B67</f>
        <v>0</v>
      </c>
      <c r="E62" s="136"/>
      <c r="F62" s="655" t="s">
        <v>122</v>
      </c>
      <c r="G62" s="656"/>
      <c r="H62" s="657"/>
      <c r="K62" s="655" t="s">
        <v>123</v>
      </c>
      <c r="L62" s="656"/>
      <c r="M62" s="656"/>
      <c r="N62" s="656"/>
      <c r="O62" s="656"/>
      <c r="P62" s="519"/>
      <c r="Q62" s="133"/>
      <c r="R62" s="162"/>
      <c r="S62" s="162"/>
      <c r="T62" s="354" t="s">
        <v>124</v>
      </c>
      <c r="U62" s="658">
        <f>AZ4</f>
        <v>0</v>
      </c>
      <c r="V62" s="659"/>
      <c r="W62" s="162"/>
      <c r="X62" s="165" t="str">
        <f>C85</f>
        <v>Extrapan
25</v>
      </c>
      <c r="Y62" s="532"/>
      <c r="Z62" s="532"/>
      <c r="AA62" s="532"/>
      <c r="AB62" s="532"/>
      <c r="AC62" s="532"/>
      <c r="AD62" s="532"/>
      <c r="AE62" s="532"/>
      <c r="AG62" s="147"/>
      <c r="AH62" s="147"/>
      <c r="AI62" s="6"/>
      <c r="AJ62" s="6"/>
      <c r="AK62" s="147"/>
      <c r="AL62" s="147"/>
      <c r="AM62" s="147"/>
    </row>
    <row r="63" spans="1:58" customHeight="1" ht="14.45">
      <c r="A63" s="256" t="s">
        <v>125</v>
      </c>
      <c r="B63" s="502" t="e">
        <f>B75/B50</f>
        <v>#DIV/0!</v>
      </c>
      <c r="F63" s="632" t="s">
        <v>126</v>
      </c>
      <c r="G63" s="633"/>
      <c r="H63" s="268"/>
      <c r="I63" s="140"/>
      <c r="J63" s="136"/>
      <c r="K63" s="1" t="s">
        <v>127</v>
      </c>
      <c r="O63" s="520">
        <v>662</v>
      </c>
      <c r="R63" s="162"/>
      <c r="S63" s="162"/>
      <c r="T63" s="162"/>
      <c r="U63" s="162"/>
      <c r="V63" s="162"/>
      <c r="W63" s="162"/>
      <c r="X63" s="165" t="str">
        <f>C86</f>
        <v>Extrapan
10</v>
      </c>
      <c r="Y63" s="532"/>
      <c r="Z63" s="532"/>
      <c r="AA63" s="532"/>
      <c r="AB63" s="532"/>
      <c r="AC63" s="532"/>
      <c r="AD63" s="532"/>
      <c r="AE63" s="532"/>
      <c r="AG63" s="147"/>
      <c r="AH63" s="147"/>
      <c r="AI63" s="6"/>
      <c r="AJ63" s="6"/>
      <c r="AK63" s="147"/>
      <c r="AL63" s="147"/>
      <c r="AM63" s="147"/>
    </row>
    <row r="64" spans="1:58" customHeight="1" ht="14.45">
      <c r="A64" s="258" t="s">
        <v>128</v>
      </c>
      <c r="B64" s="503" t="e">
        <f>B76/B50</f>
        <v>#DIV/0!</v>
      </c>
      <c r="F64" s="140" t="s">
        <v>129</v>
      </c>
      <c r="H64" s="474">
        <f>(H63*1)*2</f>
        <v>0</v>
      </c>
      <c r="I64" s="140"/>
      <c r="K64" s="140" t="s">
        <v>129</v>
      </c>
      <c r="O64" s="474">
        <f>O63/30</f>
        <v>22.066666666666666</v>
      </c>
      <c r="T64" s="634" t="s">
        <v>130</v>
      </c>
      <c r="U64" s="635"/>
      <c r="V64" s="636"/>
      <c r="X64" s="165" t="str">
        <f>C87</f>
        <v>Artesanal 
50</v>
      </c>
      <c r="Y64" s="531"/>
      <c r="Z64" s="531"/>
      <c r="AA64" s="531"/>
      <c r="AB64" s="531"/>
      <c r="AC64" s="531"/>
      <c r="AD64" s="531"/>
      <c r="AE64" s="531"/>
      <c r="AG64" s="147"/>
      <c r="AH64" s="147"/>
      <c r="AI64" s="6"/>
      <c r="AJ64" s="6"/>
      <c r="AK64" s="147"/>
      <c r="AL64" s="147"/>
      <c r="AM64" s="147"/>
    </row>
    <row r="65" spans="1:58">
      <c r="F65" s="637" t="s">
        <v>131</v>
      </c>
      <c r="G65" s="638"/>
      <c r="H65" s="639"/>
      <c r="I65" s="140"/>
      <c r="J65" s="136"/>
      <c r="K65" s="1" t="s">
        <v>132</v>
      </c>
      <c r="P65" s="140"/>
      <c r="T65" s="417" t="s">
        <v>133</v>
      </c>
      <c r="U65" s="732"/>
      <c r="V65" s="733"/>
      <c r="X65" s="165" t="str">
        <f>C89</f>
        <v>Artesanal
25</v>
      </c>
      <c r="Y65" s="532"/>
      <c r="Z65" s="532"/>
      <c r="AA65" s="532"/>
      <c r="AB65" s="532"/>
      <c r="AC65" s="532"/>
      <c r="AD65" s="532"/>
      <c r="AE65" s="532"/>
      <c r="AG65" s="147"/>
      <c r="AH65" s="147"/>
      <c r="AI65" s="6"/>
      <c r="AJ65" s="6"/>
      <c r="AK65" s="147"/>
      <c r="AL65" s="147"/>
      <c r="AM65" s="147"/>
    </row>
    <row r="66" spans="1:58" customHeight="1" ht="14.45">
      <c r="A66" s="371" t="s">
        <v>134</v>
      </c>
      <c r="B66" s="373"/>
      <c r="F66" s="630" t="s">
        <v>91</v>
      </c>
      <c r="G66" s="642"/>
      <c r="H66" s="270"/>
      <c r="I66" s="140"/>
      <c r="K66" s="159" t="s">
        <v>94</v>
      </c>
      <c r="L66" s="158"/>
      <c r="M66" s="158"/>
      <c r="N66" s="158"/>
      <c r="O66" s="478"/>
      <c r="P66" s="524"/>
      <c r="T66" s="417" t="s">
        <v>135</v>
      </c>
      <c r="U66" s="651"/>
      <c r="V66" s="652"/>
      <c r="X66" s="165" t="str">
        <f>C92</f>
        <v>Natural 
50</v>
      </c>
      <c r="Y66" s="532"/>
      <c r="Z66" s="532"/>
      <c r="AA66" s="532"/>
      <c r="AB66" s="532"/>
      <c r="AC66" s="532"/>
      <c r="AD66" s="532"/>
      <c r="AE66" s="532"/>
      <c r="AG66" s="147"/>
      <c r="AH66" s="147"/>
      <c r="AI66" s="147"/>
      <c r="AJ66" s="147"/>
      <c r="AK66" s="6"/>
      <c r="AL66" s="6"/>
      <c r="AM66" s="147"/>
      <c r="AN66" s="147"/>
    </row>
    <row r="67" spans="1:58" customHeight="1" ht="14.45">
      <c r="A67" s="255" t="s">
        <v>136</v>
      </c>
      <c r="B67" s="264">
        <v>24</v>
      </c>
      <c r="F67" s="140" t="s">
        <v>137</v>
      </c>
      <c r="G67" s="475"/>
      <c r="H67" s="267">
        <f>H64*G67</f>
        <v>0</v>
      </c>
      <c r="K67" s="140" t="s">
        <v>137</v>
      </c>
      <c r="L67" s="475">
        <v>100</v>
      </c>
      <c r="M67" s="367">
        <f>(O64*L67)</f>
        <v>2206.66666666666652</v>
      </c>
      <c r="P67" s="524"/>
      <c r="Q67" s="521"/>
      <c r="T67" s="417" t="s">
        <v>94</v>
      </c>
      <c r="U67" s="730"/>
      <c r="V67" s="731"/>
      <c r="X67" s="165" t="str">
        <f>C99</f>
        <v>Harina Tortas y Ponques</v>
      </c>
      <c r="Y67" s="531"/>
      <c r="Z67" s="531"/>
      <c r="AA67" s="531"/>
      <c r="AB67" s="531"/>
      <c r="AC67" s="531"/>
      <c r="AD67" s="531"/>
      <c r="AE67" s="531"/>
      <c r="AG67" s="147"/>
      <c r="AH67" s="147"/>
      <c r="AI67" s="6"/>
      <c r="AJ67" s="6"/>
      <c r="AK67" s="147"/>
      <c r="AL67" s="147"/>
      <c r="AM67" s="147"/>
    </row>
    <row r="68" spans="1:58" customHeight="1" ht="14.45">
      <c r="A68" s="255" t="s">
        <v>138</v>
      </c>
      <c r="B68" s="265">
        <v>28760</v>
      </c>
      <c r="F68" s="148" t="s">
        <v>139</v>
      </c>
      <c r="G68" s="649">
        <f>(G67*436*1.7321*0.96)/1000</f>
        <v>0</v>
      </c>
      <c r="H68" s="650">
        <f>(H67*436*1.7321*0.96)/1000</f>
        <v>0</v>
      </c>
      <c r="K68" s="148" t="s">
        <v>139</v>
      </c>
      <c r="L68" s="271">
        <f>(L67*436*1.7321*0.96)/1000</f>
        <v>72.4987776</v>
      </c>
      <c r="M68" s="156"/>
      <c r="O68" s="525"/>
      <c r="P68" s="522"/>
      <c r="T68" s="354" t="s">
        <v>140</v>
      </c>
      <c r="U68" s="651"/>
      <c r="V68" s="652"/>
      <c r="X68" s="165" t="str">
        <f>C100</f>
        <v>Harina Galeras Ligera</v>
      </c>
      <c r="Y68" s="532"/>
      <c r="Z68" s="532"/>
      <c r="AA68" s="532"/>
      <c r="AB68" s="532"/>
      <c r="AC68" s="532"/>
      <c r="AD68" s="532"/>
      <c r="AE68" s="532"/>
      <c r="AG68" s="147"/>
      <c r="AH68" s="147"/>
      <c r="AI68" s="147"/>
      <c r="AJ68" s="147"/>
      <c r="AK68" s="6"/>
      <c r="AL68" s="6"/>
      <c r="AM68" s="147"/>
      <c r="AN68" s="147"/>
    </row>
    <row r="69" spans="1:58">
      <c r="A69" s="156" t="s">
        <v>142</v>
      </c>
      <c r="B69" s="424">
        <v>36087</v>
      </c>
      <c r="F69" s="140" t="s">
        <v>143</v>
      </c>
      <c r="G69" s="653">
        <f>G68*H63</f>
        <v>0</v>
      </c>
      <c r="H69" s="639"/>
      <c r="K69" s="140" t="s">
        <v>143</v>
      </c>
      <c r="M69" s="653">
        <f>L68*O64</f>
        <v>1599.80635903999996</v>
      </c>
      <c r="N69" s="653"/>
      <c r="O69" s="654"/>
      <c r="X69" s="165" t="str">
        <f>C103</f>
        <v>Harina de alta proteina x 1
G</v>
      </c>
      <c r="Y69" s="532"/>
      <c r="Z69" s="532"/>
      <c r="AA69" s="532"/>
      <c r="AB69" s="532"/>
      <c r="AC69" s="532"/>
      <c r="AD69" s="532"/>
      <c r="AE69" s="532"/>
      <c r="AG69" s="147"/>
      <c r="AH69" s="147"/>
      <c r="AI69" s="147"/>
      <c r="AJ69" s="147"/>
      <c r="AK69" s="6"/>
      <c r="AL69" s="6"/>
      <c r="AM69" s="147"/>
      <c r="AN69" s="147"/>
    </row>
    <row r="70" spans="1:58" customHeight="1" ht="14.45">
      <c r="A70" s="257" t="s">
        <v>144</v>
      </c>
      <c r="B70" s="266">
        <f>+B51/B68</f>
        <v>0</v>
      </c>
      <c r="F70" s="632" t="s">
        <v>86</v>
      </c>
      <c r="G70" s="633"/>
      <c r="H70" s="269">
        <f>G69*H50</f>
        <v>0</v>
      </c>
      <c r="K70" s="140" t="s">
        <v>86</v>
      </c>
      <c r="M70" s="352">
        <f>M69*H50</f>
        <v>0</v>
      </c>
      <c r="O70" s="136"/>
      <c r="P70" s="523"/>
      <c r="Q70" s="523"/>
      <c r="T70" s="374" t="s">
        <v>145</v>
      </c>
      <c r="U70" s="374"/>
      <c r="V70" s="374"/>
      <c r="X70" s="165" t="s">
        <v>67</v>
      </c>
      <c r="Y70" s="533"/>
      <c r="Z70" s="533"/>
      <c r="AA70" s="533"/>
      <c r="AB70" s="533"/>
      <c r="AC70" s="533"/>
      <c r="AD70" s="533"/>
      <c r="AE70" s="533"/>
      <c r="AG70" s="6"/>
      <c r="AI70" s="147"/>
      <c r="AJ70" s="147"/>
      <c r="AK70" s="147"/>
      <c r="AL70" s="147"/>
      <c r="AM70" s="147"/>
      <c r="AN70" s="6"/>
      <c r="AO70" s="147"/>
      <c r="AP70" s="147"/>
    </row>
    <row r="71" spans="1:58" customHeight="1" ht="22.5">
      <c r="A71" s="257" t="s">
        <v>146</v>
      </c>
      <c r="B71" s="266">
        <f>+B51/B69</f>
        <v>0</v>
      </c>
      <c r="F71" s="159"/>
      <c r="G71" s="158"/>
      <c r="H71" s="151"/>
      <c r="K71" s="159"/>
      <c r="L71" s="158"/>
      <c r="M71" s="158"/>
      <c r="N71" s="158"/>
      <c r="O71" s="151"/>
      <c r="T71" s="253" t="s">
        <v>147</v>
      </c>
      <c r="U71" s="254"/>
      <c r="V71" s="645">
        <f>AP36*(U71+U72)</f>
        <v>0</v>
      </c>
      <c r="X71" s="202" t="s">
        <v>141</v>
      </c>
      <c r="Y71" s="203"/>
      <c r="Z71" s="203"/>
      <c r="AA71" s="203"/>
      <c r="AB71" s="203"/>
      <c r="AC71" s="203"/>
      <c r="AE71" s="6"/>
      <c r="AG71" s="6"/>
      <c r="AI71" s="147"/>
      <c r="AJ71" s="147"/>
      <c r="AK71" s="147"/>
      <c r="AL71" s="147"/>
      <c r="AM71" s="147"/>
      <c r="AN71" s="6"/>
      <c r="AO71" s="147"/>
      <c r="AP71" s="147"/>
    </row>
    <row r="72" spans="1:58">
      <c r="T72" s="253" t="s">
        <v>151</v>
      </c>
      <c r="U72" s="254"/>
      <c r="V72" s="646"/>
      <c r="X72" s="202"/>
      <c r="Y72" s="245"/>
      <c r="Z72" s="245"/>
      <c r="AA72" s="245"/>
      <c r="AB72" s="245"/>
      <c r="AC72" s="245"/>
      <c r="AE72" s="6"/>
      <c r="AG72" s="6"/>
      <c r="AI72" s="147"/>
      <c r="AJ72" s="147"/>
      <c r="AK72" s="147"/>
      <c r="AL72" s="147"/>
      <c r="AM72" s="147"/>
      <c r="AN72" s="6"/>
      <c r="AO72" s="147"/>
      <c r="AP72" s="147"/>
    </row>
    <row r="73" spans="1:58">
      <c r="AE73" s="6"/>
      <c r="AG73" s="6"/>
      <c r="AI73" s="147"/>
      <c r="AJ73" s="147"/>
      <c r="AK73" s="147"/>
      <c r="AL73" s="147"/>
      <c r="AM73" s="147"/>
      <c r="AN73" s="6"/>
      <c r="AO73" s="147"/>
      <c r="AP73" s="147"/>
    </row>
    <row r="74" spans="1:58" customHeight="1" ht="14.45">
      <c r="A74" s="371" t="s">
        <v>154</v>
      </c>
      <c r="B74" s="372"/>
      <c r="C74" s="140"/>
      <c r="Y74" s="156" t="s">
        <v>148</v>
      </c>
      <c r="Z74" s="1" t="s">
        <v>149</v>
      </c>
      <c r="AA74" s="1" t="s">
        <v>150</v>
      </c>
      <c r="AE74" s="6"/>
      <c r="AG74" s="6"/>
      <c r="AI74" s="147"/>
      <c r="AJ74" s="147"/>
      <c r="AK74" s="147"/>
      <c r="AL74" s="147"/>
      <c r="AM74" s="147"/>
      <c r="AN74" s="6"/>
      <c r="AO74" s="147"/>
      <c r="AP74" s="147"/>
    </row>
    <row r="75" spans="1:58" customHeight="1" ht="14.45">
      <c r="A75" s="260" t="s">
        <v>155</v>
      </c>
      <c r="B75" s="262">
        <v>64062235</v>
      </c>
      <c r="Y75" s="209" t="s">
        <v>152</v>
      </c>
      <c r="Z75" s="7">
        <v>12.5</v>
      </c>
      <c r="AA75" s="7">
        <v>13.5</v>
      </c>
      <c r="AB75" s="7"/>
      <c r="AC75" s="1" t="s">
        <v>152</v>
      </c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8" customHeight="1" ht="14.45">
      <c r="A76" s="261" t="s">
        <v>156</v>
      </c>
      <c r="B76" s="263">
        <v>7837432</v>
      </c>
      <c r="Y76" s="209" t="s">
        <v>67</v>
      </c>
      <c r="Z76" s="212">
        <f>SUM(A82+A85+A86+A87+A89+A92+A94+A98+A100+A102+A103+A108+A105+A110+A113+A115+A109+A83+A84+A90+A88+A91+A96+A97+A104+A106+A111)*Z75</f>
        <v>0</v>
      </c>
      <c r="AA76" s="212">
        <f>(A95+A99)*AA75</f>
        <v>0</v>
      </c>
      <c r="AB76" s="240"/>
      <c r="AC76" s="156" t="s">
        <v>153</v>
      </c>
      <c r="AE76" s="206"/>
      <c r="AK76" s="147"/>
      <c r="AL76" s="147"/>
      <c r="AM76" s="147"/>
      <c r="AN76" s="6"/>
      <c r="AO76" s="147"/>
      <c r="AP76" s="147"/>
    </row>
    <row r="77" spans="1:58">
      <c r="Y77" s="202" t="s">
        <v>141</v>
      </c>
      <c r="Z77" s="142"/>
      <c r="AA77" s="142"/>
      <c r="AB77" s="142"/>
      <c r="AC77" s="156" t="s">
        <v>153</v>
      </c>
      <c r="AE77" s="206"/>
      <c r="AK77" s="147"/>
      <c r="AL77" s="147"/>
      <c r="AM77" s="147"/>
      <c r="AN77" s="6"/>
      <c r="AO77" s="147"/>
      <c r="AP77" s="147"/>
      <c r="AQ77" s="147"/>
      <c r="AR77" s="147"/>
    </row>
    <row r="78" spans="1:58">
      <c r="X78" s="169"/>
      <c r="AK78" s="147"/>
      <c r="AL78" s="147"/>
      <c r="AM78" s="147"/>
      <c r="AN78" s="6"/>
      <c r="AO78" s="147"/>
      <c r="AP78" s="147"/>
      <c r="AQ78" s="147"/>
      <c r="AR78" s="147"/>
    </row>
    <row r="79" spans="1:58">
      <c r="N79" s="4"/>
      <c r="X79" s="169"/>
      <c r="AE79" s="6"/>
      <c r="AK79" s="147"/>
      <c r="AL79" s="147"/>
      <c r="AM79" s="147"/>
      <c r="AN79" s="6"/>
      <c r="AO79" s="147"/>
      <c r="AP79" s="147"/>
      <c r="AQ79" s="147"/>
      <c r="AR79" s="147"/>
    </row>
    <row r="80" spans="1:58" customHeight="1" ht="16.35">
      <c r="A80" s="170"/>
      <c r="C80" s="171"/>
      <c r="D80" s="423" t="s">
        <v>157</v>
      </c>
      <c r="E80" s="423" t="s">
        <v>158</v>
      </c>
      <c r="F80" s="423" t="s">
        <v>94</v>
      </c>
      <c r="G80" s="423" t="s">
        <v>91</v>
      </c>
      <c r="AE80" s="6"/>
      <c r="AK80" s="147"/>
      <c r="AL80" s="147"/>
      <c r="AM80" s="147"/>
    </row>
    <row r="81" spans="1:58" customHeight="1" ht="16.35">
      <c r="A81" s="356" t="s">
        <v>45</v>
      </c>
      <c r="B81" s="472" t="s">
        <v>159</v>
      </c>
      <c r="C81" s="176" t="s">
        <v>160</v>
      </c>
      <c r="D81" s="178" t="s">
        <v>161</v>
      </c>
      <c r="E81" s="178" t="s">
        <v>161</v>
      </c>
      <c r="F81" s="178" t="s">
        <v>161</v>
      </c>
      <c r="G81" s="178" t="s">
        <v>161</v>
      </c>
      <c r="AE81" s="6"/>
      <c r="AK81" s="147"/>
      <c r="AL81" s="147"/>
      <c r="AM81" s="147"/>
    </row>
    <row r="82" spans="1:58" customHeight="1" ht="16.35">
      <c r="A82" s="139">
        <f>C36</f>
        <v>0</v>
      </c>
      <c r="B82" s="139">
        <f>IF(A82=0,0,((A82*50)/$B$53))</f>
        <v>0</v>
      </c>
      <c r="C82" s="180" t="s">
        <v>16</v>
      </c>
      <c r="D82" s="569">
        <v>0.8</v>
      </c>
      <c r="E82" s="570">
        <v>0.2</v>
      </c>
      <c r="F82" s="571"/>
      <c r="G82" s="572"/>
      <c r="Z82" s="213"/>
      <c r="AA82" s="213"/>
      <c r="AB82" s="213"/>
      <c r="AC82" s="213"/>
      <c r="AD82" s="213"/>
      <c r="AE82" s="6"/>
      <c r="AK82" s="147"/>
      <c r="AL82" s="147"/>
      <c r="AM82" s="147"/>
    </row>
    <row r="83" spans="1:58" customHeight="1" ht="16.35">
      <c r="A83" s="139">
        <f>C38</f>
        <v>0</v>
      </c>
      <c r="B83" s="139">
        <f>IF(A83=0,0,((A83*50)/$B$53))</f>
        <v>0</v>
      </c>
      <c r="C83" s="180" t="s">
        <v>16</v>
      </c>
      <c r="D83" s="573"/>
      <c r="E83" s="186"/>
      <c r="F83" s="462"/>
      <c r="G83" s="574"/>
      <c r="Z83" s="213"/>
      <c r="AA83" s="213"/>
      <c r="AB83" s="213"/>
      <c r="AC83" s="213"/>
      <c r="AD83" s="213"/>
      <c r="AE83" s="6"/>
      <c r="AK83" s="147"/>
      <c r="AL83" s="147"/>
      <c r="AM83" s="147"/>
    </row>
    <row r="84" spans="1:58" customHeight="1" ht="16.35">
      <c r="A84" s="139">
        <f>C39</f>
        <v>0</v>
      </c>
      <c r="B84" s="139">
        <f>IF(A84=0,0,((A84*50)/$B$53))</f>
        <v>0</v>
      </c>
      <c r="C84" s="180" t="s">
        <v>16</v>
      </c>
      <c r="D84" s="575">
        <v>0.8</v>
      </c>
      <c r="E84" s="382">
        <v>0.2</v>
      </c>
      <c r="F84" s="382"/>
      <c r="G84" s="574"/>
      <c r="Z84" s="213"/>
      <c r="AA84" s="213"/>
      <c r="AB84" s="213"/>
      <c r="AC84" s="213"/>
      <c r="AD84" s="213"/>
      <c r="AE84" s="6"/>
      <c r="AK84" s="147"/>
      <c r="AL84" s="147"/>
      <c r="AM84" s="147"/>
    </row>
    <row r="85" spans="1:58" customHeight="1" ht="16.35">
      <c r="A85" s="139">
        <f>D36/2</f>
        <v>0</v>
      </c>
      <c r="B85" s="139">
        <f>IF(A85=0,0,((A85*50)/$B$53))</f>
        <v>0</v>
      </c>
      <c r="C85" s="180" t="str">
        <f>D3</f>
        <v>Extrapan
25</v>
      </c>
      <c r="D85" s="573">
        <v>0.8</v>
      </c>
      <c r="E85" s="186">
        <v>0.2</v>
      </c>
      <c r="F85" s="186"/>
      <c r="G85" s="576"/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8" customHeight="1" ht="16.35">
      <c r="A86" s="139">
        <f>E36/5</f>
        <v>0</v>
      </c>
      <c r="B86" s="139">
        <f>IF(A86=0,0,((A86*50)/$B$53))</f>
        <v>0</v>
      </c>
      <c r="C86" s="189" t="str">
        <f>E3</f>
        <v>Extrapan
10</v>
      </c>
      <c r="D86" s="573">
        <v>0.8</v>
      </c>
      <c r="E86" s="186">
        <v>0.2</v>
      </c>
      <c r="F86" s="186"/>
      <c r="G86" s="576"/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8" customHeight="1" ht="16.35">
      <c r="A87" s="139">
        <f>F36</f>
        <v>0</v>
      </c>
      <c r="B87" s="139">
        <f>IF(A87=0,0,((A87*50)/$B$53))</f>
        <v>0</v>
      </c>
      <c r="C87" s="189" t="str">
        <f>F3</f>
        <v>Artesanal 
50</v>
      </c>
      <c r="D87" s="573">
        <v>0.6</v>
      </c>
      <c r="E87" s="186">
        <v>0.15</v>
      </c>
      <c r="F87" s="186">
        <v>0.25</v>
      </c>
      <c r="G87" s="576"/>
      <c r="J87" s="137"/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8" customHeight="1" ht="16.35">
      <c r="A88" s="139">
        <f>F38</f>
        <v>0</v>
      </c>
      <c r="B88" s="139">
        <f>IF(A88=0,0,((A88*50)/$B$53))</f>
        <v>0</v>
      </c>
      <c r="C88" s="568" t="str">
        <f>C87</f>
        <v>Artesanal 
50</v>
      </c>
      <c r="D88" s="573"/>
      <c r="E88" s="186"/>
      <c r="F88" s="186"/>
      <c r="G88" s="576"/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8" customHeight="1" ht="16.35">
      <c r="A89" s="139">
        <f>G36/2</f>
        <v>0</v>
      </c>
      <c r="B89" s="139">
        <f>IF(A89=0,0,((A89*50)/$B$53))</f>
        <v>0</v>
      </c>
      <c r="C89" s="190" t="str">
        <f>G3</f>
        <v>Artesanal
25</v>
      </c>
      <c r="D89" s="573">
        <v>0.6</v>
      </c>
      <c r="E89" s="186">
        <v>0.15</v>
      </c>
      <c r="F89" s="186">
        <v>0.25</v>
      </c>
      <c r="G89" s="576"/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8" customHeight="1" ht="16.35">
      <c r="A90" s="139">
        <f>G38/2</f>
        <v>0</v>
      </c>
      <c r="B90" s="139">
        <f>IF(A90=0,0,((A90*50)/$B$53))</f>
        <v>0</v>
      </c>
      <c r="C90" s="190" t="str">
        <f>C89</f>
        <v>Artesanal
25</v>
      </c>
      <c r="D90" s="573"/>
      <c r="E90" s="186"/>
      <c r="F90" s="186"/>
      <c r="G90" s="576"/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8" customHeight="1" ht="16.35">
      <c r="A91" s="139">
        <f>H36</f>
        <v>0</v>
      </c>
      <c r="B91" s="139">
        <f>IF(A91=0,0,((A91*50)/$B$53))</f>
        <v>0</v>
      </c>
      <c r="C91" s="180" t="str">
        <f>H3</f>
        <v>Natural 
50</v>
      </c>
      <c r="D91" s="573">
        <v>0.7</v>
      </c>
      <c r="E91" s="186">
        <v>0.07</v>
      </c>
      <c r="F91" s="186">
        <v>0.23</v>
      </c>
      <c r="G91" s="576"/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8" customHeight="1" ht="16.35">
      <c r="A92" s="139">
        <f>H38</f>
        <v>0</v>
      </c>
      <c r="B92" s="139">
        <f>IF(A92=0,0,((A92*50)/$B$53))</f>
        <v>0</v>
      </c>
      <c r="C92" s="180" t="str">
        <f>H3</f>
        <v>Natural 
50</v>
      </c>
      <c r="D92" s="577"/>
      <c r="E92" s="578"/>
      <c r="F92" s="578"/>
      <c r="G92" s="579"/>
      <c r="V92" s="124"/>
      <c r="W92" s="124"/>
      <c r="Z92" s="6"/>
      <c r="AA92" s="6"/>
      <c r="AB92" s="6"/>
      <c r="AC92" s="6"/>
      <c r="AD92" s="6"/>
      <c r="AE92" s="6"/>
      <c r="AH92" s="147"/>
      <c r="AI92" s="147"/>
      <c r="AJ92" s="147"/>
    </row>
    <row r="93" spans="1:58" customHeight="1" ht="16.35">
      <c r="A93" s="139"/>
      <c r="B93" s="139">
        <f>IF(A93=0,0,((A93*50)/$B$53))</f>
        <v>0</v>
      </c>
      <c r="C93" s="548"/>
      <c r="D93" s="200"/>
      <c r="E93" s="200"/>
      <c r="F93" s="201"/>
      <c r="G93" s="201"/>
      <c r="V93" s="245"/>
      <c r="W93" s="245"/>
      <c r="Y93" s="213"/>
      <c r="Z93" s="6"/>
      <c r="AA93" s="6"/>
      <c r="AB93" s="6"/>
      <c r="AC93" s="6"/>
      <c r="AD93" s="6"/>
      <c r="AE93" s="6"/>
      <c r="AH93" s="147"/>
      <c r="AI93" s="147"/>
      <c r="AJ93" s="147"/>
    </row>
    <row r="94" spans="1:58" customHeight="1" ht="15.6">
      <c r="A94" s="139">
        <f>I36/2</f>
        <v>0</v>
      </c>
      <c r="B94" s="139">
        <f>IF(A94=0,0,((A94*50)/$B$53))</f>
        <v>0</v>
      </c>
      <c r="C94" s="379" t="str">
        <f>I3</f>
        <v>Fuerte
25</v>
      </c>
      <c r="D94" s="463">
        <v>0.57</v>
      </c>
      <c r="E94" s="182">
        <v>0.13</v>
      </c>
      <c r="F94" s="182">
        <v>0.3</v>
      </c>
      <c r="G94" s="506"/>
      <c r="Y94" s="213"/>
      <c r="Z94" s="6"/>
      <c r="AA94" s="6"/>
      <c r="AB94" s="6"/>
      <c r="AC94" s="6"/>
      <c r="AD94" s="6"/>
      <c r="AE94" s="6"/>
      <c r="AH94" s="147"/>
      <c r="AI94" s="147"/>
      <c r="AJ94" s="147"/>
    </row>
    <row r="95" spans="1:58" customHeight="1" ht="16.35">
      <c r="A95" s="139">
        <f>J36/2</f>
        <v>0</v>
      </c>
      <c r="B95" s="139">
        <f>IF(A95=0,0,((A95*50)/$B$53))</f>
        <v>0</v>
      </c>
      <c r="C95" s="448" t="str">
        <f>J3</f>
        <v>Fuerte exp
25</v>
      </c>
      <c r="D95" s="462">
        <v>0.57</v>
      </c>
      <c r="E95" s="186">
        <v>0.13</v>
      </c>
      <c r="F95" s="382">
        <v>0.3</v>
      </c>
      <c r="G95" s="504"/>
      <c r="Y95" s="213"/>
      <c r="Z95" s="6"/>
      <c r="AA95" s="6"/>
      <c r="AB95" s="6"/>
      <c r="AC95" s="6"/>
      <c r="AD95" s="6"/>
      <c r="AE95" s="6"/>
      <c r="AH95" s="147"/>
      <c r="AI95" s="147"/>
      <c r="AJ95" s="147"/>
    </row>
    <row r="96" spans="1:58" customHeight="1" ht="16.35">
      <c r="A96" s="139">
        <f>I38/2</f>
        <v>0</v>
      </c>
      <c r="B96" s="139">
        <f>IF(A96=0,0,((A96*50)/$B$53))</f>
        <v>0</v>
      </c>
      <c r="C96" s="379" t="str">
        <f>I3</f>
        <v>Fuerte
25</v>
      </c>
      <c r="D96" s="462"/>
      <c r="E96" s="186"/>
      <c r="F96" s="382"/>
      <c r="G96" s="504"/>
      <c r="Y96" s="213"/>
      <c r="Z96" s="6"/>
      <c r="AA96" s="6"/>
      <c r="AB96" s="6"/>
      <c r="AC96" s="6"/>
      <c r="AD96" s="6"/>
      <c r="AE96" s="6"/>
      <c r="AH96" s="147"/>
      <c r="AI96" s="147"/>
      <c r="AJ96" s="147"/>
    </row>
    <row r="97" spans="1:58" customHeight="1" ht="16.35">
      <c r="A97" s="139">
        <f>I39/2</f>
        <v>0</v>
      </c>
      <c r="B97" s="139">
        <f>IF(A97=0,0,((A97*50)/$B$53))</f>
        <v>0</v>
      </c>
      <c r="C97" s="379" t="str">
        <f>C96</f>
        <v>Fuerte
25</v>
      </c>
      <c r="D97" s="462"/>
      <c r="E97" s="186"/>
      <c r="F97" s="382"/>
      <c r="G97" s="504"/>
      <c r="Y97" s="213"/>
      <c r="Z97" s="6"/>
      <c r="AA97" s="6"/>
      <c r="AB97" s="6"/>
      <c r="AC97" s="6"/>
      <c r="AD97" s="6"/>
      <c r="AE97" s="6"/>
      <c r="AH97" s="147"/>
      <c r="AI97" s="147"/>
      <c r="AJ97" s="147"/>
    </row>
    <row r="98" spans="1:58" customHeight="1" ht="16.35">
      <c r="A98" s="139">
        <f>K36</f>
        <v>0</v>
      </c>
      <c r="B98" s="139">
        <f>IF(A98=0,0,((A98*50)/$B$53))</f>
        <v>0</v>
      </c>
      <c r="C98" s="379" t="str">
        <f>K3</f>
        <v>Exclusiva
50</v>
      </c>
      <c r="D98" s="462">
        <v>0.62</v>
      </c>
      <c r="E98" s="186">
        <v>0.13</v>
      </c>
      <c r="F98" s="382">
        <v>0.25</v>
      </c>
      <c r="G98" s="504"/>
      <c r="Y98" s="213"/>
      <c r="Z98" s="6"/>
      <c r="AA98" s="6"/>
      <c r="AB98" s="6"/>
      <c r="AC98" s="6"/>
      <c r="AD98" s="6"/>
      <c r="AE98" s="6"/>
      <c r="AH98" s="147"/>
      <c r="AI98" s="147"/>
      <c r="AJ98" s="147"/>
    </row>
    <row r="99" spans="1:58" customHeight="1" ht="26.85">
      <c r="A99" s="139">
        <f>N36</f>
        <v>0</v>
      </c>
      <c r="B99" s="139">
        <f>IF(A99=0,0,((A99*50)/$B$53))</f>
        <v>0</v>
      </c>
      <c r="C99" s="449" t="str">
        <f>N3</f>
        <v>Harina Tortas y Ponques</v>
      </c>
      <c r="D99" s="462"/>
      <c r="E99" s="186"/>
      <c r="F99" s="186"/>
      <c r="G99" s="504"/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8" customHeight="1" ht="29.25">
      <c r="A100" s="139">
        <f>O36</f>
        <v>0</v>
      </c>
      <c r="B100" s="139">
        <f>IF(A100=0,0,((A100*50)/$B$53))</f>
        <v>0</v>
      </c>
      <c r="C100" s="449" t="str">
        <f>O3</f>
        <v>Harina Galeras Ligera</v>
      </c>
      <c r="D100" s="462"/>
      <c r="E100" s="186"/>
      <c r="F100" s="508"/>
      <c r="G100" s="188"/>
      <c r="H100" s="214"/>
      <c r="I100" s="214"/>
      <c r="J100" s="214"/>
      <c r="K100" s="156"/>
      <c r="L100" s="156"/>
      <c r="M100" s="156"/>
      <c r="N100" s="156"/>
      <c r="O100" s="202"/>
      <c r="P100" s="202"/>
      <c r="Q100" s="214"/>
      <c r="R100" s="214"/>
      <c r="S100" s="214"/>
      <c r="T100" s="156"/>
      <c r="U100" s="156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8" customHeight="1" ht="29.25">
      <c r="A101" s="139">
        <f>O38</f>
        <v>0</v>
      </c>
      <c r="B101" s="139">
        <f>IF(A101=0,0,((A101*50)/$B$53))</f>
        <v>0</v>
      </c>
      <c r="C101" s="449" t="str">
        <f>C100</f>
        <v>Harina Galeras Ligera</v>
      </c>
      <c r="D101" s="462"/>
      <c r="E101" s="186"/>
      <c r="F101" s="186"/>
      <c r="G101" s="504"/>
      <c r="H101" s="214"/>
      <c r="I101" s="214"/>
      <c r="J101" s="214"/>
      <c r="K101" s="156"/>
      <c r="L101" s="156"/>
      <c r="M101" s="156"/>
      <c r="N101" s="156"/>
      <c r="O101" s="202"/>
      <c r="P101" s="202"/>
      <c r="Q101" s="214"/>
      <c r="R101" s="214"/>
      <c r="S101" s="214"/>
      <c r="T101" s="156"/>
      <c r="U101" s="156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8" customHeight="1" ht="17.1">
      <c r="A102" s="139">
        <f>Q36</f>
        <v>0</v>
      </c>
      <c r="B102" s="139">
        <f>IF(A102=0,0,((A102*50)/$B$53))</f>
        <v>0</v>
      </c>
      <c r="C102" s="379" t="str">
        <f>Q3</f>
        <v>ESPECIAL
50</v>
      </c>
      <c r="D102" s="462"/>
      <c r="E102" s="186"/>
      <c r="F102" s="186"/>
      <c r="G102" s="505"/>
      <c r="X102" s="213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8" customHeight="1" ht="31.5">
      <c r="A103" s="139">
        <f>R36/50</f>
        <v>0</v>
      </c>
      <c r="B103" s="139">
        <f>IF(A103=0,0,((A103*50)/$B$53))</f>
        <v>0</v>
      </c>
      <c r="C103" s="449" t="str">
        <f>R3</f>
        <v>Harina de alta proteina x 1
G</v>
      </c>
      <c r="D103" s="462">
        <v>1</v>
      </c>
      <c r="E103" s="186"/>
      <c r="F103" s="186"/>
      <c r="G103" s="505"/>
      <c r="X103" s="213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8" customHeight="1" ht="16.35">
      <c r="A104" s="139">
        <f>R38/50</f>
        <v>0</v>
      </c>
      <c r="B104" s="139">
        <f>IF(A104=0,0,((A104*50)/$B$53))</f>
        <v>0</v>
      </c>
      <c r="C104" s="379" t="s">
        <v>170</v>
      </c>
      <c r="D104" s="381"/>
      <c r="E104" s="230"/>
      <c r="F104" s="230"/>
      <c r="G104" s="505"/>
      <c r="X104" s="213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8" customHeight="1" ht="27.6">
      <c r="A105" s="139">
        <f>S36/50</f>
        <v>0</v>
      </c>
      <c r="B105" s="139">
        <f>IF(A105=0,0,((A105*50)/$B$53))</f>
        <v>0</v>
      </c>
      <c r="C105" s="449" t="str">
        <f>S3</f>
        <v>Harina de baja proteina x 1</v>
      </c>
      <c r="D105" s="381"/>
      <c r="E105" s="230"/>
      <c r="F105" s="230">
        <v>1</v>
      </c>
      <c r="G105" s="505"/>
      <c r="X105" s="213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8" customHeight="1" ht="16.35">
      <c r="A106" s="139">
        <f>S38/50</f>
        <v>0</v>
      </c>
      <c r="B106" s="139">
        <f>IF(A106=0,0,((A106*50)/$B$53))</f>
        <v>0</v>
      </c>
      <c r="C106" s="449" t="s">
        <v>171</v>
      </c>
      <c r="D106" s="381"/>
      <c r="E106" s="230"/>
      <c r="F106" s="230"/>
      <c r="G106" s="507"/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8" customHeight="1" ht="16.35">
      <c r="A107" s="139">
        <f>S39/50</f>
        <v>0</v>
      </c>
      <c r="B107" s="139">
        <f>IF(A107=0,0,((A107*50)/$B$53))</f>
        <v>0</v>
      </c>
      <c r="C107" s="449" t="s">
        <v>171</v>
      </c>
      <c r="D107" s="381"/>
      <c r="E107" s="230"/>
      <c r="F107" s="230"/>
      <c r="G107" s="507"/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8" customHeight="1" ht="24">
      <c r="A108" s="139">
        <f>T36/50</f>
        <v>0</v>
      </c>
      <c r="B108" s="139">
        <f>IF(A108=0,0,((A108*50)/$B$53))</f>
        <v>0</v>
      </c>
      <c r="C108" s="449" t="str">
        <f>T3</f>
        <v>ARTESANAL X 1
G</v>
      </c>
      <c r="D108" s="462">
        <v>0.61</v>
      </c>
      <c r="E108" s="186"/>
      <c r="F108" s="186">
        <v>0.39</v>
      </c>
      <c r="G108" s="505"/>
      <c r="X108" s="213"/>
      <c r="Y108" s="213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8" customHeight="1" ht="22.5">
      <c r="A109" s="139">
        <f>T38/50</f>
        <v>0</v>
      </c>
      <c r="B109" s="139">
        <f>IF(A109=0,0,((A109*50)/$B$53))</f>
        <v>0</v>
      </c>
      <c r="C109" s="449" t="str">
        <f>T3</f>
        <v>ARTESANAL X 1
G</v>
      </c>
      <c r="D109" s="462"/>
      <c r="E109" s="186"/>
      <c r="F109" s="186"/>
      <c r="G109" s="505"/>
      <c r="X109" s="213"/>
      <c r="Y109" s="213"/>
      <c r="Z109" s="6"/>
      <c r="AA109" s="6"/>
      <c r="AB109" s="6"/>
      <c r="AC109" s="6"/>
      <c r="AD109" s="6"/>
      <c r="AE109" s="6"/>
      <c r="AH109" s="147"/>
      <c r="AI109" s="147"/>
      <c r="AJ109" s="147"/>
    </row>
    <row r="110" spans="1:58" customHeight="1" ht="16.35">
      <c r="A110" s="139">
        <f>P36/2</f>
        <v>0</v>
      </c>
      <c r="B110" s="139">
        <f>IF(A110=0,0,((A110*50)/$B$53))</f>
        <v>0</v>
      </c>
      <c r="C110" s="379" t="str">
        <f>P3</f>
        <v>H. Manitova </v>
      </c>
      <c r="D110" s="470"/>
      <c r="E110" s="186"/>
      <c r="F110" s="186"/>
      <c r="G110" s="507"/>
      <c r="X110" s="213"/>
      <c r="Y110" s="213"/>
      <c r="Z110" s="6"/>
      <c r="AA110" s="6"/>
      <c r="AB110" s="6"/>
      <c r="AC110" s="6"/>
      <c r="AD110" s="6"/>
      <c r="AE110" s="6"/>
      <c r="AH110" s="147"/>
      <c r="AI110" s="147"/>
      <c r="AJ110" s="147"/>
    </row>
    <row r="111" spans="1:58" customHeight="1" ht="16.35">
      <c r="A111" s="139">
        <f>U36/2</f>
        <v>0</v>
      </c>
      <c r="B111" s="139">
        <f>IF(A111=0,0,((A111*50)/$B$53))</f>
        <v>0</v>
      </c>
      <c r="C111" s="379" t="str">
        <f>U3</f>
        <v>H. espcial x 25
</v>
      </c>
      <c r="D111" s="378"/>
      <c r="E111" s="251">
        <v>0.14</v>
      </c>
      <c r="F111" s="509">
        <v>0.86</v>
      </c>
      <c r="G111" s="510"/>
      <c r="X111" s="213"/>
      <c r="Y111" s="213"/>
      <c r="Z111" s="6"/>
      <c r="AA111" s="6"/>
      <c r="AB111" s="6"/>
      <c r="AC111" s="6"/>
      <c r="AD111" s="6"/>
      <c r="AE111" s="6"/>
      <c r="AH111" s="147"/>
      <c r="AI111" s="147"/>
      <c r="AJ111" s="147"/>
    </row>
    <row r="112" spans="1:58" customHeight="1" ht="16.35">
      <c r="A112" s="139"/>
      <c r="B112" s="139"/>
      <c r="C112" s="216"/>
      <c r="D112" s="4"/>
      <c r="E112" s="4"/>
      <c r="F112" s="4"/>
      <c r="G112" s="464"/>
      <c r="X112" s="213"/>
      <c r="Y112" s="213"/>
      <c r="Z112" s="6"/>
      <c r="AA112" s="6"/>
      <c r="AB112" s="6"/>
      <c r="AC112" s="6"/>
      <c r="AD112" s="6"/>
      <c r="AE112" s="6"/>
      <c r="AH112" s="147"/>
      <c r="AI112" s="147"/>
      <c r="AJ112" s="147"/>
    </row>
    <row r="113" spans="1:58" customHeight="1" ht="16.35">
      <c r="A113" s="139">
        <f>Z42/2</f>
        <v>0</v>
      </c>
      <c r="B113" s="139">
        <f>IF(A113=0,0,((A113*51.6)))</f>
        <v>0</v>
      </c>
      <c r="C113" s="217" t="str">
        <f>A42</f>
        <v>Grano entero</v>
      </c>
      <c r="D113" s="182"/>
      <c r="E113" s="182"/>
      <c r="F113" s="512"/>
      <c r="G113" s="511"/>
      <c r="X113" s="213"/>
      <c r="Y113" s="213"/>
      <c r="Z113" s="6"/>
      <c r="AA113" s="6"/>
      <c r="AB113" s="6"/>
      <c r="AC113" s="6"/>
      <c r="AD113" s="6"/>
      <c r="AE113" s="6"/>
      <c r="AH113" s="147"/>
      <c r="AI113" s="147"/>
      <c r="AJ113" s="147"/>
    </row>
    <row r="114" spans="1:58" customHeight="1" ht="16.35">
      <c r="A114" s="139">
        <f>Z43/2</f>
        <v>0</v>
      </c>
      <c r="B114" s="139">
        <f>IF(A114=0,0,((A114*50)))</f>
        <v>0</v>
      </c>
      <c r="C114" s="379" t="str">
        <f>A43</f>
        <v>Bio Convercion </v>
      </c>
      <c r="D114" s="462"/>
      <c r="E114" s="366"/>
      <c r="F114" s="186"/>
      <c r="G114" s="505"/>
      <c r="X114" s="213"/>
      <c r="Y114" s="213"/>
      <c r="Z114" s="6"/>
      <c r="AA114" s="6"/>
      <c r="AB114" s="6"/>
      <c r="AC114" s="6"/>
      <c r="AD114" s="6"/>
      <c r="AE114" s="6"/>
      <c r="AH114" s="147"/>
      <c r="AI114" s="147"/>
      <c r="AJ114" s="147"/>
    </row>
    <row r="115" spans="1:58" customHeight="1" ht="16.35">
      <c r="A115" s="139">
        <f>Z45/2</f>
        <v>0</v>
      </c>
      <c r="B115" s="139">
        <f>IF(A115=0,0,((A115*50.55)))</f>
        <v>0</v>
      </c>
      <c r="C115" s="380" t="str">
        <f>A45</f>
        <v>Trigo entero </v>
      </c>
      <c r="D115" s="470"/>
      <c r="E115" s="230"/>
      <c r="F115" s="366"/>
      <c r="G115" s="513"/>
      <c r="X115" s="213"/>
      <c r="Y115" s="213"/>
      <c r="Z115" s="6"/>
      <c r="AA115" s="6"/>
      <c r="AB115" s="6"/>
      <c r="AC115" s="6"/>
      <c r="AD115" s="6"/>
      <c r="AE115" s="6"/>
      <c r="AH115" s="147"/>
      <c r="AI115" s="147"/>
      <c r="AJ115" s="147"/>
    </row>
    <row r="116" spans="1:58" customHeight="1" ht="16.35">
      <c r="A116" s="139">
        <f>AA45/2</f>
        <v>0</v>
      </c>
      <c r="B116" s="139">
        <f>IF(A116=0,0,((A116*52)))</f>
        <v>0</v>
      </c>
      <c r="C116" s="380" t="str">
        <f>C115</f>
        <v>Trigo entero </v>
      </c>
      <c r="D116" s="378"/>
      <c r="E116" s="192"/>
      <c r="F116" s="192"/>
      <c r="G116" s="514"/>
      <c r="X116" s="213"/>
      <c r="Y116" s="213"/>
      <c r="Z116" s="6"/>
      <c r="AA116" s="6"/>
      <c r="AB116" s="6"/>
      <c r="AC116" s="6"/>
      <c r="AD116" s="6"/>
      <c r="AE116" s="6"/>
      <c r="AH116" s="147"/>
      <c r="AI116" s="147"/>
      <c r="AJ116" s="147"/>
    </row>
    <row r="117" spans="1:58" customHeight="1" ht="13.5">
      <c r="B117" s="139">
        <f>SUM(B82:B116)</f>
        <v>0</v>
      </c>
      <c r="X117" s="213"/>
      <c r="Y117" s="386"/>
      <c r="Z117" s="6"/>
      <c r="AA117" s="6"/>
      <c r="AB117" s="6"/>
      <c r="AC117" s="6"/>
      <c r="AD117" s="6"/>
      <c r="AE117" s="6"/>
      <c r="AH117" s="147"/>
      <c r="AI117" s="147"/>
      <c r="AJ117" s="147"/>
      <c r="AO117" s="147"/>
      <c r="AP117" s="147"/>
    </row>
    <row r="118" spans="1:58" customHeight="1" ht="12.75">
      <c r="X118" s="213"/>
      <c r="Y118" s="4"/>
      <c r="Z118" s="4"/>
      <c r="AB118" s="384"/>
      <c r="AC118" s="385"/>
      <c r="AD118" s="4"/>
      <c r="AE118" s="213"/>
      <c r="AF118" s="213"/>
      <c r="AG118" s="6"/>
      <c r="AH118" s="6"/>
      <c r="AI118" s="6"/>
      <c r="AJ118" s="6"/>
      <c r="AK118" s="6"/>
      <c r="AL118" s="6"/>
      <c r="AM118" s="6"/>
      <c r="AP118" s="147"/>
      <c r="AQ118" s="147"/>
      <c r="AV118" s="147"/>
      <c r="AW118" s="147"/>
    </row>
    <row r="119" spans="1:58">
      <c r="X119" s="213"/>
      <c r="Y119" s="4"/>
      <c r="Z119" s="4"/>
      <c r="AB119" s="4"/>
      <c r="AE119" s="213"/>
      <c r="AF119" s="473"/>
      <c r="AG119" s="6"/>
      <c r="AH119" s="6"/>
      <c r="AI119" s="6"/>
      <c r="AJ119" s="6"/>
      <c r="AK119" s="6"/>
      <c r="AL119" s="6"/>
      <c r="AM119" s="6"/>
      <c r="AP119" s="147"/>
      <c r="AQ119" s="147"/>
      <c r="AV119" s="147"/>
      <c r="AW119" s="147"/>
    </row>
    <row r="120" spans="1:58">
      <c r="X120" s="213"/>
      <c r="Y120" s="213"/>
      <c r="Z120" s="4"/>
      <c r="AA120" s="4"/>
      <c r="AC120" s="4"/>
      <c r="AF120" s="213"/>
      <c r="AG120" s="213"/>
      <c r="AH120" s="6"/>
      <c r="AI120" s="6"/>
      <c r="AJ120" s="6"/>
      <c r="AK120" s="6"/>
      <c r="AL120" s="6"/>
      <c r="AM120" s="6"/>
      <c r="AN120" s="6"/>
      <c r="AQ120" s="147"/>
      <c r="AR120" s="147"/>
      <c r="AW120" s="147"/>
      <c r="AX120" s="147"/>
    </row>
    <row r="121" spans="1:58">
      <c r="X121" s="213"/>
      <c r="Z121" s="4"/>
      <c r="AA121" s="4"/>
      <c r="AC121" s="4"/>
      <c r="AF121" s="213"/>
      <c r="AG121" s="213"/>
      <c r="AH121" s="6"/>
      <c r="AI121" s="6"/>
      <c r="AJ121" s="6"/>
      <c r="AK121" s="6"/>
      <c r="AL121" s="6"/>
      <c r="AM121" s="6"/>
      <c r="AN121" s="6"/>
      <c r="AQ121" s="147"/>
      <c r="AR121" s="147"/>
      <c r="AW121" s="147"/>
      <c r="AX121" s="147"/>
    </row>
    <row r="122" spans="1:58">
      <c r="N122" s="4"/>
      <c r="X122" s="213"/>
      <c r="AA122" s="4"/>
      <c r="AC122" s="4"/>
      <c r="AF122" s="213"/>
      <c r="AG122" s="213"/>
      <c r="AH122" s="6"/>
      <c r="AI122" s="6"/>
      <c r="AJ122" s="6"/>
      <c r="AK122" s="6"/>
      <c r="AL122" s="6"/>
      <c r="AM122" s="6"/>
      <c r="AN122" s="6"/>
      <c r="AQ122" s="147"/>
      <c r="AR122" s="147"/>
      <c r="AW122" s="147"/>
      <c r="AX122" s="147"/>
    </row>
    <row r="123" spans="1:58">
      <c r="N123" s="4"/>
      <c r="X123" s="213"/>
      <c r="Z123" s="6"/>
      <c r="AA123" s="6"/>
      <c r="AB123" s="6"/>
      <c r="AC123" s="6"/>
      <c r="AD123" s="6"/>
      <c r="AE123" s="6"/>
      <c r="AH123" s="147"/>
      <c r="AI123" s="147"/>
      <c r="AJ123" s="147"/>
      <c r="AO123" s="147"/>
      <c r="AP123" s="147"/>
    </row>
    <row r="124" spans="1:58">
      <c r="N124" s="4"/>
      <c r="X124" s="213"/>
      <c r="Z124" s="6"/>
      <c r="AA124" s="6"/>
      <c r="AB124" s="6"/>
      <c r="AC124" s="6"/>
      <c r="AD124" s="6"/>
      <c r="AE124" s="6"/>
      <c r="AH124" s="147"/>
      <c r="AI124" s="147"/>
      <c r="AJ124" s="147"/>
      <c r="AO124" s="147"/>
      <c r="AP124" s="147"/>
    </row>
    <row r="125" spans="1:58">
      <c r="N125" s="4"/>
      <c r="X125" s="213"/>
      <c r="AD125" s="6"/>
      <c r="AE125" s="6"/>
      <c r="AH125" s="147"/>
      <c r="AI125" s="147"/>
      <c r="AJ125" s="147"/>
      <c r="AO125" s="147"/>
      <c r="AP125" s="147"/>
    </row>
    <row r="126" spans="1:58">
      <c r="N126" s="4"/>
      <c r="X126" s="4"/>
    </row>
    <row r="127" spans="1:58">
      <c r="N127" s="4"/>
      <c r="X127" s="4"/>
    </row>
    <row r="128" spans="1:58">
      <c r="N128" s="4"/>
    </row>
    <row r="129" spans="1:58">
      <c r="N129" s="4"/>
      <c r="W129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57"/>
    <protectedRange name="Repaso y reproceso_2" sqref="V42:W45"/>
    <protectedRange name="Produccion Harinas_2" sqref="C42:U45"/>
    <protectedRange name="Produccion otros productos_2" sqref="X42:AC45"/>
    <protectedRange name="Datos basculas_2" sqref="AW42:BB45"/>
    <protectedRange name="Horas_2" sqref="AN42:AP45"/>
    <protectedRange name="Fecha_2" sqref="B42:B45"/>
    <protectedRange name="Produccion Harinas" sqref="T5:U8 D5:R8 C9:U35"/>
    <protectedRange name="Datos energia" sqref="H544 G55:H56"/>
    <protectedRange name="Formulas trigo" sqref="H87:J98 D93:F93 H82:J85 D112:F116 H102:J116"/>
    <protectedRange name="Produccion otros productos" sqref="X5:Z8 Z4 AC15 X9:AC13 AB16:AC35 X14:AA35 AB14:AC14"/>
    <protectedRange name="Formulas vitamina" sqref="Z75:AB75"/>
    <protectedRange name="Datos basculas" sqref="AW4:BB35"/>
    <protectedRange name="Horas" sqref="AN4:AP35"/>
    <protectedRange name="Datos Nomina" sqref="O56:Q56"/>
    <protectedRange name="Fecha" sqref="B24:B35"/>
    <protectedRange name="Trigos" sqref="D80:E80 H80:M80"/>
    <protectedRange name="Formulas trigo_3" sqref="H99:J99"/>
    <protectedRange name="Formulas trigo_5" sqref="H100:J101"/>
    <protectedRange name="Datos basculas_4_2_1_2" sqref="BD4:BE5 BC4:BC7"/>
    <protectedRange name="Datos energia_2" sqref="G54:H54"/>
    <protectedRange name="Repaso y reproceso_3" sqref="V4:W4"/>
    <protectedRange name="Produccion Harinas_4" sqref="D4:Q4"/>
    <protectedRange name="Produccion otros productos_3" sqref="X4:Y4"/>
    <protectedRange name="Produccion Harinas_3_1" sqref="R4 T4:U4"/>
    <protectedRange name="Formulas trigo_1" sqref="G82:G85 G112:G116 G87:G93 G108:G109"/>
    <protectedRange name="Formulas trigo_1_2_6_1" sqref="G86"/>
    <protectedRange name="Produccion Harinas_3" sqref="C4:C8"/>
    <protectedRange name="Produccion Harinas_6" sqref="S4:S8"/>
    <protectedRange name="Produccion otros productos_4" sqref="AA4:AC8"/>
    <protectedRange name="Datos energia_1" sqref="G53:H53"/>
    <protectedRange name="Fecha_1" sqref="B4:B23"/>
    <protectedRange name="Formulas trigo_2" sqref="F82:F85 D87:F92 D108:F109"/>
    <protectedRange name="Formulas trigo_1_3_1" sqref="D82:D85"/>
    <protectedRange name="Formulas trigo_1_8_1" sqref="E86"/>
    <protectedRange name="Formulas trigo_1_2_6_2" sqref="F86"/>
    <protectedRange name="Formulas trigo_4" sqref="D102:F107 D96:F97 D110:F111"/>
    <protectedRange name="Formulas trigo_1_4_1" sqref="E99"/>
    <protectedRange name="Formulas trigo_1_2_2_2" sqref="F99"/>
    <protectedRange name="Formulas trigo_1_3_2_1" sqref="D99"/>
    <protectedRange name="Formulas trigo_1_6_1" sqref="E100:E101"/>
    <protectedRange name="Formulas trigo_1_2_4_2" sqref="F100:F101"/>
    <protectedRange name="Formulas trigo_1_3_4_1" sqref="D100:D101"/>
    <protectedRange name="Formulas trigo_1_1" sqref="G94:G101 G104:G107 G110:G111"/>
    <protectedRange name="Formulas trigo_1_2_2_1_1" sqref="G102"/>
    <protectedRange name="Formulas trigo_1_2_4_1_1" sqref="G103"/>
    <protectedRange name="Formulas trigo_2_1" sqref="D98:F98"/>
    <protectedRange name="Formulas trigo_4_1" sqref="D94:F95"/>
  </protectedRanges>
  <mergeCells>
    <mergeCell ref="B1:W1"/>
    <mergeCell ref="AH1:AM1"/>
    <mergeCell ref="AN1:AX1"/>
    <mergeCell ref="B2:Q2"/>
    <mergeCell ref="R2:T2"/>
    <mergeCell ref="V2:W2"/>
    <mergeCell ref="X2:Z2"/>
    <mergeCell ref="AA2:AC2"/>
    <mergeCell ref="AF2:AM2"/>
    <mergeCell ref="AN2:AP2"/>
    <mergeCell ref="AE48:AF48"/>
    <mergeCell ref="AQ2:AU2"/>
    <mergeCell ref="AW2:BF2"/>
    <mergeCell ref="AW4:AW33"/>
    <mergeCell ref="AX4:AX33"/>
    <mergeCell ref="AY4:AY33"/>
    <mergeCell ref="AZ4:AZ33"/>
    <mergeCell ref="BA4:BA33"/>
    <mergeCell ref="BB4:BB33"/>
    <mergeCell ref="BC4:BC33"/>
    <mergeCell ref="BD4:BD33"/>
    <mergeCell ref="BE4:BE33"/>
    <mergeCell ref="BF4:BF33"/>
    <mergeCell ref="AD38:AE38"/>
    <mergeCell ref="AE39:AF39"/>
    <mergeCell ref="AD47:AE47"/>
    <mergeCell ref="R49:U49"/>
    <mergeCell ref="F50:G50"/>
    <mergeCell ref="K50:L50"/>
    <mergeCell ref="O50:P50"/>
    <mergeCell ref="S50:T50"/>
    <mergeCell ref="A49:B49"/>
    <mergeCell ref="C49:C50"/>
    <mergeCell ref="F49:H49"/>
    <mergeCell ref="K49:M49"/>
    <mergeCell ref="O49:Q49"/>
    <mergeCell ref="V50:W50"/>
    <mergeCell ref="F51:G51"/>
    <mergeCell ref="K51:L51"/>
    <mergeCell ref="O51:P51"/>
    <mergeCell ref="S51:T51"/>
    <mergeCell ref="V51:W51"/>
    <mergeCell ref="G53:H53"/>
    <mergeCell ref="K53:L53"/>
    <mergeCell ref="O53:P53"/>
    <mergeCell ref="S53:T53"/>
    <mergeCell ref="V53:W53"/>
    <mergeCell ref="F52:G52"/>
    <mergeCell ref="K52:L52"/>
    <mergeCell ref="O52:P52"/>
    <mergeCell ref="S52:T52"/>
    <mergeCell ref="V52:W52"/>
    <mergeCell ref="G55:H55"/>
    <mergeCell ref="K55:L55"/>
    <mergeCell ref="O55:P55"/>
    <mergeCell ref="S55:T55"/>
    <mergeCell ref="V55:W55"/>
    <mergeCell ref="G54:I54"/>
    <mergeCell ref="K54:L54"/>
    <mergeCell ref="O54:P54"/>
    <mergeCell ref="S54:T54"/>
    <mergeCell ref="V54:W54"/>
    <mergeCell ref="F65:H65"/>
    <mergeCell ref="U65:V65"/>
    <mergeCell ref="G56:H56"/>
    <mergeCell ref="F57:G57"/>
    <mergeCell ref="K57:O57"/>
    <mergeCell ref="G60:H60"/>
    <mergeCell ref="T60:V60"/>
    <mergeCell ref="U61:V61"/>
    <mergeCell ref="F62:H62"/>
    <mergeCell ref="K62:O62"/>
    <mergeCell ref="U62:V62"/>
    <mergeCell ref="F63:G63"/>
    <mergeCell ref="T64:V64"/>
    <mergeCell ref="F70:G70"/>
    <mergeCell ref="V71:V72"/>
    <mergeCell ref="F66:G66"/>
    <mergeCell ref="U66:V66"/>
    <mergeCell ref="U67:V67"/>
    <mergeCell ref="G68:H68"/>
    <mergeCell ref="U68:V68"/>
    <mergeCell ref="G69:H69"/>
    <mergeCell ref="M69:O69"/>
  </mergeCells>
  <conditionalFormatting sqref="I55">
    <cfRule type="cellIs" dxfId="0" priority="4" operator="lessThan" stopIfTrue="1">
      <formula>0.935</formula>
    </cfRule>
  </conditionalFormatting>
  <conditionalFormatting sqref="AF3">
    <cfRule type="cellIs" dxfId="1" priority="3" operator="lessThan" stopIfTrue="1">
      <formula>0.76</formula>
    </cfRule>
  </conditionalFormatting>
  <conditionalFormatting sqref="AF4:AF35">
    <cfRule type="cellIs" dxfId="2" priority="5" operator="lessThan" stopIfTrue="1">
      <formula>0.765</formula>
    </cfRule>
  </conditionalFormatting>
  <conditionalFormatting sqref="AF36 AE76:AE77 AE79:AE91 Z92:AC117 AG118:AI119 AK118:AK119 AH120:AI122 AK120:AL122 Z123:AC124">
    <cfRule type="cellIs" dxfId="1" priority="6" operator="lessThan" stopIfTrue="1">
      <formula>0.76</formula>
    </cfRule>
  </conditionalFormatting>
  <conditionalFormatting sqref="AF42:AF45">
    <cfRule type="cellIs" dxfId="2" priority="1" operator="lessThan" stopIfTrue="1">
      <formula>0.765</formula>
    </cfRule>
  </conditionalFormatting>
  <conditionalFormatting sqref="AH1:AI1 AJ118:AJ122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29"/>
  <sheetViews>
    <sheetView tabSelected="0" workbookViewId="0" showGridLines="true" showRowColHeaders="1">
      <selection activeCell="A1" sqref="A1"/>
    </sheetView>
  </sheetViews>
  <sheetFormatPr defaultRowHeight="14.4" defaultColWidth="14.42578125" outlineLevelRow="0" outlineLevelCol="0"/>
  <cols>
    <col min="1" max="1" width="11.5703125" customWidth="true" style="1"/>
    <col min="2" max="2" width="16.5703125" customWidth="true" style="1"/>
    <col min="3" max="3" width="13.42578125" customWidth="true" style="1"/>
    <col min="4" max="4" width="10.570312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3.42578125" customWidth="true" style="1"/>
    <col min="10" max="10" width="12.28515625" customWidth="true" style="1"/>
    <col min="11" max="11" width="11.42578125" customWidth="true" style="1"/>
    <col min="12" max="12" width="10.7109375" customWidth="true" style="1"/>
    <col min="13" max="13" width="8.28515625" customWidth="true" style="1"/>
    <col min="14" max="14" width="12.28515625" customWidth="true" style="1"/>
    <col min="15" max="15" width="12" customWidth="true" style="1"/>
    <col min="16" max="16" width="12" customWidth="true" style="1"/>
    <col min="17" max="17" width="10.28515625" customWidth="true" style="1"/>
    <col min="18" max="18" width="13.42578125" customWidth="true" style="1"/>
    <col min="19" max="19" width="10.5703125" customWidth="true" style="1"/>
    <col min="20" max="20" width="12.28515625" customWidth="true" style="1"/>
    <col min="21" max="21" width="11.42578125" customWidth="true" style="1"/>
    <col min="22" max="22" width="8.28515625" customWidth="true" style="1"/>
    <col min="23" max="23" width="10.28515625" customWidth="true" style="1"/>
    <col min="24" max="24" width="13.42578125" customWidth="true" style="1"/>
    <col min="25" max="25" width="9.42578125" customWidth="true" style="1"/>
    <col min="26" max="26" width="7.5703125" customWidth="true" style="1"/>
    <col min="27" max="27" width="9.5703125" customWidth="true" style="1"/>
    <col min="28" max="28" width="9.5703125" customWidth="true" style="1"/>
    <col min="29" max="29" width="11.7109375" customWidth="true" style="1"/>
    <col min="30" max="30" width="10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0.5703125" customWidth="true" style="1"/>
    <col min="51" max="51" width="11.42578125" customWidth="true" style="1"/>
    <col min="52" max="52" width="8.28515625" customWidth="true" style="1"/>
    <col min="53" max="53" width="12" customWidth="true" style="1"/>
    <col min="54" max="54" width="12" customWidth="true" style="1"/>
    <col min="55" max="55" width="12" customWidth="true" style="1"/>
    <col min="56" max="56" width="14.42578125" style="1"/>
  </cols>
  <sheetData>
    <row r="1" spans="1:58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8" customHeight="1" ht="18.75">
      <c r="B2" s="701" t="s">
        <v>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2"/>
      <c r="Q2" s="703"/>
      <c r="R2" s="704" t="s">
        <v>4</v>
      </c>
      <c r="S2" s="705"/>
      <c r="T2" s="706"/>
      <c r="U2" s="416" t="s">
        <v>5</v>
      </c>
      <c r="V2" s="704" t="s">
        <v>6</v>
      </c>
      <c r="W2" s="707"/>
      <c r="X2" s="708" t="s">
        <v>7</v>
      </c>
      <c r="Y2" s="708"/>
      <c r="Z2" s="708"/>
      <c r="AA2" s="709" t="s">
        <v>8</v>
      </c>
      <c r="AB2" s="709"/>
      <c r="AC2" s="709"/>
      <c r="AD2" s="6"/>
      <c r="AE2" s="6"/>
      <c r="AF2" s="710" t="s">
        <v>9</v>
      </c>
      <c r="AG2" s="710"/>
      <c r="AH2" s="710"/>
      <c r="AI2" s="710"/>
      <c r="AJ2" s="710"/>
      <c r="AK2" s="710"/>
      <c r="AL2" s="710"/>
      <c r="AM2" s="710"/>
      <c r="AN2" s="711" t="s">
        <v>10</v>
      </c>
      <c r="AO2" s="711"/>
      <c r="AP2" s="711"/>
      <c r="AQ2" s="712" t="s">
        <v>11</v>
      </c>
      <c r="AR2" s="712"/>
      <c r="AS2" s="712"/>
      <c r="AT2" s="712"/>
      <c r="AU2" s="712"/>
      <c r="AV2" s="471" t="s">
        <v>12</v>
      </c>
      <c r="AW2" s="712" t="s">
        <v>13</v>
      </c>
      <c r="AX2" s="712"/>
      <c r="AY2" s="712"/>
      <c r="AZ2" s="712"/>
      <c r="BA2" s="712"/>
      <c r="BB2" s="712"/>
      <c r="BC2" s="712"/>
      <c r="BD2" s="712"/>
      <c r="BE2" s="712"/>
      <c r="BF2" s="712"/>
    </row>
    <row r="3" spans="1:58" customHeight="1" ht="53.25" s="40" customFormat="1">
      <c r="A3" s="8" t="s">
        <v>14</v>
      </c>
      <c r="B3" s="333" t="s">
        <v>15</v>
      </c>
      <c r="C3" s="566" t="s">
        <v>16</v>
      </c>
      <c r="D3" s="567" t="s">
        <v>17</v>
      </c>
      <c r="E3" s="549" t="s">
        <v>18</v>
      </c>
      <c r="F3" s="550" t="s">
        <v>19</v>
      </c>
      <c r="G3" s="551" t="s">
        <v>20</v>
      </c>
      <c r="H3" s="552" t="s">
        <v>21</v>
      </c>
      <c r="I3" s="553" t="s">
        <v>22</v>
      </c>
      <c r="J3" s="553" t="s">
        <v>23</v>
      </c>
      <c r="K3" s="554" t="s">
        <v>24</v>
      </c>
      <c r="L3" s="554" t="s">
        <v>25</v>
      </c>
      <c r="M3" s="555" t="s">
        <v>26</v>
      </c>
      <c r="N3" s="553" t="s">
        <v>27</v>
      </c>
      <c r="O3" s="553" t="s">
        <v>28</v>
      </c>
      <c r="P3" s="556" t="s">
        <v>29</v>
      </c>
      <c r="Q3" s="557" t="s">
        <v>30</v>
      </c>
      <c r="R3" s="409" t="s">
        <v>31</v>
      </c>
      <c r="S3" s="284" t="s">
        <v>32</v>
      </c>
      <c r="T3" s="559" t="s">
        <v>33</v>
      </c>
      <c r="U3" s="558" t="s">
        <v>34</v>
      </c>
      <c r="V3" s="405" t="s">
        <v>35</v>
      </c>
      <c r="W3" s="562" t="s">
        <v>36</v>
      </c>
      <c r="X3" s="560" t="s">
        <v>37</v>
      </c>
      <c r="Y3" s="561" t="s">
        <v>38</v>
      </c>
      <c r="Z3" s="565" t="s">
        <v>39</v>
      </c>
      <c r="AA3" s="563" t="s">
        <v>40</v>
      </c>
      <c r="AB3" s="334" t="s">
        <v>41</v>
      </c>
      <c r="AC3" s="564" t="s">
        <v>42</v>
      </c>
      <c r="AD3" s="27" t="s">
        <v>43</v>
      </c>
      <c r="AE3" s="27" t="s">
        <v>44</v>
      </c>
      <c r="AF3" s="335" t="s">
        <v>45</v>
      </c>
      <c r="AG3" s="336" t="s">
        <v>46</v>
      </c>
      <c r="AH3" s="337" t="str">
        <f>X3</f>
        <v>Germen 
25</v>
      </c>
      <c r="AI3" s="338" t="s">
        <v>47</v>
      </c>
      <c r="AJ3" s="337" t="str">
        <f>AA3</f>
        <v>Salvado 
25</v>
      </c>
      <c r="AK3" s="339" t="str">
        <f>AB3</f>
        <v>Mogolla 
40</v>
      </c>
      <c r="AL3" s="339" t="str">
        <f>AC3</f>
        <v>Segunda  
50</v>
      </c>
      <c r="AM3" s="340" t="str">
        <f>B3</f>
        <v>Fecha</v>
      </c>
      <c r="AN3" s="341" t="s">
        <v>48</v>
      </c>
      <c r="AO3" s="342" t="s">
        <v>49</v>
      </c>
      <c r="AP3" s="342" t="s">
        <v>50</v>
      </c>
      <c r="AQ3" s="343" t="s">
        <v>51</v>
      </c>
      <c r="AR3" s="344" t="s">
        <v>52</v>
      </c>
      <c r="AS3" s="344" t="s">
        <v>53</v>
      </c>
      <c r="AT3" s="344" t="s">
        <v>54</v>
      </c>
      <c r="AU3" s="344" t="s">
        <v>55</v>
      </c>
      <c r="AV3" s="343" t="s">
        <v>56</v>
      </c>
      <c r="AW3" s="345" t="s">
        <v>57</v>
      </c>
      <c r="AX3" s="345" t="s">
        <v>58</v>
      </c>
      <c r="AY3" s="345" t="s">
        <v>59</v>
      </c>
      <c r="AZ3" s="345" t="s">
        <v>60</v>
      </c>
      <c r="BA3" s="346" t="s">
        <v>61</v>
      </c>
      <c r="BB3" s="346" t="s">
        <v>62</v>
      </c>
      <c r="BC3" s="347" t="s">
        <v>63</v>
      </c>
      <c r="BD3" s="345" t="s">
        <v>64</v>
      </c>
      <c r="BE3" s="348" t="s">
        <v>65</v>
      </c>
      <c r="BF3" s="349" t="s">
        <v>66</v>
      </c>
    </row>
    <row r="4" spans="1:58" customHeight="1" ht="13.9">
      <c r="A4" s="485" t="str">
        <f>IF(B4="","",1)</f>
        <v/>
      </c>
      <c r="B4" s="42"/>
      <c r="C4" s="43"/>
      <c r="D4" s="526"/>
      <c r="E4" s="527"/>
      <c r="F4" s="241"/>
      <c r="G4" s="528"/>
      <c r="H4" s="44"/>
      <c r="I4" s="48"/>
      <c r="J4" s="48"/>
      <c r="K4" s="44"/>
      <c r="L4" s="493"/>
      <c r="M4" s="493"/>
      <c r="N4" s="244"/>
      <c r="O4" s="244"/>
      <c r="P4" s="465"/>
      <c r="Q4" s="529"/>
      <c r="R4" s="497"/>
      <c r="S4" s="275"/>
      <c r="T4" s="241"/>
      <c r="U4" s="450"/>
      <c r="V4" s="406"/>
      <c r="W4" s="241"/>
      <c r="X4" s="451"/>
      <c r="Y4" s="52"/>
      <c r="Z4" s="530"/>
      <c r="AA4" s="280"/>
      <c r="AB4" s="53"/>
      <c r="AC4" s="54"/>
      <c r="AD4" s="55" t="str">
        <f>IF(B4="","",(((C4+F4+H4+K4+Q4+N4+O4)*50))+((E4*10))+(((I4+J4+D4+G4+L4+M4+U4)*25)+(X4*25)+(Y4*25)+(Z4*25)+(AA4*25)+(AB4*40)+(AC4*50)+(R4*1)+(S4*1)+(T4*1)))</f>
        <v/>
      </c>
      <c r="AE4" s="55" t="str">
        <f>IF(B4="","",C4+F4+H4+K4+Q4+N4+O4+((I4+J4+D4+G4)/2)+(R4/50)+(S4/50)+(T4/50)+(U4/2)+(E4/5))</f>
        <v/>
      </c>
      <c r="AF4" s="56" t="str">
        <f>IF(B4="","",((AE4*50)/AD4))</f>
        <v/>
      </c>
      <c r="AG4" s="57" t="str">
        <f>IF(C4="","",((Z4)*25)/AD4)</f>
        <v/>
      </c>
      <c r="AH4" s="57" t="str">
        <f>IF(B4="","",(X4*25)/AD4)</f>
        <v/>
      </c>
      <c r="AI4" s="57" t="str">
        <f>IF(B4="","",(Y4*25)/AD4)</f>
        <v/>
      </c>
      <c r="AJ4" s="57" t="str">
        <f>IF(B4="","",(AA4*25)/AD4)</f>
        <v/>
      </c>
      <c r="AK4" s="58" t="str">
        <f>IF(B4="","",(AB4*40)/AD4)</f>
        <v/>
      </c>
      <c r="AL4" s="58" t="str">
        <f>IF(B4="","",(AC4*50)/AD4)</f>
        <v/>
      </c>
      <c r="AM4" s="59" t="str">
        <f>IF(B4="","",B4)</f>
        <v/>
      </c>
      <c r="AN4" s="235"/>
      <c r="AO4" s="61"/>
      <c r="AP4" s="236"/>
      <c r="AQ4" s="63" t="str">
        <f>IF(AN4="","",AN4/AO4)</f>
        <v/>
      </c>
      <c r="AR4" s="64" t="str">
        <f>IF(AN4="","",(AD4/AN4)/1000)</f>
        <v/>
      </c>
      <c r="AS4" s="64" t="str">
        <f>IF(AN4="","",AR4*24)</f>
        <v/>
      </c>
      <c r="AT4" s="65" t="str">
        <f>IF(AN4="","",(AD4/1000)*100%/AS4)</f>
        <v/>
      </c>
      <c r="AU4" s="64" t="str">
        <f>IF(AN4="","",(AE4/AN4))</f>
        <v/>
      </c>
      <c r="AV4" s="229" t="str">
        <f>IF(AN4="","",(AD4/AO4)/1000)</f>
        <v/>
      </c>
      <c r="AW4" s="713"/>
      <c r="AX4" s="713"/>
      <c r="AY4" s="713"/>
      <c r="AZ4" s="722"/>
      <c r="BA4" s="713"/>
      <c r="BB4" s="724"/>
      <c r="BC4" s="726"/>
      <c r="BD4" s="726"/>
      <c r="BE4" s="726"/>
      <c r="BF4" s="728"/>
    </row>
    <row r="5" spans="1:58" customHeight="1" ht="13.9">
      <c r="A5" s="485" t="str">
        <f>IF(B5="","",2)</f>
        <v/>
      </c>
      <c r="B5" s="68"/>
      <c r="C5" s="69"/>
      <c r="D5" s="70"/>
      <c r="E5" s="76"/>
      <c r="F5" s="70"/>
      <c r="G5" s="76"/>
      <c r="H5" s="70"/>
      <c r="I5" s="75"/>
      <c r="J5" s="75"/>
      <c r="K5" s="70"/>
      <c r="L5" s="494"/>
      <c r="M5" s="494"/>
      <c r="N5" s="76"/>
      <c r="O5" s="248"/>
      <c r="P5" s="466"/>
      <c r="Q5" s="412"/>
      <c r="R5" s="410"/>
      <c r="S5" s="277"/>
      <c r="T5" s="401"/>
      <c r="U5" s="407"/>
      <c r="V5" s="249"/>
      <c r="W5" s="401"/>
      <c r="X5" s="278"/>
      <c r="Y5" s="78"/>
      <c r="Z5" s="403"/>
      <c r="AA5" s="281"/>
      <c r="AB5" s="79"/>
      <c r="AC5" s="80"/>
      <c r="AD5" s="55" t="str">
        <f>IF(B5="","",(((C5+F5+H5+K5+Q5+N5+O5)*50))+((E5*10))+(((I5+J5+D5+G5+L5+M5+U5)*25)+(X5*25)+(Y5*25)+(Z5*25)+(AA5*25)+(AB5*40)+(AC5*50)+(R5*1)+(S5*1)+(T5*1)))</f>
        <v/>
      </c>
      <c r="AE5" s="55" t="str">
        <f>IF(B5="","",C5+F5+H5+K5+Q5+N5+O5+((I5+J5+D5+G5+U5)/2)+(R5/50)+(S5/50)+(T5/50)+(E5/5))</f>
        <v/>
      </c>
      <c r="AF5" s="56" t="str">
        <f>IF(B5="","",((AE5*50)/AD5))</f>
        <v/>
      </c>
      <c r="AG5" s="57" t="str">
        <f>IF(C5="","",((Z5)*25)/AD5)</f>
        <v/>
      </c>
      <c r="AH5" s="57" t="str">
        <f>IF(B5="","",(X5*25)/AD5)</f>
        <v/>
      </c>
      <c r="AI5" s="57" t="str">
        <f>IF(B5="","",(Y5*25)/AD5)</f>
        <v/>
      </c>
      <c r="AJ5" s="57" t="str">
        <f>IF(B5="","",(AA5*25)/AD5)</f>
        <v/>
      </c>
      <c r="AK5" s="58" t="str">
        <f>IF(B5="","",(AB5*40)/AD5)</f>
        <v/>
      </c>
      <c r="AL5" s="58" t="str">
        <f>IF(B5="","",(AC5*50)/AD5)</f>
        <v/>
      </c>
      <c r="AM5" s="59" t="str">
        <f>IF(B5="","",B5)</f>
        <v/>
      </c>
      <c r="AN5" s="233"/>
      <c r="AO5" s="82"/>
      <c r="AP5" s="234"/>
      <c r="AQ5" s="63" t="str">
        <f>IF(AN5="","",AN5/AO5)</f>
        <v/>
      </c>
      <c r="AR5" s="64" t="str">
        <f>IF(AN5="","",(AD5/AN5)/1000)</f>
        <v/>
      </c>
      <c r="AS5" s="64" t="str">
        <f>IF(AN5="","",AR5*24)</f>
        <v/>
      </c>
      <c r="AT5" s="65" t="str">
        <f>IF(AN5="","",(AD5/1000)*100%/AS5)</f>
        <v/>
      </c>
      <c r="AU5" s="64" t="str">
        <f>IF(AN5="","",(AE5/AN5))</f>
        <v/>
      </c>
      <c r="AV5" s="229" t="str">
        <f>IF(AN5="","",(AD5/AO5)/1000)</f>
        <v/>
      </c>
      <c r="AW5" s="714"/>
      <c r="AX5" s="714"/>
      <c r="AY5" s="714"/>
      <c r="AZ5" s="723"/>
      <c r="BA5" s="714"/>
      <c r="BB5" s="725"/>
      <c r="BC5" s="727"/>
      <c r="BD5" s="727"/>
      <c r="BE5" s="727"/>
      <c r="BF5" s="729"/>
    </row>
    <row r="6" spans="1:58" customHeight="1" ht="13.9">
      <c r="A6" s="485" t="str">
        <f>IF(B6="","",3)</f>
        <v/>
      </c>
      <c r="B6" s="68"/>
      <c r="C6" s="69"/>
      <c r="D6" s="70"/>
      <c r="E6" s="76"/>
      <c r="F6" s="70"/>
      <c r="G6" s="76"/>
      <c r="H6" s="70"/>
      <c r="I6" s="491"/>
      <c r="J6" s="491"/>
      <c r="K6" s="70"/>
      <c r="L6" s="494"/>
      <c r="M6" s="494"/>
      <c r="N6" s="76"/>
      <c r="O6" s="76"/>
      <c r="P6" s="467"/>
      <c r="Q6" s="412"/>
      <c r="R6" s="410"/>
      <c r="S6" s="276"/>
      <c r="T6" s="401"/>
      <c r="U6" s="407"/>
      <c r="V6" s="249"/>
      <c r="W6" s="401"/>
      <c r="X6" s="278"/>
      <c r="Y6" s="78"/>
      <c r="Z6" s="403"/>
      <c r="AA6" s="281"/>
      <c r="AB6" s="79"/>
      <c r="AC6" s="85"/>
      <c r="AD6" s="55" t="str">
        <f>IF(B6="","",(((C6+F6+H6+K6+Q6+N6+O6)*50))+((E6*10))+(((I6+J6+D6+G6+L6+M6+U6)*25)+(X6*25)+(Y6*25)+(Z6*25)+(AA6*25)+(AB6*40)+(AC6*50)+(R6*1)+(S6*1)+(T6*1)))</f>
        <v/>
      </c>
      <c r="AE6" s="55" t="str">
        <f>IF(B6="","",C6+F6+H6+K6+Q6+N6+O6+((I6+J6+D6+G6+U6)/2)+(R6/50)+(S6/50)+(T6/50)+(E6/5))</f>
        <v/>
      </c>
      <c r="AF6" s="56" t="str">
        <f>IF(B6="","",((AE6*50)/AD6))</f>
        <v/>
      </c>
      <c r="AG6" s="57" t="str">
        <f>IF(C6="","",((Z6)*25)/AD6)</f>
        <v/>
      </c>
      <c r="AH6" s="57" t="str">
        <f>IF(B6="","",(X6*25)/AD6)</f>
        <v/>
      </c>
      <c r="AI6" s="57" t="str">
        <f>IF(B6="","",(Y6*25)/AD6)</f>
        <v/>
      </c>
      <c r="AJ6" s="57" t="str">
        <f>IF(B6="","",(AA6*25)/AD6)</f>
        <v/>
      </c>
      <c r="AK6" s="58" t="str">
        <f>IF(B6="","",(AB6*40)/AD6)</f>
        <v/>
      </c>
      <c r="AL6" s="58" t="str">
        <f>IF(B6="","",(AC6*50)/AD6)</f>
        <v/>
      </c>
      <c r="AM6" s="59" t="str">
        <f>IF(B6="","",B6)</f>
        <v/>
      </c>
      <c r="AN6" s="233"/>
      <c r="AO6" s="82"/>
      <c r="AP6" s="234"/>
      <c r="AQ6" s="63" t="str">
        <f>IF(AN6="","",AN6/AO6)</f>
        <v/>
      </c>
      <c r="AR6" s="64" t="str">
        <f>IF(AN6="","",(AD6/AN6)/1000)</f>
        <v/>
      </c>
      <c r="AS6" s="64" t="str">
        <f>IF(AN6="","",AR6*24)</f>
        <v/>
      </c>
      <c r="AT6" s="65" t="str">
        <f>IF(AN6="","",(AD6/1000)*100%/AS6)</f>
        <v/>
      </c>
      <c r="AU6" s="64" t="str">
        <f>IF(AN6="","",(AE6/AN6))</f>
        <v/>
      </c>
      <c r="AV6" s="229" t="str">
        <f>IF(AN6="","",(AD6/AO6)/1000)</f>
        <v/>
      </c>
      <c r="AW6" s="714"/>
      <c r="AX6" s="714"/>
      <c r="AY6" s="714"/>
      <c r="AZ6" s="723"/>
      <c r="BA6" s="714"/>
      <c r="BB6" s="725"/>
      <c r="BC6" s="727"/>
      <c r="BD6" s="727"/>
      <c r="BE6" s="727"/>
      <c r="BF6" s="729"/>
    </row>
    <row r="7" spans="1:58" customHeight="1" ht="13.9">
      <c r="A7" s="485" t="str">
        <f>IF(B7="","",4)</f>
        <v/>
      </c>
      <c r="B7" s="68"/>
      <c r="C7" s="69"/>
      <c r="D7" s="70"/>
      <c r="E7" s="76"/>
      <c r="F7" s="70"/>
      <c r="G7" s="76"/>
      <c r="H7" s="70"/>
      <c r="I7" s="414"/>
      <c r="J7" s="414"/>
      <c r="K7" s="70"/>
      <c r="L7" s="494"/>
      <c r="M7" s="494"/>
      <c r="N7" s="76"/>
      <c r="O7" s="76"/>
      <c r="P7" s="467"/>
      <c r="Q7" s="412"/>
      <c r="R7" s="410"/>
      <c r="S7" s="274"/>
      <c r="T7" s="401"/>
      <c r="U7" s="407"/>
      <c r="V7" s="249"/>
      <c r="W7" s="401"/>
      <c r="X7" s="278"/>
      <c r="Y7" s="78"/>
      <c r="Z7" s="403"/>
      <c r="AA7" s="281"/>
      <c r="AB7" s="79"/>
      <c r="AC7" s="85"/>
      <c r="AD7" s="55" t="str">
        <f>IF(B7="","",(((C7+F7+H7+K7+Q7+N7+O7)*50))+((E7*10))+(((I7+J7+D7+G7+L7+M7+U7)*25)+(X7*25)+(Y7*25)+(Z7*25)+(AA7*25)+(AB7*40)+(AC7*50)+(R7*1)+(S7*1)+(T7*1)))</f>
        <v/>
      </c>
      <c r="AE7" s="55" t="str">
        <f>IF(B7="","",C7+F7+H7+K7+Q7+N7+O7+((I7+J7+D7+G7+U7)/2)+(R7/50)+(S7/50)+(T7/50)+(E7/5))</f>
        <v/>
      </c>
      <c r="AF7" s="56" t="str">
        <f>IF(B7="","",((AE7*50)/AD7))</f>
        <v/>
      </c>
      <c r="AG7" s="57" t="str">
        <f>IF(C7="","",((Z7)*25)/AD7)</f>
        <v/>
      </c>
      <c r="AH7" s="57" t="str">
        <f>IF(B7="","",(X7*25)/AD7)</f>
        <v/>
      </c>
      <c r="AI7" s="57" t="str">
        <f>IF(B7="","",(Y7*25)/AD7)</f>
        <v/>
      </c>
      <c r="AJ7" s="57" t="str">
        <f>IF(B7="","",(AA7*25)/AD7)</f>
        <v/>
      </c>
      <c r="AK7" s="58" t="str">
        <f>IF(B7="","",(AB7*40)/AD7)</f>
        <v/>
      </c>
      <c r="AL7" s="58" t="str">
        <f>IF(B7="","",(AC7*50)/AD7)</f>
        <v/>
      </c>
      <c r="AM7" s="59" t="str">
        <f>IF(B7="","",B7)</f>
        <v/>
      </c>
      <c r="AN7" s="233"/>
      <c r="AO7" s="82"/>
      <c r="AP7" s="234"/>
      <c r="AQ7" s="63" t="str">
        <f>IF(AN7="","",AN7/AO7)</f>
        <v/>
      </c>
      <c r="AR7" s="64" t="str">
        <f>IF(AN7="","",(AD7/AN7)/1000)</f>
        <v/>
      </c>
      <c r="AS7" s="64" t="str">
        <f>IF(AN7="","",AR7*24)</f>
        <v/>
      </c>
      <c r="AT7" s="65" t="str">
        <f>IF(AN7="","",(AD7/1000)*100%/AS7)</f>
        <v/>
      </c>
      <c r="AU7" s="64" t="str">
        <f>IF(AN7="","",(AE7/AN7))</f>
        <v/>
      </c>
      <c r="AV7" s="229" t="str">
        <f>IF(AN7="","",(AD7/AO7)/1000)</f>
        <v/>
      </c>
      <c r="AW7" s="714"/>
      <c r="AX7" s="714"/>
      <c r="AY7" s="714"/>
      <c r="AZ7" s="723"/>
      <c r="BA7" s="714"/>
      <c r="BB7" s="725"/>
      <c r="BC7" s="727"/>
      <c r="BD7" s="727"/>
      <c r="BE7" s="727"/>
      <c r="BF7" s="729"/>
    </row>
    <row r="8" spans="1:58" customHeight="1" ht="13.9">
      <c r="A8" s="485" t="str">
        <f>IF(B8="","",5)</f>
        <v/>
      </c>
      <c r="B8" s="68"/>
      <c r="C8" s="69"/>
      <c r="D8" s="70"/>
      <c r="E8" s="76"/>
      <c r="F8" s="70"/>
      <c r="G8" s="76"/>
      <c r="H8" s="70"/>
      <c r="I8" s="491"/>
      <c r="J8" s="491"/>
      <c r="K8" s="70"/>
      <c r="L8" s="494"/>
      <c r="M8" s="494"/>
      <c r="N8" s="76"/>
      <c r="O8" s="76"/>
      <c r="P8" s="467"/>
      <c r="Q8" s="412"/>
      <c r="R8" s="422"/>
      <c r="S8" s="274"/>
      <c r="T8" s="401"/>
      <c r="U8" s="407"/>
      <c r="V8" s="249"/>
      <c r="W8" s="401"/>
      <c r="X8" s="278"/>
      <c r="Y8" s="78"/>
      <c r="Z8" s="403"/>
      <c r="AA8" s="281"/>
      <c r="AB8" s="79"/>
      <c r="AC8" s="85"/>
      <c r="AD8" s="55" t="str">
        <f>IF(B8="","",(((C8+F8+H8+K8+Q8+N8+O8)*50))+((E8*10))+(((I8+J8+D8+G8+L8+M8+U8)*25)+(X8*25)+(Y8*25)+(Z8*25)+(AA8*25)+(AB8*40)+(AC8*50)+(R8*1)+(S8*1)+(T8*1)))</f>
        <v/>
      </c>
      <c r="AE8" s="55" t="str">
        <f>IF(B8="","",C8+F8+H8+K8+Q8+N8+O8+((I8+J8+D8+G8+U8)/2)+(R8/50)+(S8/50)+(T8/50)+(E8/5))</f>
        <v/>
      </c>
      <c r="AF8" s="56" t="str">
        <f>IF(B8="","",((AE8*50)/AD8))</f>
        <v/>
      </c>
      <c r="AG8" s="252" t="str">
        <f>IF(C8="","",((Z8)*25)/AD8)</f>
        <v/>
      </c>
      <c r="AH8" s="57" t="str">
        <f>IF(B8="","",(X8*25)/AD8)</f>
        <v/>
      </c>
      <c r="AI8" s="57" t="str">
        <f>IF(B8="","",(Y8*25)/AD8)</f>
        <v/>
      </c>
      <c r="AJ8" s="57" t="str">
        <f>IF(B8="","",(AA8*25)/AD8)</f>
        <v/>
      </c>
      <c r="AK8" s="58" t="str">
        <f>IF(B8="","",(AB8*40)/AD8)</f>
        <v/>
      </c>
      <c r="AL8" s="58" t="str">
        <f>IF(B8="","",(AC8*50)/AD8)</f>
        <v/>
      </c>
      <c r="AM8" s="59" t="str">
        <f>IF(B8="","",B8)</f>
        <v/>
      </c>
      <c r="AN8" s="233"/>
      <c r="AO8" s="82"/>
      <c r="AP8" s="234"/>
      <c r="AQ8" s="63" t="str">
        <f>IF(AN8="","",AN8/AO8)</f>
        <v/>
      </c>
      <c r="AR8" s="64" t="str">
        <f>IF(AN8="","",(AD8/AN8)/1000)</f>
        <v/>
      </c>
      <c r="AS8" s="64" t="str">
        <f>IF(AN8="","",AR8*24)</f>
        <v/>
      </c>
      <c r="AT8" s="65" t="str">
        <f>IF(AN8="","",(AD8/1000)*100%/AS8)</f>
        <v/>
      </c>
      <c r="AU8" s="64" t="str">
        <f>IF(AN8="","",(AE8/AN8))</f>
        <v/>
      </c>
      <c r="AV8" s="229" t="str">
        <f>IF(AN8="","",(AD8/AO8)/1000)</f>
        <v/>
      </c>
      <c r="AW8" s="714"/>
      <c r="AX8" s="714"/>
      <c r="AY8" s="714"/>
      <c r="AZ8" s="723"/>
      <c r="BA8" s="714"/>
      <c r="BB8" s="725"/>
      <c r="BC8" s="727"/>
      <c r="BD8" s="727"/>
      <c r="BE8" s="727"/>
      <c r="BF8" s="729"/>
    </row>
    <row r="9" spans="1:58" customHeight="1" ht="15">
      <c r="A9" s="485" t="str">
        <f>IF(B9="","",6)</f>
        <v/>
      </c>
      <c r="B9" s="68"/>
      <c r="C9" s="69"/>
      <c r="D9" s="70"/>
      <c r="E9" s="76"/>
      <c r="F9" s="70"/>
      <c r="G9" s="76"/>
      <c r="H9" s="70"/>
      <c r="I9" s="491"/>
      <c r="J9" s="491"/>
      <c r="K9" s="70"/>
      <c r="L9" s="494"/>
      <c r="M9" s="494"/>
      <c r="N9" s="76"/>
      <c r="O9" s="76"/>
      <c r="P9" s="467"/>
      <c r="Q9" s="412"/>
      <c r="R9" s="410"/>
      <c r="S9" s="242"/>
      <c r="T9" s="401"/>
      <c r="U9" s="407"/>
      <c r="V9" s="249"/>
      <c r="W9" s="401"/>
      <c r="X9" s="278"/>
      <c r="Y9" s="78"/>
      <c r="Z9" s="403"/>
      <c r="AA9" s="281"/>
      <c r="AB9" s="79"/>
      <c r="AC9" s="85"/>
      <c r="AD9" s="55" t="str">
        <f>IF(B9="","",(((C9+F9+H9+K9+Q9+N9+O9)*50))+((E9*10))+(((I9+J9+D9+G9+L9+M9+U9)*25)+(X9*25)+(Y9*25)+(Z9*25)+(AA9*25)+(AB9*40)+(AC9*50)+(R9*1)+(S9*1)+(T9*1)))</f>
        <v/>
      </c>
      <c r="AE9" s="55" t="str">
        <f>IF(B9="","",C9+F9+H9+K9+Q9+N9+O9+((I9+J9+D9+G9+U9)/2)+(R9/50)+(S9/50)+(T9/50)+(E9/5))</f>
        <v/>
      </c>
      <c r="AF9" s="56" t="str">
        <f>IF(B9="","",((AE9*50)/AD9))</f>
        <v/>
      </c>
      <c r="AG9" s="57" t="str">
        <f>IF(C9="","",((Z9)*25)/AD9)</f>
        <v/>
      </c>
      <c r="AH9" s="57" t="str">
        <f>IF(B9="","",(X9*25)/AD9)</f>
        <v/>
      </c>
      <c r="AI9" s="57" t="str">
        <f>IF(B9="","",(Y9*25)/AD9)</f>
        <v/>
      </c>
      <c r="AJ9" s="57" t="str">
        <f>IF(B9="","",(AA9*25)/AD9)</f>
        <v/>
      </c>
      <c r="AK9" s="58" t="str">
        <f>IF(B9="","",(AB9*40)/AD9)</f>
        <v/>
      </c>
      <c r="AL9" s="58" t="str">
        <f>IF(B9="","",(AC9*50)/AD9)</f>
        <v/>
      </c>
      <c r="AM9" s="59" t="str">
        <f>IF(B9="","",B9)</f>
        <v/>
      </c>
      <c r="AN9" s="233"/>
      <c r="AO9" s="82"/>
      <c r="AP9" s="234"/>
      <c r="AQ9" s="63" t="str">
        <f>IF(AN9="","",AN9/AO9)</f>
        <v/>
      </c>
      <c r="AR9" s="64" t="str">
        <f>IF(AN9="","",(AD9/AN9)/1000)</f>
        <v/>
      </c>
      <c r="AS9" s="64" t="str">
        <f>IF(AN9="","",AR9*24)</f>
        <v/>
      </c>
      <c r="AT9" s="65" t="str">
        <f>IF(AN9="","",(AD9/1000)*100%/AS9)</f>
        <v/>
      </c>
      <c r="AU9" s="64" t="str">
        <f>IF(AN9="","",(AE9/AN9))</f>
        <v/>
      </c>
      <c r="AV9" s="229" t="str">
        <f>IF(AN9="","",(AD9/AO9)/1000)</f>
        <v/>
      </c>
      <c r="AW9" s="714"/>
      <c r="AX9" s="714"/>
      <c r="AY9" s="714"/>
      <c r="AZ9" s="723"/>
      <c r="BA9" s="714"/>
      <c r="BB9" s="725"/>
      <c r="BC9" s="727"/>
      <c r="BD9" s="727"/>
      <c r="BE9" s="727"/>
      <c r="BF9" s="729"/>
    </row>
    <row r="10" spans="1:58" customHeight="1" ht="13.9">
      <c r="A10" s="485" t="str">
        <f>IF(B10="","",7)</f>
        <v/>
      </c>
      <c r="B10" s="68"/>
      <c r="C10" s="69"/>
      <c r="D10" s="70"/>
      <c r="E10" s="76"/>
      <c r="F10" s="70"/>
      <c r="G10" s="76"/>
      <c r="H10" s="70"/>
      <c r="I10" s="491"/>
      <c r="J10" s="491"/>
      <c r="K10" s="70"/>
      <c r="L10" s="494"/>
      <c r="M10" s="494"/>
      <c r="N10" s="76"/>
      <c r="O10" s="76"/>
      <c r="P10" s="467"/>
      <c r="Q10" s="412"/>
      <c r="R10" s="410"/>
      <c r="S10" s="242"/>
      <c r="T10" s="401"/>
      <c r="U10" s="407"/>
      <c r="V10" s="249"/>
      <c r="W10" s="401"/>
      <c r="X10" s="278"/>
      <c r="Y10" s="78"/>
      <c r="Z10" s="403"/>
      <c r="AA10" s="281"/>
      <c r="AB10" s="79"/>
      <c r="AC10" s="85"/>
      <c r="AD10" s="55" t="str">
        <f>IF(B10="","",(((C10+F10+H10+K10+Q10+N10+O10)*50))+((E10*10))+(((I10+J10+D10+G10+L10+M10+U10)*25)+(X10*25)+(Y10*25)+(Z10*25)+(AA10*25)+(AB10*40)+(AC10*50)+(R10*1)+(S10*1)+(T10*1)))</f>
        <v/>
      </c>
      <c r="AE10" s="55" t="str">
        <f>IF(B10="","",C10+F10+H10+K10+Q10+N10+O10+((I10+J10+D10+G10+U10)/2)+(R10/50)+(S10/50)+(T10/50)+(E10/5))</f>
        <v/>
      </c>
      <c r="AF10" s="56" t="str">
        <f>IF(B10="","",((AE10*50)/AD10))</f>
        <v/>
      </c>
      <c r="AG10" s="57" t="str">
        <f>IF(C10="","",((Z10)*25)/AD10)</f>
        <v/>
      </c>
      <c r="AH10" s="57" t="str">
        <f>IF(B10="","",(X10*25)/AD10)</f>
        <v/>
      </c>
      <c r="AI10" s="57" t="str">
        <f>IF(B10="","",(Y10*25)/AD10)</f>
        <v/>
      </c>
      <c r="AJ10" s="57" t="str">
        <f>IF(B10="","",(AA10*25)/AD10)</f>
        <v/>
      </c>
      <c r="AK10" s="58" t="str">
        <f>IF(B10="","",(AB10*40)/AD10)</f>
        <v/>
      </c>
      <c r="AL10" s="58" t="str">
        <f>IF(B10="","",(AC10*50)/AD10)</f>
        <v/>
      </c>
      <c r="AM10" s="59" t="str">
        <f>IF(B10="","",B10)</f>
        <v/>
      </c>
      <c r="AN10" s="233"/>
      <c r="AO10" s="82"/>
      <c r="AP10" s="234"/>
      <c r="AQ10" s="63" t="str">
        <f>IF(AN10="","",AN10/AO10)</f>
        <v/>
      </c>
      <c r="AR10" s="64" t="str">
        <f>IF(AN10="","",(AD10/AN10)/1000)</f>
        <v/>
      </c>
      <c r="AS10" s="64" t="str">
        <f>IF(AN10="","",AR10*24)</f>
        <v/>
      </c>
      <c r="AT10" s="65" t="str">
        <f>IF(AN10="","",(AD10/1000)*100%/AS10)</f>
        <v/>
      </c>
      <c r="AU10" s="64" t="str">
        <f>IF(AN10="","",(AE10/AN10))</f>
        <v/>
      </c>
      <c r="AV10" s="229" t="str">
        <f>IF(AN10="","",(AD10/AO10)/1000)</f>
        <v/>
      </c>
      <c r="AW10" s="714"/>
      <c r="AX10" s="714"/>
      <c r="AY10" s="714"/>
      <c r="AZ10" s="723"/>
      <c r="BA10" s="714"/>
      <c r="BB10" s="725"/>
      <c r="BC10" s="727"/>
      <c r="BD10" s="727"/>
      <c r="BE10" s="727"/>
      <c r="BF10" s="729"/>
    </row>
    <row r="11" spans="1:58" customHeight="1" ht="13.9">
      <c r="A11" s="485" t="str">
        <f>IF(B11="","",8)</f>
        <v/>
      </c>
      <c r="B11" s="226"/>
      <c r="C11" s="69"/>
      <c r="D11" s="70"/>
      <c r="E11" s="76"/>
      <c r="F11" s="70"/>
      <c r="G11" s="76"/>
      <c r="H11" s="70"/>
      <c r="I11" s="491"/>
      <c r="J11" s="491"/>
      <c r="K11" s="70"/>
      <c r="L11" s="494"/>
      <c r="M11" s="494"/>
      <c r="N11" s="76"/>
      <c r="O11" s="76"/>
      <c r="P11" s="467"/>
      <c r="Q11" s="412"/>
      <c r="R11" s="410"/>
      <c r="S11" s="242"/>
      <c r="T11" s="401"/>
      <c r="U11" s="407"/>
      <c r="V11" s="249"/>
      <c r="W11" s="401"/>
      <c r="X11" s="278"/>
      <c r="Y11" s="78"/>
      <c r="Z11" s="403"/>
      <c r="AA11" s="281"/>
      <c r="AB11" s="79"/>
      <c r="AC11" s="85"/>
      <c r="AD11" s="55" t="str">
        <f>IF(B11="","",(((C11+F11+H11+K11+Q11+N11+O11)*50))+((E11*10))+(((I11+J11+D11+G11+L11+M11+U11)*25)+(X11*25)+(Y11*25)+(Z11*25)+(AA11*25)+(AB11*40)+(AC11*50)+(R11*1)+(S11*1)+(T11*1)))</f>
        <v/>
      </c>
      <c r="AE11" s="55" t="str">
        <f>IF(B11="","",C11+F11+H11+K11+Q11+N11+O11+((I11+J11+D11+G11+U11+P11)/2)+(R11/50)+(S11/50)+(T11/50)+(E11/5))</f>
        <v/>
      </c>
      <c r="AF11" s="56" t="str">
        <f>IF(B11="","",((AE11*50)/AD11))</f>
        <v/>
      </c>
      <c r="AG11" s="57" t="str">
        <f>IF(C11="","",((Z11)*25)/AD11)</f>
        <v/>
      </c>
      <c r="AH11" s="57" t="str">
        <f>IF(B11="","",(X11*25)/AD11)</f>
        <v/>
      </c>
      <c r="AI11" s="57" t="str">
        <f>IF(B11="","",(Y11*25)/AD11)</f>
        <v/>
      </c>
      <c r="AJ11" s="57" t="str">
        <f>IF(B11="","",(AA11*25)/AD11)</f>
        <v/>
      </c>
      <c r="AK11" s="58" t="str">
        <f>IF(B11="","",(AB11*40)/AD11)</f>
        <v/>
      </c>
      <c r="AL11" s="58" t="str">
        <f>IF(B11="","",(AC11*50)/AD11)</f>
        <v/>
      </c>
      <c r="AM11" s="59" t="str">
        <f>IF(B11="","",B11)</f>
        <v/>
      </c>
      <c r="AN11" s="233"/>
      <c r="AO11" s="82"/>
      <c r="AP11" s="234"/>
      <c r="AQ11" s="63" t="str">
        <f>IF(AN11="","",AN11/AO11)</f>
        <v/>
      </c>
      <c r="AR11" s="64" t="str">
        <f>IF(AN11="","",(AD11/AN11)/1000)</f>
        <v/>
      </c>
      <c r="AS11" s="64" t="str">
        <f>IF(AN11="","",AR11*24)</f>
        <v/>
      </c>
      <c r="AT11" s="65" t="str">
        <f>IF(AN11="","",(AD11/1000)*100%/AS11)</f>
        <v/>
      </c>
      <c r="AU11" s="64" t="str">
        <f>IF(AN11="","",(AE11/AN11))</f>
        <v/>
      </c>
      <c r="AV11" s="229" t="str">
        <f>IF(AN11="","",(AD11/AO11)/1000)</f>
        <v/>
      </c>
      <c r="AW11" s="714"/>
      <c r="AX11" s="714"/>
      <c r="AY11" s="714"/>
      <c r="AZ11" s="723"/>
      <c r="BA11" s="714"/>
      <c r="BB11" s="725"/>
      <c r="BC11" s="727"/>
      <c r="BD11" s="727"/>
      <c r="BE11" s="727"/>
      <c r="BF11" s="729"/>
    </row>
    <row r="12" spans="1:58" customHeight="1" ht="13.9">
      <c r="A12" s="485" t="str">
        <f>IF(B12="","",9)</f>
        <v/>
      </c>
      <c r="B12" s="226"/>
      <c r="C12" s="69"/>
      <c r="D12" s="70"/>
      <c r="E12" s="76"/>
      <c r="F12" s="70"/>
      <c r="G12" s="76"/>
      <c r="H12" s="70"/>
      <c r="I12" s="491"/>
      <c r="J12" s="491"/>
      <c r="K12" s="70"/>
      <c r="L12" s="494"/>
      <c r="M12" s="494"/>
      <c r="N12" s="76"/>
      <c r="O12" s="76"/>
      <c r="P12" s="467"/>
      <c r="Q12" s="412"/>
      <c r="R12" s="410"/>
      <c r="S12" s="242"/>
      <c r="T12" s="401"/>
      <c r="U12" s="407"/>
      <c r="V12" s="249"/>
      <c r="W12" s="401"/>
      <c r="X12" s="278"/>
      <c r="Y12" s="78"/>
      <c r="Z12" s="403"/>
      <c r="AA12" s="281"/>
      <c r="AB12" s="79"/>
      <c r="AC12" s="85"/>
      <c r="AD12" s="55" t="str">
        <f>IF(B12="","",(((C12+F12+H12+K12+Q12+N12+O12)*50))+((E12*10))+(((I12+J12+D12+G12+L12+M12+U12)*25)+(X12*25)+(Y12*25)+(Z12*25)+(AA12*25)+(AB12*40)+(AC12*50)+(R12*1)+(S12*1)+(T12*1)))</f>
        <v/>
      </c>
      <c r="AE12" s="55" t="str">
        <f>IF(B12="","",C12+F12+H12+K12+Q12+N12+O12+((I12+J12+D12+G12+U12)/2)+(R12/50)+(S12/50)+(T12/50)+(E12/5))</f>
        <v/>
      </c>
      <c r="AF12" s="56" t="str">
        <f>IF(B12="","",((AE12*50)/AD12))</f>
        <v/>
      </c>
      <c r="AG12" s="57" t="str">
        <f>IF(C12="","",((Z12)*25)/AD12)</f>
        <v/>
      </c>
      <c r="AH12" s="57" t="str">
        <f>IF(B12="","",(X12*25)/AD12)</f>
        <v/>
      </c>
      <c r="AI12" s="57" t="str">
        <f>IF(B12="","",(Y12*25)/AD12)</f>
        <v/>
      </c>
      <c r="AJ12" s="57" t="str">
        <f>IF(B12="","",(AA12*25)/AD12)</f>
        <v/>
      </c>
      <c r="AK12" s="58" t="str">
        <f>IF(B12="","",(AB12*40)/AD12)</f>
        <v/>
      </c>
      <c r="AL12" s="58" t="str">
        <f>IF(B12="","",(AC12*50)/AD12)</f>
        <v/>
      </c>
      <c r="AM12" s="59" t="str">
        <f>IF(B12="","",B12)</f>
        <v/>
      </c>
      <c r="AN12" s="233"/>
      <c r="AO12" s="82"/>
      <c r="AP12" s="234"/>
      <c r="AQ12" s="63" t="str">
        <f>IF(AN12="","",AN12/AO12)</f>
        <v/>
      </c>
      <c r="AR12" s="64" t="str">
        <f>IF(AN12="","",(AD12/AN12)/1000)</f>
        <v/>
      </c>
      <c r="AS12" s="64" t="str">
        <f>IF(AN12="","",AR12*24)</f>
        <v/>
      </c>
      <c r="AT12" s="65" t="str">
        <f>IF(AN12="","",(AD12/1000)*100%/AS12)</f>
        <v/>
      </c>
      <c r="AU12" s="64" t="str">
        <f>IF(AN12="","",(AE12/AN12))</f>
        <v/>
      </c>
      <c r="AV12" s="229" t="str">
        <f>IF(AN12="","",(AD12/AO12)/1000)</f>
        <v/>
      </c>
      <c r="AW12" s="714"/>
      <c r="AX12" s="714"/>
      <c r="AY12" s="714"/>
      <c r="AZ12" s="723"/>
      <c r="BA12" s="714"/>
      <c r="BB12" s="725"/>
      <c r="BC12" s="727"/>
      <c r="BD12" s="727"/>
      <c r="BE12" s="727"/>
      <c r="BF12" s="729"/>
    </row>
    <row r="13" spans="1:58" customHeight="1" ht="13.9">
      <c r="A13" s="485" t="str">
        <f>IF(B13="","",11)</f>
        <v/>
      </c>
      <c r="B13" s="226"/>
      <c r="C13" s="69"/>
      <c r="D13" s="70"/>
      <c r="E13" s="76"/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/>
      <c r="S13" s="242"/>
      <c r="T13" s="401"/>
      <c r="U13" s="407"/>
      <c r="V13" s="249"/>
      <c r="W13" s="401"/>
      <c r="X13" s="278"/>
      <c r="Y13" s="78"/>
      <c r="Z13" s="403"/>
      <c r="AA13" s="281"/>
      <c r="AB13" s="79"/>
      <c r="AC13" s="85"/>
      <c r="AD13" s="55" t="str">
        <f>IF(B13="","",(((C13+F13+H13+K13+Q13+N13+O13)*50))+((E13*10))+(((I13+J13+D13+G13+L13+M13+U13)*25)+(X13*25)+(Y13*25)+(Z13*25)+(AA13*25)+(AB13*40)+(AC13*50)+(R13*1)+(S13*1)+(T13*1)))</f>
        <v/>
      </c>
      <c r="AE13" s="55" t="str">
        <f>IF(B13="","",C13+F13+H13+K13+Q13+N13+O13+((I13+J13+D13+G13+U13)/2)+(R13/50)+(S13/50)+(T13/50)+(E13/5))</f>
        <v/>
      </c>
      <c r="AF13" s="56" t="str">
        <f>IF(B13="","",((AE13*50)/AD13))</f>
        <v/>
      </c>
      <c r="AG13" s="57" t="str">
        <f>IF(C13="","",((Z13)*25)/AD13)</f>
        <v/>
      </c>
      <c r="AH13" s="57" t="str">
        <f>IF(B13="","",(X13*25)/AD13)</f>
        <v/>
      </c>
      <c r="AI13" s="57" t="str">
        <f>IF(B13="","",(Y13*25)/AD13)</f>
        <v/>
      </c>
      <c r="AJ13" s="57" t="str">
        <f>IF(B13="","",(AA13*25)/AD13)</f>
        <v/>
      </c>
      <c r="AK13" s="58" t="str">
        <f>IF(B13="","",(AB13*40)/AD13)</f>
        <v/>
      </c>
      <c r="AL13" s="58" t="str">
        <f>IF(B13="","",(AC13*50)/AD13)</f>
        <v/>
      </c>
      <c r="AM13" s="59" t="str">
        <f>IF(B13="","",B13)</f>
        <v/>
      </c>
      <c r="AN13" s="233"/>
      <c r="AO13" s="82"/>
      <c r="AP13" s="234"/>
      <c r="AQ13" s="63" t="str">
        <f>IF(AN13="","",AN13/AO13)</f>
        <v/>
      </c>
      <c r="AR13" s="64" t="str">
        <f>IF(AN13="","",(AD13/AN13)/1000)</f>
        <v/>
      </c>
      <c r="AS13" s="64" t="str">
        <f>IF(AN13="","",AR13*24)</f>
        <v/>
      </c>
      <c r="AT13" s="65" t="str">
        <f>IF(AN13="","",(AD13/1000)*100%/AS13)</f>
        <v/>
      </c>
      <c r="AU13" s="64" t="str">
        <f>IF(AN13="","",(AE13/AN13))</f>
        <v/>
      </c>
      <c r="AV13" s="229" t="str">
        <f>IF(AN13="","",(AD13/AO13)/1000)</f>
        <v/>
      </c>
      <c r="AW13" s="714"/>
      <c r="AX13" s="714"/>
      <c r="AY13" s="714"/>
      <c r="AZ13" s="723"/>
      <c r="BA13" s="714"/>
      <c r="BB13" s="725"/>
      <c r="BC13" s="727"/>
      <c r="BD13" s="727"/>
      <c r="BE13" s="727"/>
      <c r="BF13" s="729"/>
    </row>
    <row r="14" spans="1:58" customHeight="1" ht="13.9">
      <c r="A14" s="485" t="str">
        <f>IF(B14="","",12)</f>
        <v/>
      </c>
      <c r="B14" s="226"/>
      <c r="C14" s="69"/>
      <c r="D14" s="70"/>
      <c r="E14" s="76"/>
      <c r="F14" s="70"/>
      <c r="G14" s="76"/>
      <c r="H14" s="70"/>
      <c r="I14" s="491"/>
      <c r="J14" s="491"/>
      <c r="K14" s="70"/>
      <c r="L14" s="494"/>
      <c r="M14" s="494"/>
      <c r="N14" s="76"/>
      <c r="O14" s="76"/>
      <c r="P14" s="467"/>
      <c r="Q14" s="412"/>
      <c r="R14" s="410"/>
      <c r="S14" s="242"/>
      <c r="T14" s="401"/>
      <c r="U14" s="407"/>
      <c r="V14" s="249"/>
      <c r="W14" s="401"/>
      <c r="X14" s="278"/>
      <c r="Y14" s="78"/>
      <c r="Z14" s="403"/>
      <c r="AA14" s="281"/>
      <c r="AB14" s="79"/>
      <c r="AC14" s="85"/>
      <c r="AD14" s="55" t="str">
        <f>IF(B14="","",(((C14+F14+H14+K14+Q14+N14+O14)*50))+((E14*10))+(((I14+J14+D14+G14+L14+M14+U14)*25)+(X14*25)+(Y14*25)+(Z14*25)+(AA14*25)+(AB14*40)+(AC14*50)+(R14*1)+(S14*1)+(T14*1)))</f>
        <v/>
      </c>
      <c r="AE14" s="55" t="str">
        <f>IF(B14="","",C14+F14+H14+K14+Q14+N14+O14+((I14+J14+D14+G14+U14)/2)+(R14/50)+(S14/50)+(T14/50)+(E14/5))</f>
        <v/>
      </c>
      <c r="AF14" s="56" t="str">
        <f>IF(B14="","",((AE14*50)/AD14))</f>
        <v/>
      </c>
      <c r="AG14" s="57" t="str">
        <f>IF(C14="","",((Z14)*25)/AD14)</f>
        <v/>
      </c>
      <c r="AH14" s="57" t="str">
        <f>IF(B14="","",(X14*25)/AD14)</f>
        <v/>
      </c>
      <c r="AI14" s="57" t="str">
        <f>IF(B14="","",(Y14*25)/AD14)</f>
        <v/>
      </c>
      <c r="AJ14" s="57" t="str">
        <f>IF(B14="","",(AA14*25)/AD14)</f>
        <v/>
      </c>
      <c r="AK14" s="58" t="str">
        <f>IF(B14="","",(AB14*40)/AD14)</f>
        <v/>
      </c>
      <c r="AL14" s="58" t="str">
        <f>IF(B14="","",(AC14*50)/AD14)</f>
        <v/>
      </c>
      <c r="AM14" s="59" t="str">
        <f>IF(B14="","",B14)</f>
        <v/>
      </c>
      <c r="AN14" s="233"/>
      <c r="AO14" s="82"/>
      <c r="AP14" s="234"/>
      <c r="AQ14" s="63" t="str">
        <f>IF(AN14="","",AN14/AO14)</f>
        <v/>
      </c>
      <c r="AR14" s="64" t="str">
        <f>IF(AN14="","",(AD14/AN14)/1000)</f>
        <v/>
      </c>
      <c r="AS14" s="64" t="str">
        <f>IF(AN14="","",AR14*24)</f>
        <v/>
      </c>
      <c r="AT14" s="65" t="str">
        <f>IF(AN14="","",(AD14/1000)*100%/AS14)</f>
        <v/>
      </c>
      <c r="AU14" s="64" t="str">
        <f>IF(AN14="","",(AE14/AN14))</f>
        <v/>
      </c>
      <c r="AV14" s="229" t="str">
        <f>IF(AN14="","",(AD14/AO14)/1000)</f>
        <v/>
      </c>
      <c r="AW14" s="714"/>
      <c r="AX14" s="714"/>
      <c r="AY14" s="714"/>
      <c r="AZ14" s="723"/>
      <c r="BA14" s="714"/>
      <c r="BB14" s="725"/>
      <c r="BC14" s="727"/>
      <c r="BD14" s="727"/>
      <c r="BE14" s="727"/>
      <c r="BF14" s="729"/>
    </row>
    <row r="15" spans="1:58" customHeight="1" ht="13.9">
      <c r="A15" s="485" t="str">
        <f>IF(B15="","",13)</f>
        <v/>
      </c>
      <c r="B15" s="226"/>
      <c r="C15" s="69"/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/>
      <c r="S15" s="242"/>
      <c r="T15" s="401"/>
      <c r="U15" s="407"/>
      <c r="V15" s="249"/>
      <c r="W15" s="401"/>
      <c r="X15" s="278"/>
      <c r="Y15" s="78"/>
      <c r="Z15" s="403"/>
      <c r="AA15" s="281"/>
      <c r="AC15" s="79"/>
      <c r="AD15" s="55" t="str">
        <f>IF(B15="","",(((C15+F15+H15+K15+Q15+N15+O15)*50))+((E15*10))+(((I15+J15+D15+G15+L15+M15+U15)*25)+(X15*25)+(Y15*25)+(Z15*25)+(AA15*25)+(AB15*40)+(AC15*50)+(R15*1)+(S15*1)+(T15*1)))</f>
        <v/>
      </c>
      <c r="AE15" s="55" t="str">
        <f>IF(B15="","",C15+F15+H15+K15+Q15+N15+O15+((I15+J15+D15+G15+U15)/2)+(R15/50)+(S15/50)+(T15/50)+(E15/5))</f>
        <v/>
      </c>
      <c r="AF15" s="56" t="str">
        <f>IF(B15="","",((AE15*50)/AD15))</f>
        <v/>
      </c>
      <c r="AG15" s="57" t="str">
        <f>IF(C15="","",((Z15)*25)/AD15)</f>
        <v/>
      </c>
      <c r="AH15" s="57" t="str">
        <f>IF(B15="","",(X15*25)/AD15)</f>
        <v/>
      </c>
      <c r="AI15" s="57" t="str">
        <f>IF(B15="","",(Y15*25)/AD15)</f>
        <v/>
      </c>
      <c r="AJ15" s="57" t="str">
        <f>IF(B15="","",(AA15*25)/AD15)</f>
        <v/>
      </c>
      <c r="AK15" s="58" t="str">
        <f>IF(B15="","",(AC15*40)/AD15)</f>
        <v/>
      </c>
      <c r="AL15" s="58" t="str">
        <f>IF(B15="","",(AC15*50)/AD15)</f>
        <v/>
      </c>
      <c r="AM15" s="59" t="str">
        <f>IF(B15="","",B15)</f>
        <v/>
      </c>
      <c r="AN15" s="233"/>
      <c r="AO15" s="82"/>
      <c r="AP15" s="234"/>
      <c r="AQ15" s="63" t="str">
        <f>IF(AN15="","",AN15/AO15)</f>
        <v/>
      </c>
      <c r="AR15" s="64" t="str">
        <f>IF(AN15="","",(AD15/AN15)/1000)</f>
        <v/>
      </c>
      <c r="AS15" s="64" t="str">
        <f>IF(AN15="","",AR15*24)</f>
        <v/>
      </c>
      <c r="AT15" s="65" t="str">
        <f>IF(AN15="","",(AD15/1000)*100%/AS15)</f>
        <v/>
      </c>
      <c r="AU15" s="64" t="str">
        <f>IF(AN15="","",(AE15/AN15))</f>
        <v/>
      </c>
      <c r="AV15" s="229" t="str">
        <f>IF(AN15="","",(AD15/AO15)/1000)</f>
        <v/>
      </c>
      <c r="AW15" s="714"/>
      <c r="AX15" s="714"/>
      <c r="AY15" s="714"/>
      <c r="AZ15" s="723"/>
      <c r="BA15" s="714"/>
      <c r="BB15" s="725"/>
      <c r="BC15" s="727"/>
      <c r="BD15" s="727"/>
      <c r="BE15" s="727"/>
      <c r="BF15" s="729"/>
    </row>
    <row r="16" spans="1:58" customHeight="1" ht="13.9">
      <c r="A16" s="485" t="str">
        <f>IF(B16="","",1+A15)</f>
        <v/>
      </c>
      <c r="B16" s="226"/>
      <c r="C16" s="69"/>
      <c r="D16" s="70"/>
      <c r="E16" s="76"/>
      <c r="F16" s="70"/>
      <c r="G16" s="76"/>
      <c r="H16" s="70"/>
      <c r="I16" s="491"/>
      <c r="J16" s="491"/>
      <c r="K16" s="70"/>
      <c r="L16" s="494"/>
      <c r="M16" s="494"/>
      <c r="N16" s="76"/>
      <c r="O16" s="76"/>
      <c r="P16" s="467"/>
      <c r="Q16" s="412"/>
      <c r="R16" s="410"/>
      <c r="S16" s="242"/>
      <c r="T16" s="401"/>
      <c r="U16" s="407"/>
      <c r="V16" s="249"/>
      <c r="W16" s="401"/>
      <c r="X16" s="278"/>
      <c r="Y16" s="78"/>
      <c r="Z16" s="403"/>
      <c r="AA16" s="281"/>
      <c r="AB16" s="79"/>
      <c r="AC16" s="85"/>
      <c r="AD16" s="55" t="str">
        <f>IF(B16="","",(((C16+F16+H16+K16+Q16+N16+O16)*50))+((E16*10))+(((I16+J16+D16+G16+L16+M16+U16)*25)+(X16*25)+(Y16*25)+(Z16*25)+(AA16*25)+(AB16*40)+(AC16*50)+(R16*1)+(S16*1)+(T16*1)))</f>
        <v/>
      </c>
      <c r="AE16" s="55" t="str">
        <f>IF(B16="","",C16+F16+H16+K16+Q16+N16+O16+((I16+J16+D16+G16+U16)/2)+(R16/50)+(S16/50)+(T16/50)+(E16/5))</f>
        <v/>
      </c>
      <c r="AF16" s="56" t="str">
        <f>IF(B16="","",((AE16*50)/AD16))</f>
        <v/>
      </c>
      <c r="AG16" s="57" t="str">
        <f>IF(C16="","",((Z16)*25)/AD16)</f>
        <v/>
      </c>
      <c r="AH16" s="57" t="str">
        <f>IF(B16="","",(X16*25)/AD16)</f>
        <v/>
      </c>
      <c r="AI16" s="57" t="str">
        <f>IF(B16="","",(Y16*25)/AD16)</f>
        <v/>
      </c>
      <c r="AJ16" s="57" t="str">
        <f>IF(B16="","",(AA16*25)/AD16)</f>
        <v/>
      </c>
      <c r="AK16" s="58" t="str">
        <f>IF(B16="","",(AB16*40)/AD16)</f>
        <v/>
      </c>
      <c r="AL16" s="58" t="str">
        <f>IF(B16="","",(AC16*50)/AD16)</f>
        <v/>
      </c>
      <c r="AM16" s="59" t="str">
        <f>IF(B16="","",B16)</f>
        <v/>
      </c>
      <c r="AN16" s="233"/>
      <c r="AO16" s="82"/>
      <c r="AP16" s="234"/>
      <c r="AQ16" s="63" t="str">
        <f>IF(AN16="","",AN16/AO16)</f>
        <v/>
      </c>
      <c r="AR16" s="64" t="str">
        <f>IF(AN16="","",(AD16/AN16)/1000)</f>
        <v/>
      </c>
      <c r="AS16" s="64" t="str">
        <f>IF(AN16="","",AR16*24)</f>
        <v/>
      </c>
      <c r="AT16" s="65" t="str">
        <f>IF(AN16="","",(AD16/1000)*100%/AS16)</f>
        <v/>
      </c>
      <c r="AU16" s="64" t="str">
        <f>IF(AN16="","",(AE16/AN16))</f>
        <v/>
      </c>
      <c r="AV16" s="229" t="str">
        <f>IF(AN16="","",(AD16/AO16)/1000)</f>
        <v/>
      </c>
      <c r="AW16" s="714"/>
      <c r="AX16" s="714"/>
      <c r="AY16" s="714"/>
      <c r="AZ16" s="723"/>
      <c r="BA16" s="714"/>
      <c r="BB16" s="725"/>
      <c r="BC16" s="727"/>
      <c r="BD16" s="727"/>
      <c r="BE16" s="727"/>
      <c r="BF16" s="729"/>
    </row>
    <row r="17" spans="1:58" customHeight="1" ht="13.9">
      <c r="A17" s="485" t="str">
        <f>IF(B17="","",15)</f>
        <v/>
      </c>
      <c r="B17" s="226"/>
      <c r="C17" s="69"/>
      <c r="D17" s="70"/>
      <c r="E17" s="76"/>
      <c r="F17" s="70"/>
      <c r="G17" s="76"/>
      <c r="H17" s="70"/>
      <c r="I17" s="491"/>
      <c r="J17" s="491"/>
      <c r="K17" s="70"/>
      <c r="L17" s="494"/>
      <c r="M17" s="494"/>
      <c r="N17" s="76"/>
      <c r="O17" s="76"/>
      <c r="P17" s="467"/>
      <c r="Q17" s="412"/>
      <c r="R17" s="410"/>
      <c r="S17" s="242"/>
      <c r="T17" s="401"/>
      <c r="U17" s="407"/>
      <c r="V17" s="249"/>
      <c r="W17" s="401"/>
      <c r="X17" s="278"/>
      <c r="Y17" s="78"/>
      <c r="Z17" s="403"/>
      <c r="AA17" s="281"/>
      <c r="AB17" s="79"/>
      <c r="AC17" s="85"/>
      <c r="AD17" s="55" t="str">
        <f>IF(B17="","",(((C17+F17+H17+K17+Q17+N17+O17)*50))+((E17*10))+(((I17+J17+D17+G17+L17+M17+U17)*25)+(X17*25)+(Y17*25)+(Z17*25)+(AA17*25)+(AB17*40)+(AC17*50)+(R17*1)+(S17*1)+(T17*1)))</f>
        <v/>
      </c>
      <c r="AE17" s="55" t="str">
        <f>IF(B17="","",C17+F17+H17+K17+Q17+N17+O17+((I17+J17+D17+G17+U17)/2)+(R17/50)+(S17/50)+(T17/50)+(E17/5))</f>
        <v/>
      </c>
      <c r="AF17" s="56" t="str">
        <f>IF(B17="","",((AE17*50)/AD17))</f>
        <v/>
      </c>
      <c r="AG17" s="57" t="str">
        <f>IF(C17="","",((Z17)*25)/AD17)</f>
        <v/>
      </c>
      <c r="AH17" s="57" t="str">
        <f>IF(B17="","",(X17*25)/AD17)</f>
        <v/>
      </c>
      <c r="AI17" s="57" t="str">
        <f>IF(B17="","",(Y17*25)/AD17)</f>
        <v/>
      </c>
      <c r="AJ17" s="57" t="str">
        <f>IF(B17="","",(AA17*25)/AD17)</f>
        <v/>
      </c>
      <c r="AK17" s="58" t="str">
        <f>IF(B17="","",(AB17*40)/AD17)</f>
        <v/>
      </c>
      <c r="AL17" s="58" t="str">
        <f>IF(B17="","",(AC17*50)/AD17)</f>
        <v/>
      </c>
      <c r="AM17" s="59" t="str">
        <f>IF(B17="","",B17)</f>
        <v/>
      </c>
      <c r="AN17" s="233"/>
      <c r="AO17" s="82"/>
      <c r="AP17" s="234"/>
      <c r="AQ17" s="63" t="str">
        <f>IF(AN17="","",AN17/AO17)</f>
        <v/>
      </c>
      <c r="AR17" s="64" t="str">
        <f>IF(AN17="","",(AD17/AN17)/1000)</f>
        <v/>
      </c>
      <c r="AS17" s="64" t="str">
        <f>IF(AN17="","",AR17*24)</f>
        <v/>
      </c>
      <c r="AT17" s="65" t="str">
        <f>IF(AN17="","",(AD17/1000)*100%/AS17)</f>
        <v/>
      </c>
      <c r="AU17" s="64" t="str">
        <f>IF(AN17="","",(AE17/AN17))</f>
        <v/>
      </c>
      <c r="AV17" s="229" t="str">
        <f>IF(AN17="","",(AD17/AO17)/1000)</f>
        <v/>
      </c>
      <c r="AW17" s="714"/>
      <c r="AX17" s="714"/>
      <c r="AY17" s="714"/>
      <c r="AZ17" s="723"/>
      <c r="BA17" s="714"/>
      <c r="BB17" s="725"/>
      <c r="BC17" s="727"/>
      <c r="BD17" s="727"/>
      <c r="BE17" s="727"/>
      <c r="BF17" s="729"/>
    </row>
    <row r="18" spans="1:58" customHeight="1" ht="13.9">
      <c r="A18" s="485" t="str">
        <f>IF(B18="","",16)</f>
        <v/>
      </c>
      <c r="B18" s="226"/>
      <c r="C18" s="69"/>
      <c r="D18" s="70"/>
      <c r="E18" s="76"/>
      <c r="F18" s="70"/>
      <c r="G18" s="76"/>
      <c r="H18" s="70"/>
      <c r="I18" s="491"/>
      <c r="J18" s="491"/>
      <c r="K18" s="70"/>
      <c r="L18" s="494"/>
      <c r="M18" s="494"/>
      <c r="N18" s="76"/>
      <c r="O18" s="76"/>
      <c r="P18" s="467"/>
      <c r="Q18" s="412"/>
      <c r="R18" s="410"/>
      <c r="S18" s="242"/>
      <c r="T18" s="401"/>
      <c r="U18" s="407"/>
      <c r="V18" s="249"/>
      <c r="W18" s="401"/>
      <c r="X18" s="278"/>
      <c r="Y18" s="78"/>
      <c r="Z18" s="403"/>
      <c r="AA18" s="281"/>
      <c r="AB18" s="79"/>
      <c r="AC18" s="85"/>
      <c r="AD18" s="55" t="str">
        <f>IF(B18="","",(((C18+F18+H18+K18+Q18+N18+O18)*50))+((E18*10))+(((I18+J18+D18+G18+L18+M18+U18)*25)+(X18*25)+(Y18*25)+(Z18*25)+(AA18*25)+(AB18*40)+(AC18*50)+(R18*1)+(S18*1)+(T18*1)))</f>
        <v/>
      </c>
      <c r="AE18" s="55" t="str">
        <f>IF(B18="","",C18+F18+H18+K18+Q18+N18+O18+((I18+J18+D18+G18+U18)/2)+(R18/50)+(S18/50)+(T18/50)+(E18/5))</f>
        <v/>
      </c>
      <c r="AF18" s="56" t="str">
        <f>IF(B18="","",((AE18*50)/AD18))</f>
        <v/>
      </c>
      <c r="AG18" s="57" t="str">
        <f>IF(C18="","",((Z18)*25)/AD18)</f>
        <v/>
      </c>
      <c r="AH18" s="57" t="str">
        <f>IF(B18="","",(X18*25)/AD18)</f>
        <v/>
      </c>
      <c r="AI18" s="57" t="str">
        <f>IF(B18="","",(Y18*25)/AD18)</f>
        <v/>
      </c>
      <c r="AJ18" s="57" t="str">
        <f>IF(B18="","",(AA18*25)/AD18)</f>
        <v/>
      </c>
      <c r="AK18" s="58" t="str">
        <f>IF(B18="","",(AB18*40)/AD18)</f>
        <v/>
      </c>
      <c r="AL18" s="58" t="str">
        <f>IF(B18="","",(AC18*50)/AD18)</f>
        <v/>
      </c>
      <c r="AM18" s="59" t="str">
        <f>IF(B18="","",B18)</f>
        <v/>
      </c>
      <c r="AN18" s="233"/>
      <c r="AO18" s="82"/>
      <c r="AP18" s="234"/>
      <c r="AQ18" s="63" t="str">
        <f>IF(AN18="","",AN18/AO18)</f>
        <v/>
      </c>
      <c r="AR18" s="64" t="str">
        <f>IF(AN18="","",(AD18/AN18)/1000)</f>
        <v/>
      </c>
      <c r="AS18" s="64" t="str">
        <f>IF(AN18="","",AR18*24)</f>
        <v/>
      </c>
      <c r="AT18" s="65" t="str">
        <f>IF(AN18="","",(AD18/1000)*100%/AS18)</f>
        <v/>
      </c>
      <c r="AU18" s="64" t="str">
        <f>IF(AN18="","",(AE18/AN18))</f>
        <v/>
      </c>
      <c r="AV18" s="229" t="str">
        <f>IF(AN18="","",(AD18/AO18)/1000)</f>
        <v/>
      </c>
      <c r="AW18" s="714"/>
      <c r="AX18" s="714"/>
      <c r="AY18" s="714"/>
      <c r="AZ18" s="723"/>
      <c r="BA18" s="714"/>
      <c r="BB18" s="725"/>
      <c r="BC18" s="727"/>
      <c r="BD18" s="727"/>
      <c r="BE18" s="727"/>
      <c r="BF18" s="729"/>
    </row>
    <row r="19" spans="1:58" customHeight="1" ht="13.9">
      <c r="A19" s="485" t="str">
        <f>IF(B19="","",17)</f>
        <v/>
      </c>
      <c r="B19" s="68"/>
      <c r="C19" s="69"/>
      <c r="D19" s="70"/>
      <c r="E19" s="76"/>
      <c r="F19" s="70"/>
      <c r="G19" s="76"/>
      <c r="H19" s="70"/>
      <c r="I19" s="491"/>
      <c r="J19" s="491"/>
      <c r="K19" s="70"/>
      <c r="L19" s="494"/>
      <c r="M19" s="494"/>
      <c r="N19" s="76"/>
      <c r="O19" s="76"/>
      <c r="P19" s="467"/>
      <c r="Q19" s="412"/>
      <c r="R19" s="410"/>
      <c r="S19" s="242"/>
      <c r="T19" s="401"/>
      <c r="U19" s="407"/>
      <c r="V19" s="249"/>
      <c r="W19" s="401"/>
      <c r="X19" s="278"/>
      <c r="Y19" s="78"/>
      <c r="Z19" s="403"/>
      <c r="AA19" s="281"/>
      <c r="AB19" s="79"/>
      <c r="AC19" s="85"/>
      <c r="AD19" s="55" t="str">
        <f>IF(B19="","",(((C19+F19+H19+K19+Q19+N19+O19)*50))+((E19*10))+(((I19+J19+D19+G19+L19+M19+U19)*25)+(X19*25)+(Y19*25)+(Z19*25)+(AA19*25)+(AB19*40)+(AC19*50)+(R19*1)+(S19*1)+(T19*1)))</f>
        <v/>
      </c>
      <c r="AE19" s="55" t="str">
        <f>IF(B19="","",C19+F19+H19+K19+Q19+N19+O19+((I19+J19+D19+G19+U19)/2)+(R19/50)+(S19/50)+(T19/50)+(E19/5))</f>
        <v/>
      </c>
      <c r="AF19" s="56" t="str">
        <f>IF(B19="","",((AE19*50)/AD19))</f>
        <v/>
      </c>
      <c r="AG19" s="57" t="str">
        <f>IF(C19="","",((Z19)*25)/AD19)</f>
        <v/>
      </c>
      <c r="AH19" s="57" t="str">
        <f>IF(B19="","",(X19*25)/AD19)</f>
        <v/>
      </c>
      <c r="AI19" s="57" t="str">
        <f>IF(B19="","",(Y19*25)/AD19)</f>
        <v/>
      </c>
      <c r="AJ19" s="57" t="str">
        <f>IF(B19="","",(AA19*25)/AD19)</f>
        <v/>
      </c>
      <c r="AK19" s="58" t="str">
        <f>IF(B19="","",(AB19*40)/AD19)</f>
        <v/>
      </c>
      <c r="AL19" s="58" t="str">
        <f>IF(B19="","",(AC19*50)/AD19)</f>
        <v/>
      </c>
      <c r="AM19" s="59" t="str">
        <f>IF(B19="","",B19)</f>
        <v/>
      </c>
      <c r="AN19" s="233"/>
      <c r="AO19" s="82"/>
      <c r="AP19" s="234"/>
      <c r="AQ19" s="63" t="str">
        <f>IF(AN19="","",AN19/AO19)</f>
        <v/>
      </c>
      <c r="AR19" s="64" t="str">
        <f>IF(AN19="","",(AD19/AN19)/1000)</f>
        <v/>
      </c>
      <c r="AS19" s="64" t="str">
        <f>IF(AN19="","",AR19*24)</f>
        <v/>
      </c>
      <c r="AT19" s="65" t="str">
        <f>IF(AN19="","",(AD19/1000)*100%/AS19)</f>
        <v/>
      </c>
      <c r="AU19" s="64" t="str">
        <f>IF(AN19="","",(AE19/AN19))</f>
        <v/>
      </c>
      <c r="AV19" s="229" t="str">
        <f>IF(AN19="","",(AD19/AO19)/1000)</f>
        <v/>
      </c>
      <c r="AW19" s="714"/>
      <c r="AX19" s="714"/>
      <c r="AY19" s="714"/>
      <c r="AZ19" s="723"/>
      <c r="BA19" s="714"/>
      <c r="BB19" s="725"/>
      <c r="BC19" s="727"/>
      <c r="BD19" s="727"/>
      <c r="BE19" s="727"/>
      <c r="BF19" s="729"/>
    </row>
    <row r="20" spans="1:58" customHeight="1" ht="13.9">
      <c r="A20" s="485" t="str">
        <f>IF(B20="","",1+A19)</f>
        <v/>
      </c>
      <c r="B20" s="68"/>
      <c r="C20" s="69"/>
      <c r="D20" s="70"/>
      <c r="E20" s="76"/>
      <c r="F20" s="70"/>
      <c r="G20" s="76"/>
      <c r="H20" s="70"/>
      <c r="I20" s="491"/>
      <c r="J20" s="491"/>
      <c r="K20" s="70"/>
      <c r="L20" s="494"/>
      <c r="M20" s="494"/>
      <c r="N20" s="76"/>
      <c r="O20" s="76"/>
      <c r="P20" s="467"/>
      <c r="Q20" s="412"/>
      <c r="R20" s="410"/>
      <c r="S20" s="242"/>
      <c r="T20" s="401"/>
      <c r="U20" s="407"/>
      <c r="V20" s="249"/>
      <c r="W20" s="401"/>
      <c r="X20" s="278"/>
      <c r="Y20" s="78"/>
      <c r="Z20" s="403"/>
      <c r="AA20" s="281"/>
      <c r="AB20" s="79"/>
      <c r="AC20" s="85"/>
      <c r="AD20" s="55" t="str">
        <f>IF(B20="","",(((C20+F20+H20+K20+Q20+N20+O20)*50))+((E20*10))+(((I20+J20+D20+G20+L20+M20+U20)*25)+(X20*25)+(Y20*25)+(Z20*25)+(AA20*25)+(AB20*40)+(AC20*50)+(R20*1)+(S20*1)+(T20*1)))</f>
        <v/>
      </c>
      <c r="AE20" s="55" t="str">
        <f>IF(B20="","",C20+F20+H20+K20+Q20+N20+O20+((I20+J20+D20+G20+U20)/2)+(R20/50)+(S20/50)+(T20/50)+(E20/5))</f>
        <v/>
      </c>
      <c r="AF20" s="56" t="str">
        <f>IF(B20="","",((AE20*50)/AD20))</f>
        <v/>
      </c>
      <c r="AG20" s="57" t="str">
        <f>IF(C20="","",((Z20)*25)/AD20)</f>
        <v/>
      </c>
      <c r="AH20" s="57" t="str">
        <f>IF(B20="","",(X20*25)/AD20)</f>
        <v/>
      </c>
      <c r="AI20" s="57" t="str">
        <f>IF(B20="","",(Y20*25)/AD20)</f>
        <v/>
      </c>
      <c r="AJ20" s="57" t="str">
        <f>IF(B20="","",(AA20*25)/AD20)</f>
        <v/>
      </c>
      <c r="AK20" s="58" t="str">
        <f>IF(B20="","",(AB20*40)/AD20)</f>
        <v/>
      </c>
      <c r="AL20" s="58" t="str">
        <f>IF(B20="","",(AC20*50)/AD20)</f>
        <v/>
      </c>
      <c r="AM20" s="59" t="str">
        <f>IF(B20="","",B20)</f>
        <v/>
      </c>
      <c r="AN20" s="233"/>
      <c r="AO20" s="82"/>
      <c r="AP20" s="234"/>
      <c r="AQ20" s="63" t="str">
        <f>IF(AN20="","",AN20/AO20)</f>
        <v/>
      </c>
      <c r="AR20" s="64" t="str">
        <f>IF(AN20="","",(AD20/AN20)/1000)</f>
        <v/>
      </c>
      <c r="AS20" s="64" t="str">
        <f>IF(AN20="","",AR20*24)</f>
        <v/>
      </c>
      <c r="AT20" s="65" t="str">
        <f>IF(AN20="","",(AD20/1000)*100%/AS20)</f>
        <v/>
      </c>
      <c r="AU20" s="64" t="str">
        <f>IF(AN20="","",(AE20/AN20))</f>
        <v/>
      </c>
      <c r="AV20" s="229" t="str">
        <f>IF(AN20="","",(AD20/AO20)/1000)</f>
        <v/>
      </c>
      <c r="AW20" s="714"/>
      <c r="AX20" s="714"/>
      <c r="AY20" s="714"/>
      <c r="AZ20" s="723"/>
      <c r="BA20" s="714"/>
      <c r="BB20" s="725"/>
      <c r="BC20" s="727"/>
      <c r="BD20" s="727"/>
      <c r="BE20" s="727"/>
      <c r="BF20" s="729"/>
    </row>
    <row r="21" spans="1:58" customHeight="1" ht="13.9">
      <c r="A21" s="485" t="str">
        <f>IF(B21="","",1+A20)</f>
        <v/>
      </c>
      <c r="B21" s="68"/>
      <c r="C21" s="69"/>
      <c r="D21" s="70"/>
      <c r="E21" s="76"/>
      <c r="F21" s="70"/>
      <c r="G21" s="76"/>
      <c r="H21" s="70"/>
      <c r="I21" s="491"/>
      <c r="J21" s="491"/>
      <c r="K21" s="70"/>
      <c r="L21" s="494"/>
      <c r="M21" s="494"/>
      <c r="N21" s="76"/>
      <c r="O21" s="76"/>
      <c r="P21" s="467"/>
      <c r="Q21" s="412"/>
      <c r="R21" s="410"/>
      <c r="S21" s="242"/>
      <c r="T21" s="401"/>
      <c r="U21" s="407"/>
      <c r="V21" s="249"/>
      <c r="W21" s="401"/>
      <c r="X21" s="278"/>
      <c r="Y21" s="78"/>
      <c r="Z21" s="403"/>
      <c r="AA21" s="281"/>
      <c r="AB21" s="79"/>
      <c r="AC21" s="85"/>
      <c r="AD21" s="55"/>
      <c r="AE21" s="55" t="str">
        <f>IF(B21="","",C21+F21+H21+K21+Q21+N21+O21+((I21+J21+D21+G21+U21)/2)+(R21/50)+(S21/50)+(T21/50)+(E21/5))</f>
        <v/>
      </c>
      <c r="AF21" s="56" t="str">
        <f>IF(B21="","",((AE21*50)/AD21))</f>
        <v/>
      </c>
      <c r="AG21" s="57" t="str">
        <f>IF(C21="","",((Z21)*25)/AD21)</f>
        <v/>
      </c>
      <c r="AH21" s="57" t="str">
        <f>IF(B21="","",(X21*25)/AD21)</f>
        <v/>
      </c>
      <c r="AI21" s="57" t="str">
        <f>IF(B21="","",(Y21*25)/AD21)</f>
        <v/>
      </c>
      <c r="AJ21" s="57" t="str">
        <f>IF(B21="","",(AA21*25)/AD21)</f>
        <v/>
      </c>
      <c r="AK21" s="58" t="str">
        <f>IF(B21="","",(AB21*40)/AD21)</f>
        <v/>
      </c>
      <c r="AL21" s="58" t="str">
        <f>IF(B21="","",(AC21*50)/AD21)</f>
        <v/>
      </c>
      <c r="AM21" s="59" t="str">
        <f>IF(B21="","",B21)</f>
        <v/>
      </c>
      <c r="AN21" s="233"/>
      <c r="AO21" s="82"/>
      <c r="AP21" s="234"/>
      <c r="AQ21" s="63" t="str">
        <f>IF(AN21="","",AN21/AO21)</f>
        <v/>
      </c>
      <c r="AR21" s="64" t="str">
        <f>IF(AN21="","",(AD21/AN21)/1000)</f>
        <v/>
      </c>
      <c r="AS21" s="64" t="str">
        <f>IF(AN21="","",AR21*24)</f>
        <v/>
      </c>
      <c r="AT21" s="65" t="str">
        <f>IF(AN21="","",(AD21/1000)*100%/AS21)</f>
        <v/>
      </c>
      <c r="AU21" s="64" t="str">
        <f>IF(AN21="","",(AE21/AN21))</f>
        <v/>
      </c>
      <c r="AV21" s="229" t="str">
        <f>IF(AN21="","",(AD21/AO21)/1000)</f>
        <v/>
      </c>
      <c r="AW21" s="714"/>
      <c r="AX21" s="714"/>
      <c r="AY21" s="714"/>
      <c r="AZ21" s="723"/>
      <c r="BA21" s="714"/>
      <c r="BB21" s="725"/>
      <c r="BC21" s="727"/>
      <c r="BD21" s="727"/>
      <c r="BE21" s="727"/>
      <c r="BF21" s="729"/>
    </row>
    <row r="22" spans="1:58" customHeight="1" ht="13.9">
      <c r="A22" s="485" t="str">
        <f>IF(B22="","",1+A21)</f>
        <v/>
      </c>
      <c r="B22" s="68"/>
      <c r="C22" s="69"/>
      <c r="D22" s="70"/>
      <c r="E22" s="76"/>
      <c r="F22" s="70"/>
      <c r="G22" s="76"/>
      <c r="H22" s="70"/>
      <c r="I22" s="76"/>
      <c r="J22" s="76"/>
      <c r="K22" s="70"/>
      <c r="L22" s="494"/>
      <c r="M22" s="494"/>
      <c r="N22" s="76"/>
      <c r="O22" s="76"/>
      <c r="P22" s="467"/>
      <c r="Q22" s="412"/>
      <c r="R22" s="410"/>
      <c r="S22" s="242"/>
      <c r="T22" s="401"/>
      <c r="U22" s="407"/>
      <c r="V22" s="249"/>
      <c r="W22" s="401"/>
      <c r="X22" s="278"/>
      <c r="Y22" s="78"/>
      <c r="Z22" s="403"/>
      <c r="AA22" s="281"/>
      <c r="AB22" s="79"/>
      <c r="AC22" s="85"/>
      <c r="AD22" s="55" t="str">
        <f>IF(B22="","",(((C22+F22+H22+K22+Q22+N22+O22)*50))+((E22*10))+(((I22+J22+D22+G22+L22+M22+U22)*25)+(X22*25)+(Y22*25)+(Z22*25)+(AA22*25)+(AB22*40)+(AC22*50)+(R22*1)+(S22*1)+(T22*1)))</f>
        <v/>
      </c>
      <c r="AE22" s="55" t="str">
        <f>IF(B22="","",C22+F22+H22+K22+Q22+N22+O22+((I22+J22+D22+G22+U22)/2)+(R22/50)+(S22/50)+(T22/50)+(E22/5))</f>
        <v/>
      </c>
      <c r="AF22" s="56" t="str">
        <f>IF(B22="","",((AE22*50)/AD22))</f>
        <v/>
      </c>
      <c r="AG22" s="57" t="str">
        <f>IF(C22="","",((Z22)*25)/AD22)</f>
        <v/>
      </c>
      <c r="AH22" s="57" t="str">
        <f>IF(B22="","",(X22*25)/AD22)</f>
        <v/>
      </c>
      <c r="AI22" s="57" t="str">
        <f>IF(B22="","",(Y22*25)/AD22)</f>
        <v/>
      </c>
      <c r="AJ22" s="57" t="str">
        <f>IF(B22="","",(AA22*25)/AD22)</f>
        <v/>
      </c>
      <c r="AK22" s="58" t="str">
        <f>IF(B22="","",(AB22*40)/AD22)</f>
        <v/>
      </c>
      <c r="AL22" s="58" t="str">
        <f>IF(B22="","",(AC22*50)/AD22)</f>
        <v/>
      </c>
      <c r="AM22" s="59" t="str">
        <f>IF(B22="","",B22)</f>
        <v/>
      </c>
      <c r="AN22" s="233"/>
      <c r="AO22" s="82"/>
      <c r="AP22" s="234"/>
      <c r="AQ22" s="63" t="str">
        <f>IF(AN22="","",AN22/AO22)</f>
        <v/>
      </c>
      <c r="AR22" s="64" t="str">
        <f>IF(AN22="","",(AD22/AN22)/1000)</f>
        <v/>
      </c>
      <c r="AS22" s="64" t="str">
        <f>IF(AN22="","",AR22*24)</f>
        <v/>
      </c>
      <c r="AT22" s="65" t="str">
        <f>IF(AN22="","",(AD22/1000)*100%/AS22)</f>
        <v/>
      </c>
      <c r="AU22" s="64" t="str">
        <f>IF(AN22="","",(AE22/AN22))</f>
        <v/>
      </c>
      <c r="AV22" s="229" t="str">
        <f>IF(AN22="","",(AD22/AO22)/1000)</f>
        <v/>
      </c>
      <c r="AW22" s="714"/>
      <c r="AX22" s="714"/>
      <c r="AY22" s="714"/>
      <c r="AZ22" s="723"/>
      <c r="BA22" s="714"/>
      <c r="BB22" s="725"/>
      <c r="BC22" s="727"/>
      <c r="BD22" s="727"/>
      <c r="BE22" s="727"/>
      <c r="BF22" s="729"/>
    </row>
    <row r="23" spans="1:58" customHeight="1" ht="13.9">
      <c r="A23" s="485" t="str">
        <f>IF(B23="","",1+A22)</f>
        <v/>
      </c>
      <c r="B23" s="68"/>
      <c r="C23" s="69"/>
      <c r="D23" s="70"/>
      <c r="E23" s="76"/>
      <c r="F23" s="70"/>
      <c r="G23" s="76"/>
      <c r="H23" s="70"/>
      <c r="I23" s="76"/>
      <c r="J23" s="76"/>
      <c r="K23" s="70"/>
      <c r="L23" s="494"/>
      <c r="M23" s="494"/>
      <c r="N23" s="76"/>
      <c r="O23" s="76"/>
      <c r="P23" s="467"/>
      <c r="Q23" s="412"/>
      <c r="R23" s="410"/>
      <c r="S23" s="242"/>
      <c r="T23" s="401"/>
      <c r="U23" s="407"/>
      <c r="V23" s="249"/>
      <c r="W23" s="401"/>
      <c r="X23" s="278"/>
      <c r="Y23" s="78"/>
      <c r="Z23" s="403"/>
      <c r="AA23" s="281"/>
      <c r="AB23" s="79"/>
      <c r="AC23" s="85"/>
      <c r="AD23" s="55"/>
      <c r="AE23" s="55" t="str">
        <f>IF(B23="","",C23+F23+H23+K23+Q23+N23+O23+((I23+J23+D23+G23+U23)/2)+(R23/50)+(S23/50)+(T23/50)+(E23/5))</f>
        <v/>
      </c>
      <c r="AF23" s="56" t="str">
        <f>IF(B23="","",((AE23*50)/AD23))</f>
        <v/>
      </c>
      <c r="AG23" s="57" t="str">
        <f>IF(C23="","",((Z23)*25)/AD23)</f>
        <v/>
      </c>
      <c r="AH23" s="57" t="str">
        <f>IF(B23="","",(X23*25)/AD23)</f>
        <v/>
      </c>
      <c r="AI23" s="57" t="str">
        <f>IF(B23="","",(Y23*25)/AD23)</f>
        <v/>
      </c>
      <c r="AJ23" s="57" t="str">
        <f>IF(B23="","",(AA23*25)/AD23)</f>
        <v/>
      </c>
      <c r="AK23" s="58" t="str">
        <f>IF(B23="","",(AB23*40)/AD23)</f>
        <v/>
      </c>
      <c r="AL23" s="58" t="str">
        <f>IF(B23="","",(AC23*50)/AD23)</f>
        <v/>
      </c>
      <c r="AM23" s="59" t="str">
        <f>IF(B23="","",B23)</f>
        <v/>
      </c>
      <c r="AN23" s="233"/>
      <c r="AO23" s="82"/>
      <c r="AP23" s="234"/>
      <c r="AQ23" s="63" t="str">
        <f>IF(AN23="","",AN23/AO23)</f>
        <v/>
      </c>
      <c r="AR23" s="64" t="str">
        <f>IF(AN23="","",(AD23/AN23)/1000)</f>
        <v/>
      </c>
      <c r="AS23" s="64" t="str">
        <f>IF(AN23="","",AR23*24)</f>
        <v/>
      </c>
      <c r="AT23" s="65" t="str">
        <f>IF(AN23="","",(AD23/1000)*100%/AS23)</f>
        <v/>
      </c>
      <c r="AU23" s="64" t="str">
        <f>IF(AN23="","",(AE23/AN23))</f>
        <v/>
      </c>
      <c r="AV23" s="229" t="str">
        <f>IF(AN23="","",(AD23/AO23)/1000)</f>
        <v/>
      </c>
      <c r="AW23" s="714"/>
      <c r="AX23" s="714"/>
      <c r="AY23" s="714"/>
      <c r="AZ23" s="723"/>
      <c r="BA23" s="714"/>
      <c r="BB23" s="725"/>
      <c r="BC23" s="727"/>
      <c r="BD23" s="727"/>
      <c r="BE23" s="727"/>
      <c r="BF23" s="729"/>
    </row>
    <row r="24" spans="1:58" customHeight="1" ht="13.9">
      <c r="A24" s="485" t="str">
        <f>IF(B24="","",1+A23)</f>
        <v/>
      </c>
      <c r="B24" s="68"/>
      <c r="C24" s="69"/>
      <c r="D24" s="70"/>
      <c r="E24" s="76"/>
      <c r="F24" s="70"/>
      <c r="G24" s="76"/>
      <c r="H24" s="70"/>
      <c r="I24" s="76"/>
      <c r="J24" s="76"/>
      <c r="K24" s="70"/>
      <c r="L24" s="494"/>
      <c r="M24" s="494"/>
      <c r="N24" s="76"/>
      <c r="O24" s="76"/>
      <c r="P24" s="467"/>
      <c r="Q24" s="412"/>
      <c r="R24" s="410"/>
      <c r="S24" s="242"/>
      <c r="T24" s="401"/>
      <c r="U24" s="407"/>
      <c r="V24" s="249"/>
      <c r="W24" s="401"/>
      <c r="X24" s="278"/>
      <c r="Y24" s="78"/>
      <c r="Z24" s="403"/>
      <c r="AA24" s="281"/>
      <c r="AB24" s="79"/>
      <c r="AC24" s="85"/>
      <c r="AD24" s="55" t="str">
        <f>IF(B24="","",(((C24+F24+H24+K24+Q24+N24+O24)*50))+((E24*10))+(((I24+J24+D24+G24+L24+M24+U24)*25)+(X24*25)+(Y24*25)+(Z24*25)+(AA24*25)+(AB24*40)+(AC24*50)+(R24*1)+(S24*1)+(T24*1)))</f>
        <v/>
      </c>
      <c r="AE24" s="55" t="str">
        <f>IF(B24="","",C24+F24+H24+K24+Q24+N24+O24+((I24+J24+D24+G24+U24)/2)+(R24/50)+(S24/50)+(T24/50)+(E24/5))</f>
        <v/>
      </c>
      <c r="AF24" s="56" t="str">
        <f>IF(B24="","",((AE24*50)/AD24))</f>
        <v/>
      </c>
      <c r="AG24" s="57" t="str">
        <f>IF(C24="","",((Z24)*25)/AD24)</f>
        <v/>
      </c>
      <c r="AH24" s="57" t="str">
        <f>IF(B24="","",(X24*25)/AD24)</f>
        <v/>
      </c>
      <c r="AI24" s="57" t="str">
        <f>IF(B24="","",(Y24*25)/AD24)</f>
        <v/>
      </c>
      <c r="AJ24" s="57" t="str">
        <f>IF(B24="","",(AA24*25)/AD24)</f>
        <v/>
      </c>
      <c r="AK24" s="58" t="str">
        <f>IF(B24="","",(AB24*40)/AD24)</f>
        <v/>
      </c>
      <c r="AL24" s="58" t="str">
        <f>IF(B24="","",(AC24*50)/AD24)</f>
        <v/>
      </c>
      <c r="AM24" s="59" t="str">
        <f>IF(B24="","",B24)</f>
        <v/>
      </c>
      <c r="AN24" s="233"/>
      <c r="AO24" s="82"/>
      <c r="AP24" s="234"/>
      <c r="AQ24" s="63" t="str">
        <f>IF(AN24="","",AN24/AO24)</f>
        <v/>
      </c>
      <c r="AR24" s="64" t="str">
        <f>IF(AN24="","",(AD24/AN24)/1000)</f>
        <v/>
      </c>
      <c r="AS24" s="64" t="str">
        <f>IF(AN24="","",AR24*24)</f>
        <v/>
      </c>
      <c r="AT24" s="65" t="str">
        <f>IF(AN24="","",(AD24/1000)*100%/AS24)</f>
        <v/>
      </c>
      <c r="AU24" s="64" t="str">
        <f>IF(AN24="","",(AE24/AN24))</f>
        <v/>
      </c>
      <c r="AV24" s="229" t="str">
        <f>IF(AN24="","",(AD24/AO24)/1000)</f>
        <v/>
      </c>
      <c r="AW24" s="714"/>
      <c r="AX24" s="714"/>
      <c r="AY24" s="714"/>
      <c r="AZ24" s="723"/>
      <c r="BA24" s="714"/>
      <c r="BB24" s="725"/>
      <c r="BC24" s="727"/>
      <c r="BD24" s="727"/>
      <c r="BE24" s="727"/>
      <c r="BF24" s="729"/>
    </row>
    <row r="25" spans="1:58" customHeight="1" ht="13.9">
      <c r="A25" s="485"/>
      <c r="B25" s="68"/>
      <c r="C25" s="415"/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/>
      <c r="S25" s="242"/>
      <c r="T25" s="401"/>
      <c r="U25" s="407"/>
      <c r="V25" s="249"/>
      <c r="W25" s="401"/>
      <c r="X25" s="278"/>
      <c r="Y25" s="78"/>
      <c r="Z25" s="403"/>
      <c r="AA25" s="281"/>
      <c r="AB25" s="79"/>
      <c r="AC25" s="85"/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str">
        <f>IF(C25="","",((Z25)*25)/AD25)</f>
        <v/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492" t="str">
        <f>IF(AN25="","",(AD25/AO25)/1000)</f>
        <v/>
      </c>
      <c r="AW25" s="714"/>
      <c r="AX25" s="714"/>
      <c r="AY25" s="714"/>
      <c r="AZ25" s="723"/>
      <c r="BA25" s="714"/>
      <c r="BB25" s="725"/>
      <c r="BC25" s="727"/>
      <c r="BD25" s="727"/>
      <c r="BE25" s="727"/>
      <c r="BF25" s="729"/>
    </row>
    <row r="26" spans="1:58" customHeight="1" ht="13.9">
      <c r="A26" s="485"/>
      <c r="B26" s="68"/>
      <c r="C26" s="69"/>
      <c r="D26" s="70"/>
      <c r="E26" s="76"/>
      <c r="F26" s="70"/>
      <c r="G26" s="76"/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/>
      <c r="S26" s="242"/>
      <c r="T26" s="401"/>
      <c r="U26" s="407"/>
      <c r="V26" s="249"/>
      <c r="W26" s="401"/>
      <c r="X26" s="278"/>
      <c r="Y26" s="78"/>
      <c r="Z26" s="403"/>
      <c r="AA26" s="281"/>
      <c r="AB26" s="79"/>
      <c r="AC26" s="85"/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str">
        <f>IF(C26="","",((Z26)*25)/AD26)</f>
        <v/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229" t="str">
        <f>IF(AN26="","",(AD26/AO26)/1000)</f>
        <v/>
      </c>
      <c r="AW26" s="714"/>
      <c r="AX26" s="714"/>
      <c r="AY26" s="714"/>
      <c r="AZ26" s="723"/>
      <c r="BA26" s="714"/>
      <c r="BB26" s="725"/>
      <c r="BC26" s="727"/>
      <c r="BD26" s="727"/>
      <c r="BE26" s="727"/>
      <c r="BF26" s="729"/>
    </row>
    <row r="27" spans="1:58" customHeight="1" ht="13.9">
      <c r="A27" s="485"/>
      <c r="B27" s="68"/>
      <c r="C27" s="69"/>
      <c r="D27" s="70"/>
      <c r="E27" s="76"/>
      <c r="F27" s="70"/>
      <c r="G27" s="76"/>
      <c r="H27" s="70"/>
      <c r="I27" s="76"/>
      <c r="J27" s="76"/>
      <c r="K27" s="70"/>
      <c r="L27" s="494"/>
      <c r="M27" s="494"/>
      <c r="N27" s="76"/>
      <c r="O27" s="76"/>
      <c r="P27" s="467"/>
      <c r="Q27" s="412"/>
      <c r="R27" s="410"/>
      <c r="S27" s="242"/>
      <c r="T27" s="401"/>
      <c r="U27" s="407"/>
      <c r="V27" s="249"/>
      <c r="W27" s="401"/>
      <c r="X27" s="278"/>
      <c r="Y27" s="78"/>
      <c r="Z27" s="403"/>
      <c r="AA27" s="281"/>
      <c r="AB27" s="79"/>
      <c r="AC27" s="85"/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str">
        <f>IF(C27="","",((Z27)*25)/AD27)</f>
        <v/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23"/>
      <c r="BA27" s="714"/>
      <c r="BB27" s="725"/>
      <c r="BC27" s="727"/>
      <c r="BD27" s="727"/>
      <c r="BE27" s="727"/>
      <c r="BF27" s="729"/>
    </row>
    <row r="28" spans="1:58">
      <c r="A28" s="41"/>
      <c r="B28" s="68"/>
      <c r="C28" s="69"/>
      <c r="D28" s="70"/>
      <c r="E28" s="76"/>
      <c r="F28" s="70"/>
      <c r="G28" s="76"/>
      <c r="H28" s="70"/>
      <c r="I28" s="75"/>
      <c r="J28" s="75"/>
      <c r="K28" s="70"/>
      <c r="L28" s="494"/>
      <c r="M28" s="494"/>
      <c r="N28" s="76"/>
      <c r="O28" s="76"/>
      <c r="P28" s="467"/>
      <c r="Q28" s="412"/>
      <c r="R28" s="410"/>
      <c r="S28" s="242"/>
      <c r="T28" s="401"/>
      <c r="U28" s="407"/>
      <c r="V28" s="249"/>
      <c r="W28" s="401"/>
      <c r="X28" s="278"/>
      <c r="Y28" s="78"/>
      <c r="Z28" s="403"/>
      <c r="AA28" s="281"/>
      <c r="AB28" s="79"/>
      <c r="AC28" s="85"/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str">
        <f>IF(C28="","",((Z28)*25)/AD28)</f>
        <v/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23"/>
      <c r="BA28" s="714"/>
      <c r="BB28" s="725"/>
      <c r="BC28" s="727"/>
      <c r="BD28" s="727"/>
      <c r="BE28" s="727"/>
      <c r="BF28" s="729"/>
    </row>
    <row r="29" spans="1:58">
      <c r="A29" s="41"/>
      <c r="B29" s="68"/>
      <c r="C29" s="69"/>
      <c r="D29" s="70"/>
      <c r="E29" s="76"/>
      <c r="F29" s="70"/>
      <c r="G29" s="430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/>
      <c r="S29" s="242"/>
      <c r="T29" s="401"/>
      <c r="U29" s="407"/>
      <c r="V29" s="249"/>
      <c r="W29" s="401"/>
      <c r="X29" s="278"/>
      <c r="Y29" s="78"/>
      <c r="Z29" s="403"/>
      <c r="AA29" s="281"/>
      <c r="AB29" s="79"/>
      <c r="AC29" s="85"/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str">
        <f>IF(C29="","",((Z29)*25)/AD29)</f>
        <v/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23"/>
      <c r="BA29" s="714"/>
      <c r="BB29" s="725"/>
      <c r="BC29" s="727"/>
      <c r="BD29" s="727"/>
      <c r="BE29" s="727"/>
      <c r="BF29" s="729"/>
    </row>
    <row r="30" spans="1:58">
      <c r="A30" s="41" t="str">
        <f>IF(B30="","",1+A29)</f>
        <v/>
      </c>
      <c r="B30" s="425"/>
      <c r="C30" s="426"/>
      <c r="D30" s="427"/>
      <c r="E30" s="428"/>
      <c r="F30" s="460"/>
      <c r="G30" s="459"/>
      <c r="H30" s="427"/>
      <c r="I30" s="429"/>
      <c r="J30" s="429"/>
      <c r="K30" s="427"/>
      <c r="L30" s="495"/>
      <c r="M30" s="495"/>
      <c r="N30" s="430"/>
      <c r="O30" s="430"/>
      <c r="P30" s="468"/>
      <c r="Q30" s="431"/>
      <c r="R30" s="432"/>
      <c r="S30" s="433"/>
      <c r="T30" s="434"/>
      <c r="U30" s="435"/>
      <c r="V30" s="436"/>
      <c r="W30" s="434"/>
      <c r="X30" s="279"/>
      <c r="Y30" s="437"/>
      <c r="Z30" s="438"/>
      <c r="AA30" s="439"/>
      <c r="AB30" s="440"/>
      <c r="AC30" s="441"/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str">
        <f>IF(C30="","",((Z30)*25)/AD30)</f>
        <v/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443"/>
      <c r="AO30" s="444"/>
      <c r="AP30" s="445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23"/>
      <c r="BA30" s="714"/>
      <c r="BB30" s="725"/>
      <c r="BC30" s="727"/>
      <c r="BD30" s="727"/>
      <c r="BE30" s="727"/>
      <c r="BF30" s="729"/>
    </row>
    <row r="31" spans="1:58">
      <c r="A31" s="41" t="str">
        <f>IF(B31="","",1+A30)</f>
        <v/>
      </c>
      <c r="B31" s="425"/>
      <c r="C31" s="426"/>
      <c r="D31" s="427"/>
      <c r="E31" s="428"/>
      <c r="F31" s="460"/>
      <c r="G31" s="428"/>
      <c r="H31" s="427"/>
      <c r="I31" s="429"/>
      <c r="J31" s="429"/>
      <c r="K31" s="427"/>
      <c r="L31" s="495"/>
      <c r="M31" s="495"/>
      <c r="N31" s="430"/>
      <c r="O31" s="430"/>
      <c r="P31" s="468"/>
      <c r="Q31" s="431"/>
      <c r="R31" s="432"/>
      <c r="S31" s="433"/>
      <c r="T31" s="434"/>
      <c r="U31" s="435"/>
      <c r="V31" s="436"/>
      <c r="W31" s="434"/>
      <c r="X31" s="279"/>
      <c r="Y31" s="437"/>
      <c r="Z31" s="438"/>
      <c r="AA31" s="439"/>
      <c r="AB31" s="440"/>
      <c r="AC31" s="441"/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str">
        <f>IF(C31="","",((Z31)*25)/AD31)</f>
        <v/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23"/>
      <c r="BA31" s="714"/>
      <c r="BB31" s="725"/>
      <c r="BC31" s="727"/>
      <c r="BD31" s="727"/>
      <c r="BE31" s="727"/>
      <c r="BF31" s="729"/>
    </row>
    <row r="32" spans="1:58">
      <c r="A32" s="41" t="str">
        <f>IF(B32="","",1+A31)</f>
        <v/>
      </c>
      <c r="B32" s="425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/>
      <c r="S32" s="433"/>
      <c r="T32" s="434"/>
      <c r="U32" s="435"/>
      <c r="V32" s="436"/>
      <c r="W32" s="434"/>
      <c r="X32" s="279"/>
      <c r="Y32" s="437"/>
      <c r="Z32" s="438"/>
      <c r="AA32" s="439"/>
      <c r="AB32" s="440"/>
      <c r="AC32" s="441"/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23"/>
      <c r="BA32" s="714"/>
      <c r="BB32" s="725"/>
      <c r="BC32" s="727"/>
      <c r="BD32" s="727"/>
      <c r="BE32" s="727"/>
      <c r="BF32" s="729"/>
    </row>
    <row r="33" spans="1:58">
      <c r="A33" s="41" t="str">
        <f>IF(B33="","",1+A32)</f>
        <v/>
      </c>
      <c r="B33" s="425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23"/>
      <c r="BA33" s="714"/>
      <c r="BB33" s="725"/>
      <c r="BC33" s="727"/>
      <c r="BD33" s="727"/>
      <c r="BE33" s="727"/>
      <c r="BF33" s="729"/>
    </row>
    <row r="34" spans="1:58">
      <c r="A34" s="41" t="str">
        <f>IF(B34="","",1+A33)</f>
        <v/>
      </c>
      <c r="B34" s="442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452"/>
      <c r="AX34" s="452"/>
      <c r="AY34" s="452"/>
      <c r="AZ34" s="144"/>
      <c r="BA34" s="452"/>
      <c r="BB34" s="455"/>
      <c r="BC34" s="142"/>
      <c r="BD34" s="142"/>
      <c r="BE34" s="142"/>
      <c r="BF34" s="283"/>
    </row>
    <row r="35" spans="1:58">
      <c r="A35" s="41" t="str">
        <f>IF(B35="","",1+A34)</f>
        <v/>
      </c>
      <c r="B35" s="95"/>
      <c r="C35" s="96"/>
      <c r="D35" s="387"/>
      <c r="E35" s="250"/>
      <c r="F35" s="461"/>
      <c r="G35" s="100"/>
      <c r="H35" s="97"/>
      <c r="I35" s="101"/>
      <c r="J35" s="101"/>
      <c r="K35" s="97"/>
      <c r="L35" s="496"/>
      <c r="M35" s="496"/>
      <c r="N35" s="102"/>
      <c r="O35" s="102"/>
      <c r="P35" s="469"/>
      <c r="Q35" s="413"/>
      <c r="R35" s="411"/>
      <c r="S35" s="243"/>
      <c r="T35" s="402"/>
      <c r="U35" s="408"/>
      <c r="V35" s="250"/>
      <c r="W35" s="402"/>
      <c r="X35" s="400"/>
      <c r="Y35" s="104"/>
      <c r="Z35" s="404"/>
      <c r="AA35" s="282"/>
      <c r="AB35" s="105"/>
      <c r="AC35" s="106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6"/>
      <c r="AO35" s="447"/>
      <c r="AP35" s="383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3"/>
      <c r="AX35" s="453"/>
      <c r="AY35" s="453"/>
      <c r="AZ35" s="454"/>
      <c r="BA35" s="453"/>
      <c r="BB35" s="456"/>
      <c r="BC35" s="457"/>
      <c r="BD35" s="457"/>
      <c r="BE35" s="457"/>
      <c r="BF35" s="458"/>
    </row>
    <row r="36" spans="1:58">
      <c r="A36" s="114"/>
      <c r="B36" s="115" t="s">
        <v>67</v>
      </c>
      <c r="C36" s="536">
        <f>SUM(C4:C35)</f>
        <v>0</v>
      </c>
      <c r="D36" s="536">
        <f>SUM(D4:D35)</f>
        <v>0</v>
      </c>
      <c r="E36" s="536">
        <f>SUM(E4:E35)</f>
        <v>0</v>
      </c>
      <c r="F36" s="536">
        <f>SUM(F4:F35)</f>
        <v>0</v>
      </c>
      <c r="G36" s="536">
        <f>SUM(G4:G35)</f>
        <v>0</v>
      </c>
      <c r="H36" s="536">
        <f>SUM(H4:H35)</f>
        <v>0</v>
      </c>
      <c r="I36" s="536">
        <f>SUM(I4:I35)</f>
        <v>0</v>
      </c>
      <c r="J36" s="536">
        <f>SUM(J4:J35)</f>
        <v>0</v>
      </c>
      <c r="K36" s="536">
        <f>SUM(K4:K35)</f>
        <v>0</v>
      </c>
      <c r="L36" s="535">
        <f>SUM(L4:L35)</f>
        <v>0</v>
      </c>
      <c r="M36" s="535">
        <f>SUM(M4:M35)</f>
        <v>0</v>
      </c>
      <c r="N36" s="535">
        <f>SUM(N4:N35)</f>
        <v>0</v>
      </c>
      <c r="O36" s="535">
        <f>SUM(O4:O35)</f>
        <v>0</v>
      </c>
      <c r="P36" s="535">
        <f>SUM(P4:P35)</f>
        <v>0</v>
      </c>
      <c r="Q36" s="536">
        <f>SUM(Q4:Q35)</f>
        <v>0</v>
      </c>
      <c r="R36" s="536">
        <f>SUM(R4:R35)</f>
        <v>0</v>
      </c>
      <c r="S36" s="536">
        <f>SUM(S4:S35)</f>
        <v>0</v>
      </c>
      <c r="T36" s="536">
        <f>SUM(T4:T35)</f>
        <v>0</v>
      </c>
      <c r="U36" s="535">
        <f>SUM(U4:U35)</f>
        <v>0</v>
      </c>
      <c r="V36" s="535">
        <f>SUM(V4:V35)</f>
        <v>0</v>
      </c>
      <c r="W36" s="535">
        <f>SUM(W4:W35)</f>
        <v>0</v>
      </c>
      <c r="X36" s="535">
        <f>SUM(X4:X35)</f>
        <v>0</v>
      </c>
      <c r="Y36" s="535">
        <f>SUM(Y4:Y35)</f>
        <v>0</v>
      </c>
      <c r="Z36" s="535">
        <f>SUM(Z4:Z35)</f>
        <v>0</v>
      </c>
      <c r="AA36" s="536">
        <f>SUM(AA4:AA35)</f>
        <v>0</v>
      </c>
      <c r="AB36" s="536">
        <f>SUM(AB4:AB35)</f>
        <v>0</v>
      </c>
      <c r="AC36" s="536">
        <f>SUM(AC4:AC35)</f>
        <v>0</v>
      </c>
      <c r="AD36" s="117">
        <f>SUM(AD4:AD35)</f>
        <v>0</v>
      </c>
      <c r="AE36" s="118">
        <f>SUM(AE4:AE35)</f>
        <v>0</v>
      </c>
      <c r="AF36" s="119" t="str">
        <f>IF(AD40=0,"",(AE36*50)/AD36)</f>
        <v/>
      </c>
      <c r="AG36" s="120" t="str">
        <f>IF(AD40=0,"",(Z36*50)/AD36)</f>
        <v/>
      </c>
      <c r="AH36" s="6" t="str">
        <f>IF(AD40=0,"",(X36*25)/AD36)</f>
        <v/>
      </c>
      <c r="AI36" s="119" t="str">
        <f>IF(AD40=0,"",(Y36*25)/AD36)</f>
        <v/>
      </c>
      <c r="AJ36" s="119" t="str">
        <f>IF(AD40=0,"",(AA36*25)/AD36)</f>
        <v/>
      </c>
      <c r="AK36" s="119" t="str">
        <f>IF(AD40=0,"",(AB36*40)/AD36)</f>
        <v/>
      </c>
      <c r="AL36" s="119" t="str">
        <f>IF(AD40=0,"",(AC36*50)/AD36)</f>
        <v/>
      </c>
      <c r="AM36" s="115" t="s">
        <v>67</v>
      </c>
      <c r="AN36" s="121">
        <f>SUM(AN4:AN35)</f>
        <v>0</v>
      </c>
      <c r="AO36" s="121">
        <f>SUM(AO4:AO35)</f>
        <v>0</v>
      </c>
      <c r="AP36" s="121">
        <f>SUM(AP4:AP35)</f>
        <v>0</v>
      </c>
      <c r="AQ36" s="122" t="str">
        <f>IF(AN36=0,"",AN36/AO36)</f>
        <v/>
      </c>
      <c r="AR36" s="122" t="str">
        <f>IF(AN36=0,"",(AD36/AN36)/1000)</f>
        <v/>
      </c>
      <c r="AS36" s="121" t="str">
        <f>IF(AN36=0,"",AR36*24)</f>
        <v/>
      </c>
      <c r="AT36" s="123" t="str">
        <f>IF(AN36=0,"",AD40/(AS36*26))</f>
        <v/>
      </c>
      <c r="AU36" s="121" t="str">
        <f>IF(AN36=0,"",(AE36/AN36))</f>
        <v/>
      </c>
      <c r="AV36" s="122" t="str">
        <f>IF(AO36=0,"",(AD36/AO36)/1000)</f>
        <v/>
      </c>
      <c r="AW36" s="124">
        <f>SUM(AW4:AW35)/1000</f>
        <v>0</v>
      </c>
      <c r="AX36" s="124">
        <f>SUM(AX4:AX35)/1000</f>
        <v>0</v>
      </c>
      <c r="AY36" s="124">
        <f>SUM(AY4:AY35)/1000</f>
        <v>0</v>
      </c>
      <c r="AZ36" s="124">
        <f>SUM(AZ4)</f>
        <v>0</v>
      </c>
      <c r="BA36" s="124">
        <f>SUM(BA4:BA35)</f>
        <v>0</v>
      </c>
      <c r="BB36" s="124">
        <f>SUM(BB4:BB35)</f>
        <v>0</v>
      </c>
      <c r="BC36" s="1">
        <f>SUM(BC4:BC35)/1000</f>
        <v>0</v>
      </c>
      <c r="BD36" s="1">
        <f>SUM(BD4:BD35)/1000</f>
        <v>0</v>
      </c>
      <c r="BE36" s="1">
        <f>SUM(BE4:BE35)/1000</f>
        <v>0</v>
      </c>
      <c r="BF36" s="1">
        <f>SUM(BF4:BF35)/1000</f>
        <v>0</v>
      </c>
    </row>
    <row r="37" spans="1:58">
      <c r="B37" s="115" t="s">
        <v>68</v>
      </c>
      <c r="C37" s="116" t="str">
        <f>IF(C36=0,"",AVERAGE(C4:C35))</f>
        <v/>
      </c>
      <c r="D37" s="116" t="str">
        <f>IF(D36=0,"",AVERAGE(D4:D35))</f>
        <v/>
      </c>
      <c r="E37" s="116" t="str">
        <f>IF(E36=0,"",AVERAGE(E4:E35))</f>
        <v/>
      </c>
      <c r="F37" s="116" t="str">
        <f>IF(F36=0,"",AVERAGE(F4:F35))</f>
        <v/>
      </c>
      <c r="G37" s="116" t="str">
        <f>IF(G36=0,"",AVERAGE(G4:G35))</f>
        <v/>
      </c>
      <c r="H37" s="116" t="str">
        <f>IF(H36=0,"",AVERAGE(H4:H35))</f>
        <v/>
      </c>
      <c r="I37" s="116" t="str">
        <f>IF(I36=0,"",AVERAGE(I4:I35))</f>
        <v/>
      </c>
      <c r="J37" s="116" t="str">
        <f>IF(J36=0,"",AVERAGE(J4:J35))</f>
        <v/>
      </c>
      <c r="K37" s="116" t="str">
        <f>IF(K36=0,"",AVERAGE(K4:K35))</f>
        <v/>
      </c>
      <c r="L37" s="116"/>
      <c r="M37" s="116"/>
      <c r="N37" s="116" t="str">
        <f>IF(N36=0,"",AVERAGE(N4:N35))</f>
        <v/>
      </c>
      <c r="O37" s="116" t="str">
        <f>IF(O36=0,"",AVERAGE(O4:O35))</f>
        <v/>
      </c>
      <c r="P37" s="116" t="str">
        <f>IF(P36=0,"",AVERAGE(P4:P35))</f>
        <v/>
      </c>
      <c r="Q37" s="116" t="str">
        <f>IF(Q36=0,"",AVERAGE(Q4:Q35))</f>
        <v/>
      </c>
      <c r="R37" s="116" t="str">
        <f>IF(R36=0,"",AVERAGE(R4:R35))</f>
        <v/>
      </c>
      <c r="S37" s="116" t="str">
        <f>IF(S36=0,"",AVERAGE(S4:S35))</f>
        <v/>
      </c>
      <c r="T37" s="116" t="str">
        <f>IF(T36=0,"",AVERAGE(T4:T35))</f>
        <v/>
      </c>
      <c r="U37" s="116" t="str">
        <f>IF(U36=0,"",AVERAGE(U4:U35))</f>
        <v/>
      </c>
      <c r="V37" s="116" t="str">
        <f>IF(V36=0,"",AVERAGE(V4:V35))</f>
        <v/>
      </c>
      <c r="W37" s="116" t="str">
        <f>IF(W36=0,"",AVERAGE(W4:W35))</f>
        <v/>
      </c>
      <c r="X37" s="116" t="str">
        <f>IF(X36=0,"",AVERAGE(X4:X35))</f>
        <v/>
      </c>
      <c r="Y37" s="116" t="str">
        <f>IF(Y36=0,"",AVERAGE(Y4:Y35))</f>
        <v/>
      </c>
      <c r="Z37" s="116" t="str">
        <f>IF(Z36=0,"",AVERAGE(Z4:Z35))</f>
        <v/>
      </c>
      <c r="AA37" s="116" t="str">
        <f>IF(AA36=0,"",AVERAGE(AA4:AA35))</f>
        <v/>
      </c>
      <c r="AB37" s="116" t="str">
        <f>IF(AB36=0,"",AVERAGE(AB4:AB35))</f>
        <v/>
      </c>
      <c r="AC37" s="116" t="str">
        <f>IF(AC36=0,"",AVERAGE(AC4:AC35))</f>
        <v/>
      </c>
      <c r="AE37" s="7"/>
      <c r="AG37" s="119"/>
      <c r="AJ37" s="6"/>
      <c r="AK37" s="6"/>
      <c r="AL37" s="6"/>
      <c r="AM37" s="115" t="s">
        <v>68</v>
      </c>
      <c r="AN37" s="121" t="str">
        <f>IF(AN36=0,"",AVERAGE(AN4:AN35))</f>
        <v/>
      </c>
      <c r="AO37" s="121" t="str">
        <f>IF(AO36=0,"",AVERAGE(AO4:AO35))</f>
        <v/>
      </c>
      <c r="AP37" s="121" t="str">
        <f>IF(AP36=0,"",AVERAGE(AP4:AP35))</f>
        <v/>
      </c>
      <c r="AQ37" s="122" t="str">
        <f>IF(AQ36="","",AVERAGE(AQ4:AQ35))</f>
        <v/>
      </c>
      <c r="AR37" s="122" t="str">
        <f>IF(AR36="","",AVERAGE(AR4:AR35))</f>
        <v/>
      </c>
      <c r="AS37" s="121" t="str">
        <f>IF(AS36="","",AVERAGE(AS4:AS35))</f>
        <v/>
      </c>
      <c r="AT37" s="123" t="str">
        <f>IF(AT36="","",AVERAGE(AT4:AT35))</f>
        <v/>
      </c>
      <c r="AU37" s="121" t="str">
        <f>IF(AU36="","",AVERAGE(AU4:AU35))</f>
        <v/>
      </c>
      <c r="AV37" s="122" t="str">
        <f>IF(AV36="","",AVERAGE(AV4:AV35))</f>
        <v/>
      </c>
      <c r="AW37" s="122"/>
      <c r="AX37" s="122"/>
      <c r="AY37" s="122"/>
      <c r="AZ37" s="122"/>
      <c r="BA37" s="122"/>
    </row>
    <row r="38" spans="1:58" customHeight="1" ht="23.85">
      <c r="B38" s="115" t="s">
        <v>69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C38" s="125"/>
      <c r="AD38" s="697" t="s">
        <v>70</v>
      </c>
      <c r="AE38" s="697"/>
      <c r="AF38" s="6"/>
      <c r="AG38" s="119"/>
      <c r="AH38" s="6"/>
      <c r="AI38" s="6"/>
      <c r="AJ38" s="6"/>
      <c r="AK38" s="6"/>
      <c r="AL38" s="6"/>
      <c r="AM38" s="6"/>
      <c r="AN38" s="121"/>
      <c r="AO38" s="121"/>
      <c r="AP38" s="121"/>
      <c r="AQ38" s="121"/>
      <c r="AR38" s="116"/>
      <c r="AS38" s="123"/>
      <c r="AT38" s="123"/>
      <c r="AU38" s="121"/>
    </row>
    <row r="39" spans="1:58">
      <c r="B39" s="115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25"/>
      <c r="AE39" s="697" t="s">
        <v>71</v>
      </c>
      <c r="AF39" s="697"/>
      <c r="AG39" s="119"/>
      <c r="AH39" s="127"/>
      <c r="AI39" s="127"/>
      <c r="AJ39" s="6"/>
      <c r="AK39" s="6"/>
      <c r="AL39" s="6"/>
      <c r="AM39" s="6"/>
      <c r="AN39" s="121"/>
      <c r="AO39" s="121"/>
      <c r="AP39" s="121"/>
      <c r="AQ39" s="121"/>
      <c r="AR39" s="121"/>
      <c r="AS39" s="116"/>
      <c r="AT39" s="123"/>
      <c r="AU39" s="116"/>
      <c r="AV39" s="121"/>
    </row>
    <row r="40" spans="1:58">
      <c r="A40" s="137"/>
      <c r="B40" s="499" t="s">
        <v>67</v>
      </c>
      <c r="C40" s="476">
        <f>SUM(C4:C35)</f>
        <v>0</v>
      </c>
      <c r="D40" s="476">
        <f>SUM(D4:D35)</f>
        <v>0</v>
      </c>
      <c r="E40" s="476">
        <f>SUM(E4:E35)</f>
        <v>0</v>
      </c>
      <c r="F40" s="476">
        <f>SUM(F4:F35)</f>
        <v>0</v>
      </c>
      <c r="G40" s="476">
        <f>SUM(G4:G35)</f>
        <v>0</v>
      </c>
      <c r="H40" s="476">
        <f>SUM(H4:H35)</f>
        <v>0</v>
      </c>
      <c r="I40" s="476">
        <f>SUM(I4:I35)</f>
        <v>0</v>
      </c>
      <c r="J40" s="476">
        <f>SUM(J4:J35)</f>
        <v>0</v>
      </c>
      <c r="K40" s="476">
        <f>SUM(K4:K35)</f>
        <v>0</v>
      </c>
      <c r="L40" s="476">
        <f>SUM(L4:L35)</f>
        <v>0</v>
      </c>
      <c r="M40" s="476">
        <f>SUM(M4:M35)</f>
        <v>0</v>
      </c>
      <c r="N40" s="476">
        <f>SUM(N4:N35)</f>
        <v>0</v>
      </c>
      <c r="O40" s="476">
        <f>SUM(O4:O35)</f>
        <v>0</v>
      </c>
      <c r="P40" s="476">
        <f>SUM(P4:P35)</f>
        <v>0</v>
      </c>
      <c r="Q40" s="476">
        <f>SUM(Q4:Q35)</f>
        <v>0</v>
      </c>
      <c r="R40" s="476">
        <f>SUM(R4:R35)</f>
        <v>0</v>
      </c>
      <c r="S40" s="476">
        <f>SUM(S4:S35)</f>
        <v>0</v>
      </c>
      <c r="T40" s="476">
        <f>SUM(T4:T35)</f>
        <v>0</v>
      </c>
      <c r="U40" s="476">
        <f>SUM(U4:U35)</f>
        <v>0</v>
      </c>
      <c r="V40" s="476">
        <f>SUM(V4:V35)</f>
        <v>0</v>
      </c>
      <c r="W40" s="476">
        <f>SUM(W4:W35)</f>
        <v>0</v>
      </c>
      <c r="X40" s="476">
        <f>SUM(X4:X35)</f>
        <v>0</v>
      </c>
      <c r="Y40" s="476">
        <f>SUM(Y4:Y35)</f>
        <v>0</v>
      </c>
      <c r="Z40" s="476">
        <f>SUM(Z4:Z35)</f>
        <v>0</v>
      </c>
      <c r="AA40" s="476">
        <f>SUM(AA4:AA35)</f>
        <v>0</v>
      </c>
      <c r="AB40" s="476">
        <f>SUM(AB4:AB35)</f>
        <v>0</v>
      </c>
      <c r="AC40" s="476">
        <f>SUM(AC4:AC35)</f>
        <v>0</v>
      </c>
      <c r="AD40" s="534">
        <f>AD36/1000</f>
        <v>0</v>
      </c>
      <c r="AE40" s="6"/>
      <c r="AF40" s="6"/>
      <c r="AG40" s="119"/>
      <c r="AH40" s="6"/>
      <c r="AI40" s="6"/>
      <c r="AJ40" s="6"/>
      <c r="AK40" s="6"/>
      <c r="AL40" s="115"/>
      <c r="AM40" s="115"/>
      <c r="AN40" s="121"/>
      <c r="AO40" s="121"/>
      <c r="AP40" s="121"/>
      <c r="AQ40" s="116"/>
      <c r="AR40" s="123"/>
      <c r="AS40" s="116"/>
      <c r="AT40" s="128"/>
    </row>
    <row r="41" spans="1:58"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4"/>
      <c r="AB41" s="7"/>
      <c r="AC41" s="6"/>
      <c r="AD41" s="6"/>
      <c r="AE41" s="115"/>
      <c r="AF41" s="121"/>
      <c r="AG41" s="129"/>
      <c r="AH41" s="121"/>
      <c r="AI41" s="121"/>
      <c r="AJ41" s="121"/>
      <c r="AK41" s="121"/>
      <c r="AL41" s="121"/>
      <c r="AM41" s="121"/>
      <c r="AN41" s="116"/>
      <c r="AO41" s="121"/>
    </row>
    <row r="42" spans="1:58">
      <c r="A42" s="130" t="s">
        <v>72</v>
      </c>
      <c r="B42" s="226"/>
      <c r="C42" s="131"/>
      <c r="D42" s="75"/>
      <c r="E42" s="75"/>
      <c r="F42" s="75"/>
      <c r="G42" s="75"/>
      <c r="H42" s="75"/>
      <c r="I42" s="72"/>
      <c r="J42" s="71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249"/>
      <c r="V42" s="71"/>
      <c r="W42" s="75"/>
      <c r="X42" s="79"/>
      <c r="Y42" s="79"/>
      <c r="Z42" s="79"/>
      <c r="AA42" s="79"/>
      <c r="AB42" s="79"/>
      <c r="AC42" s="85"/>
      <c r="AD42" s="55">
        <f>(Z42+AA42)*25.8</f>
        <v>0</v>
      </c>
      <c r="AE42" s="55">
        <f>Z42</f>
        <v>0</v>
      </c>
      <c r="AF42" s="56" t="str">
        <f>IF(B42="","",((AE42*25)/AD42))</f>
        <v/>
      </c>
      <c r="AG42" s="57" t="str">
        <f>IF(B42="","",((Z42)*25)/AD42)</f>
        <v/>
      </c>
      <c r="AH42" s="57" t="str">
        <f>IF(B42="","",(X42*25)/AD42)</f>
        <v/>
      </c>
      <c r="AI42" s="57" t="str">
        <f>IF(B42="","",(Y42*25)/AD42)</f>
        <v/>
      </c>
      <c r="AJ42" s="57" t="str">
        <f>IF(B42="","",(AA42*25)/AD42)</f>
        <v/>
      </c>
      <c r="AK42" s="58" t="str">
        <f>IF(B42="","",(AB42*40)/AD42)</f>
        <v/>
      </c>
      <c r="AL42" s="58" t="str">
        <f>IF(B42="","",(AC42*50)/AD42)</f>
        <v/>
      </c>
      <c r="AM42" s="59" t="str">
        <f>IF(B42="","",B42)</f>
        <v/>
      </c>
      <c r="AN42" s="81"/>
      <c r="AO42" s="94"/>
      <c r="AP42" s="83"/>
      <c r="AQ42" s="63" t="str">
        <f>IF(AN42="","",AN42/AO42)</f>
        <v/>
      </c>
      <c r="AR42" s="64" t="str">
        <f>IF(AN42="","",(AD42/AN42)/1000)</f>
        <v/>
      </c>
      <c r="AS42" s="64" t="str">
        <f>IF(AN42="","",AR42*24)</f>
        <v/>
      </c>
      <c r="AT42" s="65" t="str">
        <f>IF(AN42="","",(AD42/1000)*100%/AS42)</f>
        <v/>
      </c>
      <c r="AU42" s="64" t="str">
        <f>IF(AN42="","",(AE42/AN42))</f>
        <v/>
      </c>
      <c r="AV42" s="66" t="str">
        <f>IF(AN42="","",(AD42/AO42)/1000)</f>
        <v/>
      </c>
      <c r="AW42" s="389"/>
      <c r="AX42" s="390"/>
      <c r="AY42" s="390"/>
      <c r="AZ42" s="391"/>
      <c r="BA42" s="391"/>
      <c r="BB42" s="392"/>
      <c r="BC42" s="368"/>
      <c r="BD42" s="368"/>
      <c r="BE42" s="368"/>
      <c r="BF42" s="393"/>
    </row>
    <row r="43" spans="1:58">
      <c r="A43" s="130" t="s">
        <v>73</v>
      </c>
      <c r="B43" s="68"/>
      <c r="C43" s="131"/>
      <c r="D43" s="75"/>
      <c r="E43" s="75"/>
      <c r="F43" s="75"/>
      <c r="G43" s="75"/>
      <c r="H43" s="75"/>
      <c r="I43" s="72"/>
      <c r="J43" s="71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249"/>
      <c r="V43" s="71"/>
      <c r="W43" s="75"/>
      <c r="X43" s="79"/>
      <c r="Y43" s="79"/>
      <c r="Z43" s="79"/>
      <c r="AA43" s="79"/>
      <c r="AB43" s="79"/>
      <c r="AC43" s="85"/>
      <c r="AD43" s="55">
        <f>(Z43*25)+(AA43*25)+(AB43*40)+(AC43*50)</f>
        <v>0</v>
      </c>
      <c r="AE43" s="55" t="str">
        <f>IF(B43="","",C43+E43+G43+K43+N43+O43+Q43+R43+((D43+H43)/4)+((F43+I43+J43+T43+Z43)/2))</f>
        <v/>
      </c>
      <c r="AF43" s="56" t="str">
        <f>IF(B43="","",((AE43*50)/AD43))</f>
        <v/>
      </c>
      <c r="AG43" s="57" t="str">
        <f>IF(B43="","",((Z43)*25)/AD43)</f>
        <v/>
      </c>
      <c r="AH43" s="57" t="str">
        <f>IF(B43="","",(X43*25)/AD43)</f>
        <v/>
      </c>
      <c r="AI43" s="57" t="str">
        <f>IF(B43="","",(Y43*25)/AD43)</f>
        <v/>
      </c>
      <c r="AJ43" s="57" t="str">
        <f>IF(B43="","",(AA43*25)/AD43)</f>
        <v/>
      </c>
      <c r="AK43" s="58" t="str">
        <f>IF(B43="","",(AB43*40)/AD43)</f>
        <v/>
      </c>
      <c r="AL43" s="58" t="str">
        <f>IF(B43="","",(AC43*50)/AD43)</f>
        <v/>
      </c>
      <c r="AM43" s="59" t="str">
        <f>IF(B43="","",B43)</f>
        <v/>
      </c>
      <c r="AN43" s="81"/>
      <c r="AO43" s="94"/>
      <c r="AP43" s="83"/>
      <c r="AQ43" s="63" t="str">
        <f>IF(AN43="","",AN43/AO43)</f>
        <v/>
      </c>
      <c r="AR43" s="64" t="str">
        <f>IF(AN43="","",(AD43/AN43)/1000)</f>
        <v/>
      </c>
      <c r="AS43" s="64" t="str">
        <f>IF(AN43="","",AR43*24)</f>
        <v/>
      </c>
      <c r="AT43" s="65" t="str">
        <f>IF(AN43="","",(AD43/1000)*100%/AS43)</f>
        <v/>
      </c>
      <c r="AU43" s="64" t="str">
        <f>IF(AN43="","",(AE43/AN43))</f>
        <v/>
      </c>
      <c r="AV43" s="66" t="str">
        <f>IF(AN43="","",(AD43/AO43)/1000)</f>
        <v/>
      </c>
      <c r="AW43" s="394"/>
      <c r="AX43" s="92"/>
      <c r="AY43" s="92"/>
      <c r="AZ43" s="93"/>
      <c r="BA43" s="93"/>
      <c r="BB43" s="350"/>
      <c r="BC43" s="351"/>
      <c r="BD43" s="351"/>
      <c r="BE43" s="351"/>
      <c r="BF43" s="395"/>
    </row>
    <row r="44" spans="1:58">
      <c r="A44" s="130" t="s">
        <v>74</v>
      </c>
      <c r="B44" s="68"/>
      <c r="C44" s="131"/>
      <c r="D44" s="75"/>
      <c r="E44" s="75"/>
      <c r="F44" s="75"/>
      <c r="G44" s="75"/>
      <c r="H44" s="75"/>
      <c r="I44" s="72"/>
      <c r="J44" s="71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249"/>
      <c r="V44" s="71"/>
      <c r="W44" s="75"/>
      <c r="X44" s="79"/>
      <c r="Y44" s="79"/>
      <c r="Z44" s="79"/>
      <c r="AA44" s="79"/>
      <c r="AB44" s="79"/>
      <c r="AC44" s="85"/>
      <c r="AD44" s="55">
        <f>Z44*25</f>
        <v>0</v>
      </c>
      <c r="AE44" s="55" t="str">
        <f>IF(B44="","",C44+E44+G44+K44+N44+O44+Q44+R44+((D44+H44)/4)+((F44+I44+J44+T44)/2))</f>
        <v/>
      </c>
      <c r="AF44" s="56" t="str">
        <f>IF(B44="","",((AE44*50)/AD44))</f>
        <v/>
      </c>
      <c r="AG44" s="57" t="str">
        <f>IF(B44="","",((Z44)*25)/AD44)</f>
        <v/>
      </c>
      <c r="AH44" s="57" t="str">
        <f>IF(B44="","",(X44*25)/AD44)</f>
        <v/>
      </c>
      <c r="AI44" s="57" t="str">
        <f>IF(B44="","",(Y44*25)/AD44)</f>
        <v/>
      </c>
      <c r="AJ44" s="57" t="str">
        <f>IF(B44="","",(AA44*25)/AD44)</f>
        <v/>
      </c>
      <c r="AK44" s="58" t="str">
        <f>IF(B44="","",(AB44*40)/AD44)</f>
        <v/>
      </c>
      <c r="AL44" s="58" t="str">
        <f>IF(B44="","",(AC44*50)/AD44)</f>
        <v/>
      </c>
      <c r="AM44" s="59" t="str">
        <f>IF(B44="","",B44)</f>
        <v/>
      </c>
      <c r="AN44" s="81"/>
      <c r="AO44" s="94"/>
      <c r="AP44" s="83"/>
      <c r="AQ44" s="63" t="str">
        <f>IF(AN44="","",AN44/AO44)</f>
        <v/>
      </c>
      <c r="AR44" s="64" t="str">
        <f>IF(AN44="","",(AD44/AN44)/1000)</f>
        <v/>
      </c>
      <c r="AS44" s="64" t="str">
        <f>IF(AN44="","",AR44*24)</f>
        <v/>
      </c>
      <c r="AT44" s="65" t="str">
        <f>IF(AN44="","",(AD44/1000)*100%/AS44)</f>
        <v/>
      </c>
      <c r="AU44" s="64" t="str">
        <f>IF(AN44="","",(AE44/AN44))</f>
        <v/>
      </c>
      <c r="AV44" s="66" t="str">
        <f>IF(AN44="","",(AD44/AO44)/1000)</f>
        <v/>
      </c>
      <c r="AW44" s="394"/>
      <c r="AX44" s="92"/>
      <c r="AY44" s="92"/>
      <c r="AZ44" s="93"/>
      <c r="BA44" s="93"/>
      <c r="BB44" s="350"/>
      <c r="BC44" s="351"/>
      <c r="BD44" s="351"/>
      <c r="BE44" s="351"/>
      <c r="BF44" s="395"/>
    </row>
    <row r="45" spans="1:58">
      <c r="A45" s="130" t="s">
        <v>75</v>
      </c>
      <c r="B45" s="68"/>
      <c r="C45" s="131"/>
      <c r="D45" s="75"/>
      <c r="E45" s="75"/>
      <c r="F45" s="75"/>
      <c r="G45" s="75"/>
      <c r="H45" s="75"/>
      <c r="I45" s="72"/>
      <c r="J45" s="71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249"/>
      <c r="V45" s="71"/>
      <c r="W45" s="75"/>
      <c r="X45" s="79"/>
      <c r="Y45" s="79"/>
      <c r="Z45" s="79"/>
      <c r="AA45" s="79"/>
      <c r="AB45" s="79"/>
      <c r="AC45" s="85"/>
      <c r="AD45" s="55">
        <f>(Z45+AA45)*25.275</f>
        <v>0</v>
      </c>
      <c r="AE45" s="55" t="str">
        <f>IF(B45="","",C45+E45+G45+K45+N45+O45+Q45+R45+((D45+H45)/4)+((F45+I45+J45+T45)/2))</f>
        <v/>
      </c>
      <c r="AF45" s="56" t="str">
        <f>IF(B45="","",((AE45*50)/AD45))</f>
        <v/>
      </c>
      <c r="AG45" s="57" t="str">
        <f>IF(B45="","",((Z45)*25)/AD45)</f>
        <v/>
      </c>
      <c r="AH45" s="57" t="str">
        <f>IF(B45="","",(X45*25)/AD45)</f>
        <v/>
      </c>
      <c r="AI45" s="57" t="str">
        <f>IF(B45="","",(Y45*25)/AD45)</f>
        <v/>
      </c>
      <c r="AJ45" s="57" t="str">
        <f>IF(B45="","",(AA45*25)/AD45)</f>
        <v/>
      </c>
      <c r="AK45" s="58" t="str">
        <f>IF(B45="","",(AB45*40)/AD45)</f>
        <v/>
      </c>
      <c r="AL45" s="58" t="str">
        <f>IF(B45="","",(AC45*50)/AD45)</f>
        <v/>
      </c>
      <c r="AM45" s="59" t="str">
        <f>IF(B45="","",B45)</f>
        <v/>
      </c>
      <c r="AN45" s="81"/>
      <c r="AO45" s="94"/>
      <c r="AP45" s="83"/>
      <c r="AQ45" s="63" t="str">
        <f>IF(AN45="","",AN45/AO45)</f>
        <v/>
      </c>
      <c r="AR45" s="64" t="str">
        <f>IF(AN45="","",(AD45/AN45)/1000)</f>
        <v/>
      </c>
      <c r="AS45" s="64" t="str">
        <f>IF(AN45="","",AR45*24)</f>
        <v/>
      </c>
      <c r="AT45" s="65" t="str">
        <f>IF(AN45="","",(AD45/1000)*100%/AS45)</f>
        <v/>
      </c>
      <c r="AU45" s="64" t="str">
        <f>IF(AN45="","",(AE45/AN45))</f>
        <v/>
      </c>
      <c r="AV45" s="66" t="str">
        <f>IF(AN45="","",(AD45/AO45)/1000)</f>
        <v/>
      </c>
      <c r="AW45" s="396"/>
      <c r="AX45" s="231"/>
      <c r="AY45" s="231"/>
      <c r="AZ45" s="232"/>
      <c r="BA45" s="232"/>
      <c r="BB45" s="397"/>
      <c r="BC45" s="398"/>
      <c r="BD45" s="398"/>
      <c r="BE45" s="398"/>
      <c r="BF45" s="399"/>
    </row>
    <row r="46" spans="1:58">
      <c r="B46" s="115"/>
      <c r="C46" s="116"/>
      <c r="D46" s="116"/>
      <c r="E46" s="116"/>
      <c r="F46" s="116"/>
      <c r="G46" s="116"/>
      <c r="H46" s="116"/>
      <c r="O46" s="116"/>
      <c r="P46" s="116"/>
      <c r="Q46" s="116"/>
      <c r="R46" s="116"/>
      <c r="S46" s="116"/>
      <c r="T46" s="116"/>
      <c r="U46" s="116"/>
      <c r="V46" s="116"/>
      <c r="W46" s="7"/>
      <c r="X46" s="7"/>
      <c r="AB46" s="6"/>
      <c r="AC46" s="6"/>
      <c r="AD46" s="55">
        <f>SUM(AD42:AD45)</f>
        <v>0</v>
      </c>
      <c r="AE46" s="121"/>
      <c r="AF46" s="121"/>
      <c r="AG46" s="121"/>
      <c r="AH46" s="116"/>
      <c r="AI46" s="123"/>
      <c r="AJ46" s="123"/>
      <c r="AK46" s="116"/>
      <c r="AL46" s="121"/>
      <c r="AX46" s="1">
        <f>AX42/1000</f>
        <v>0</v>
      </c>
    </row>
    <row r="47" spans="1:58">
      <c r="B47" s="115"/>
      <c r="C47" s="116"/>
      <c r="D47" s="116"/>
      <c r="E47" s="116"/>
      <c r="F47" s="116"/>
      <c r="G47" s="116"/>
      <c r="H47" s="116"/>
      <c r="I47" s="116"/>
      <c r="Q47" s="116"/>
      <c r="R47" s="116"/>
      <c r="S47" s="116"/>
      <c r="T47" s="116"/>
      <c r="U47" s="116"/>
      <c r="V47" s="116"/>
      <c r="W47" s="116"/>
      <c r="X47" s="7"/>
      <c r="Y47" s="7"/>
      <c r="AC47" s="6"/>
      <c r="AD47" s="697" t="s">
        <v>70</v>
      </c>
      <c r="AE47" s="697"/>
      <c r="AF47" s="121"/>
      <c r="AG47" s="121"/>
      <c r="AH47" s="121"/>
      <c r="AI47" s="116"/>
      <c r="AJ47" s="123"/>
      <c r="AK47" s="123"/>
      <c r="AL47" s="116"/>
      <c r="AM47" s="121"/>
    </row>
    <row r="48" spans="1:58">
      <c r="B48" s="115"/>
      <c r="C48" s="116"/>
      <c r="D48" s="116"/>
      <c r="E48" s="116"/>
      <c r="F48" s="116"/>
      <c r="G48" s="116"/>
      <c r="H48" s="116"/>
      <c r="I48" s="117">
        <v>3.6</v>
      </c>
      <c r="J48" s="116"/>
      <c r="K48" s="516"/>
      <c r="L48" s="516"/>
      <c r="M48" s="516"/>
      <c r="N48" s="5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7"/>
      <c r="Z48" s="7"/>
      <c r="AD48" s="126">
        <f>AD46/1000</f>
        <v>0</v>
      </c>
      <c r="AE48" s="697" t="s">
        <v>71</v>
      </c>
      <c r="AF48" s="697"/>
      <c r="AG48" s="121"/>
      <c r="AH48" s="121"/>
      <c r="AI48" s="121"/>
      <c r="AJ48" s="116"/>
      <c r="AK48" s="123"/>
      <c r="AL48" s="123"/>
      <c r="AM48" s="116"/>
      <c r="AN48" s="121"/>
    </row>
    <row r="49" spans="1:58" customHeight="1" ht="13.9">
      <c r="A49" s="676" t="s">
        <v>76</v>
      </c>
      <c r="B49" s="677"/>
      <c r="C49" s="678" t="s">
        <v>77</v>
      </c>
      <c r="D49" s="133"/>
      <c r="F49" s="655" t="s">
        <v>78</v>
      </c>
      <c r="G49" s="656"/>
      <c r="H49" s="657"/>
      <c r="I49" s="355" t="s">
        <v>79</v>
      </c>
      <c r="J49" s="136"/>
      <c r="K49" s="679" t="s">
        <v>80</v>
      </c>
      <c r="L49" s="679"/>
      <c r="M49" s="680"/>
      <c r="N49" s="515" t="s">
        <v>81</v>
      </c>
      <c r="O49" s="688" t="s">
        <v>82</v>
      </c>
      <c r="P49" s="689"/>
      <c r="Q49" s="690"/>
      <c r="R49" s="688" t="s">
        <v>83</v>
      </c>
      <c r="S49" s="689"/>
      <c r="T49" s="689"/>
      <c r="U49" s="690"/>
      <c r="V49" s="500" t="s">
        <v>84</v>
      </c>
      <c r="W49" s="488"/>
      <c r="X49" s="501"/>
      <c r="AB49" s="247"/>
      <c r="AG49" s="6"/>
      <c r="AH49" s="6"/>
      <c r="AI49" s="121"/>
      <c r="AJ49" s="121"/>
      <c r="AK49" s="116"/>
      <c r="AL49" s="123"/>
      <c r="AM49" s="123"/>
      <c r="AN49" s="116"/>
      <c r="AO49" s="121"/>
    </row>
    <row r="50" spans="1:58" customHeight="1" ht="15">
      <c r="A50" s="369" t="s">
        <v>85</v>
      </c>
      <c r="B50" s="482">
        <f>AD40+AD48</f>
        <v>0</v>
      </c>
      <c r="C50" s="678"/>
      <c r="E50" s="137"/>
      <c r="F50" s="662" t="s">
        <v>86</v>
      </c>
      <c r="G50" s="663"/>
      <c r="H50" s="325">
        <f>IF(G53="",0,G56/G53)</f>
        <v>0</v>
      </c>
      <c r="I50" s="138">
        <f>IF(I53="",0,I56/I53)</f>
        <v>0</v>
      </c>
      <c r="J50" s="136"/>
      <c r="K50" s="681"/>
      <c r="L50" s="681"/>
      <c r="M50" s="141" t="e">
        <f>IF($V$50="",0,K50/$V$55)</f>
        <v>#DIV/0!</v>
      </c>
      <c r="N50" s="489"/>
      <c r="O50" s="695"/>
      <c r="P50" s="696"/>
      <c r="Q50" s="141" t="e">
        <f>IF($V$50="",0,O50/$V$55)</f>
        <v>#DIV/0!</v>
      </c>
      <c r="R50" s="140" t="str">
        <f>D80</f>
        <v>CWRS</v>
      </c>
      <c r="S50" s="721">
        <f>(B82*D82)+(B85*D85)+(B86*D86)+(B87*D87)+(B89*D89)+(B92*D92)+(B94*D94)+(B95*D95)+(B98*D98)+(B99*D99)+(B100*D100)+(B102*D102)+(B103*D103)+(B108*D108)+(B111*D111)+(B83*D83)+(B104*D104)+(B84*D84)+(B91*D91)+(B115*D115)+(B106*D106)+(B105*D105)+(B113*D113)+(B110*D110)+(B88*D88)+(B90*D90)+(B96*D96)+(B97*D97)+(B107*D107)</f>
        <v>0</v>
      </c>
      <c r="T50" s="721"/>
      <c r="U50" s="486">
        <f>IF($S$55=0,0,S50/$S$55)</f>
        <v>0</v>
      </c>
      <c r="V50" s="695">
        <f>K50+O50-S50</f>
        <v>0</v>
      </c>
      <c r="W50" s="696"/>
      <c r="X50" s="484" t="e">
        <f>IF($V$50="",0,V50/$V$55)</f>
        <v>#DIV/0!</v>
      </c>
      <c r="AB50" s="157"/>
      <c r="AJ50" s="121"/>
      <c r="AK50" s="116"/>
      <c r="AL50" s="123"/>
      <c r="AM50" s="123"/>
      <c r="AN50" s="116"/>
      <c r="AO50" s="121"/>
    </row>
    <row r="51" spans="1:58" customHeight="1" ht="15">
      <c r="A51" s="326" t="s">
        <v>87</v>
      </c>
      <c r="B51" s="318">
        <f>AE36</f>
        <v>0</v>
      </c>
      <c r="C51" s="377">
        <f>B50/(B60*120)</f>
        <v>-0</v>
      </c>
      <c r="E51" s="137"/>
      <c r="F51" s="662" t="s">
        <v>88</v>
      </c>
      <c r="G51" s="663"/>
      <c r="H51" s="318">
        <f>IF(G53="",0,G53/B50)</f>
        <v>0</v>
      </c>
      <c r="I51" s="272"/>
      <c r="J51" s="136"/>
      <c r="K51" s="685"/>
      <c r="L51" s="685"/>
      <c r="M51" s="141" t="e">
        <f>IF($V$51="",0,K51/$V$55)</f>
        <v>#DIV/0!</v>
      </c>
      <c r="N51" s="489"/>
      <c r="O51" s="687"/>
      <c r="P51" s="681"/>
      <c r="Q51" s="141" t="e">
        <f>IF($V$51="",0,O51/$V$55)</f>
        <v>#DIV/0!</v>
      </c>
      <c r="R51" s="140" t="str">
        <f>IF(E80="","",E80)</f>
        <v>CPS</v>
      </c>
      <c r="S51" s="720">
        <f>(B82*E82)+(B85*E85)+(B86*E86)+(B87*E87)+(B89*E89)+(B92*E92)+(B94*E94)+(B95*E95)+(B98*E98)+(B99*E99)+(B100*E100)+(B102*E102)+(B103*E103)+(B108*E108)+(B113*E113)+(B105*E105)+(B111*E111)+(B104*E104)+(B83*E83)+(B84*E84)+(B91*E91)+(B106*E106)+(B115*E115)+(B116*E116)+(B110*E110)+(B101*E101)+(B88*E88)+(B90*E90)+(B97*E97)+(B107*E107+B96*E96)</f>
        <v>0</v>
      </c>
      <c r="T51" s="720"/>
      <c r="U51" s="486">
        <f>IF($S$55=0,0,S51/$S$55)</f>
        <v>0</v>
      </c>
      <c r="V51" s="687">
        <f>K51+O51-S51</f>
        <v>0</v>
      </c>
      <c r="W51" s="681"/>
      <c r="X51" s="141" t="e">
        <f>IF($V$51="",0,V51/$V$55)</f>
        <v>#DIV/0!</v>
      </c>
      <c r="AJ51" s="121"/>
      <c r="AK51" s="116"/>
      <c r="AL51" s="123"/>
      <c r="AM51" s="123"/>
      <c r="AN51" s="116"/>
      <c r="AO51" s="121"/>
    </row>
    <row r="52" spans="1:58" customHeight="1" ht="15">
      <c r="A52" s="326" t="s">
        <v>89</v>
      </c>
      <c r="B52" s="318">
        <f>(B51*50)/1000</f>
        <v>0</v>
      </c>
      <c r="E52" s="120"/>
      <c r="F52" s="662" t="s">
        <v>90</v>
      </c>
      <c r="G52" s="663"/>
      <c r="H52" s="318">
        <f>IF(G53="",0,G53/((B51*50)/1000))</f>
        <v>0</v>
      </c>
      <c r="I52" s="272"/>
      <c r="J52" s="136"/>
      <c r="K52" s="685"/>
      <c r="L52" s="685"/>
      <c r="M52" s="141" t="e">
        <f>IF($V$50="",0,K52/$V$55)</f>
        <v>#DIV/0!</v>
      </c>
      <c r="N52" s="489"/>
      <c r="O52" s="687"/>
      <c r="P52" s="681"/>
      <c r="Q52" s="141" t="e">
        <f>IF($V$50="",0,O52/$V$55)</f>
        <v>#DIV/0!</v>
      </c>
      <c r="R52" s="148" t="s">
        <v>91</v>
      </c>
      <c r="S52" s="720">
        <f>(B82*G82)+(B85*G85)+(B86*G86)+(B87*G87)+(B89*G89)+(B92*G92)+(B94*G94)+(B95*G95)+(B98*G98)+(B99*G99)+(B100*G100)+(B102*G102)+(B103*G103)+(B108*G108)+(B113*G113)+(B109*G109)+(B116*G116)+(B114*G114)+(B115*G115)+(B83*G83)+(B84*G84)+(B104*G104)+(B106*G106)+(B96*G96)+(B97*G97)+(B90*G90)+(B88*G88)+(B105*G105)+(B91*G91)+(B110*G110)</f>
        <v>0</v>
      </c>
      <c r="T52" s="720"/>
      <c r="U52" s="486">
        <f>IF($S$55=0,0,S52/$S$55)</f>
        <v>0</v>
      </c>
      <c r="V52" s="687">
        <f>K52+O52-S52</f>
        <v>0</v>
      </c>
      <c r="W52" s="681"/>
      <c r="X52" s="141" t="e">
        <f>IF($V$50="",0,V52/$V$55)</f>
        <v>#DIV/0!</v>
      </c>
      <c r="AJ52" s="121"/>
      <c r="AK52" s="116"/>
      <c r="AL52" s="123"/>
      <c r="AM52" s="123"/>
      <c r="AN52" s="116"/>
      <c r="AO52" s="121"/>
    </row>
    <row r="53" spans="1:58" customHeight="1" ht="15">
      <c r="A53" s="326" t="s">
        <v>92</v>
      </c>
      <c r="B53" s="580">
        <f>IF(AF36="",0,AF36)</f>
        <v>0</v>
      </c>
      <c r="E53" s="144"/>
      <c r="F53" s="326" t="s">
        <v>93</v>
      </c>
      <c r="G53" s="693"/>
      <c r="H53" s="694"/>
      <c r="I53" s="353"/>
      <c r="J53" s="136"/>
      <c r="K53" s="686">
        <v>0</v>
      </c>
      <c r="L53" s="686"/>
      <c r="M53" s="141" t="e">
        <f>IF($V$50="",0,L53/$V$55)</f>
        <v>#DIV/0!</v>
      </c>
      <c r="N53" s="490"/>
      <c r="O53" s="687"/>
      <c r="P53" s="681"/>
      <c r="Q53" s="141" t="e">
        <f>IF($V$50="",0,O53/$V$55)</f>
        <v>#DIV/0!</v>
      </c>
      <c r="R53" s="140" t="s">
        <v>94</v>
      </c>
      <c r="S53" s="720">
        <f>(B82*F82)+(B85*F85)+(B86*F86)+(B87*F87)+(B89*F89)+(B92*F92)+(B94*F94)+(B95*F95)+(B98*F98)+(B99*F99)+(B100*F100)+(B102*F102)+(B103*F103)+(B108*F108)+(B113*F113)+(B115*F115)+(B111*F111)+(B109*F109)+(B105*F105)+(B116*F116)+(B101*F101)+(B88*F88)+(B90*F90)+(B91*F91)+(B106*F106)+(B107*F107)+(B96*F96)</f>
        <v>0</v>
      </c>
      <c r="T53" s="720"/>
      <c r="U53" s="486">
        <f>IF($S$55=0,0,S53/$S$55)</f>
        <v>0</v>
      </c>
      <c r="V53" s="687">
        <f>L53+O53-S53</f>
        <v>0</v>
      </c>
      <c r="W53" s="681"/>
      <c r="X53" s="141" t="e">
        <f>IF($V$50="",0,V53/$V$55)</f>
        <v>#DIV/0!</v>
      </c>
      <c r="AG53" s="6"/>
      <c r="AH53" s="6"/>
      <c r="AI53" s="121"/>
      <c r="AJ53" s="121"/>
      <c r="AK53" s="116"/>
      <c r="AL53" s="123"/>
      <c r="AM53" s="123"/>
      <c r="AN53" s="116"/>
      <c r="AO53" s="121"/>
    </row>
    <row r="54" spans="1:58" customHeight="1" ht="15">
      <c r="A54" s="326" t="s">
        <v>95</v>
      </c>
      <c r="B54" s="319">
        <f>AN36</f>
        <v>0</v>
      </c>
      <c r="E54" s="146"/>
      <c r="F54" s="326" t="s">
        <v>96</v>
      </c>
      <c r="G54" s="682"/>
      <c r="H54" s="683"/>
      <c r="I54" s="684"/>
      <c r="J54" s="136"/>
      <c r="K54" s="686">
        <v>0</v>
      </c>
      <c r="L54" s="686"/>
      <c r="M54" s="141" t="e">
        <f>IF($V$50="",0,L54/$V$55)</f>
        <v>#DIV/0!</v>
      </c>
      <c r="N54" s="489"/>
      <c r="O54" s="691">
        <v>0</v>
      </c>
      <c r="P54" s="692"/>
      <c r="Q54" s="141" t="e">
        <f>IF($V$50="",0,O54/$V$55)</f>
        <v>#DIV/0!</v>
      </c>
      <c r="R54" s="480" t="s">
        <v>97</v>
      </c>
      <c r="S54" s="719">
        <f>IF(AD43="",0,AD43)</f>
        <v>0</v>
      </c>
      <c r="T54" s="719"/>
      <c r="U54" s="141">
        <f>IF($S$55=0,0,S54/$S$55)</f>
        <v>0</v>
      </c>
      <c r="V54" s="691">
        <f>L54+O54-S54</f>
        <v>0</v>
      </c>
      <c r="W54" s="692"/>
      <c r="X54" s="141" t="e">
        <f>IF($V$50="",0,V54/$V$55)</f>
        <v>#DIV/0!</v>
      </c>
      <c r="AC54" s="421"/>
      <c r="AF54" s="6"/>
      <c r="AG54" s="6"/>
      <c r="AH54" s="6"/>
      <c r="AJ54" s="147"/>
      <c r="AK54" s="147"/>
      <c r="AL54" s="6"/>
      <c r="AM54" s="6"/>
      <c r="AN54" s="147"/>
      <c r="AO54" s="147"/>
    </row>
    <row r="55" spans="1:58" customHeight="1" ht="15">
      <c r="A55" s="326" t="s">
        <v>98</v>
      </c>
      <c r="B55" s="320">
        <f>IF(B50=0,0,AP36/AN36)</f>
        <v>0</v>
      </c>
      <c r="E55" s="146"/>
      <c r="F55" s="326" t="s">
        <v>99</v>
      </c>
      <c r="G55" s="660"/>
      <c r="H55" s="661"/>
      <c r="I55" s="149"/>
      <c r="J55" s="136"/>
      <c r="K55" s="671">
        <f>SUM(K50:K54)</f>
        <v>0</v>
      </c>
      <c r="L55" s="670"/>
      <c r="M55" s="481"/>
      <c r="N55" s="487">
        <f>SUM(N50:N54)</f>
        <v>0</v>
      </c>
      <c r="O55" s="671">
        <f>SUM(O50:O54)</f>
        <v>0</v>
      </c>
      <c r="P55" s="670"/>
      <c r="Q55" s="481"/>
      <c r="R55" s="150"/>
      <c r="S55" s="670">
        <f>SUM(S50:S54)</f>
        <v>0</v>
      </c>
      <c r="T55" s="670"/>
      <c r="U55" s="479"/>
      <c r="V55" s="671">
        <f>SUM(V50:V54)</f>
        <v>0</v>
      </c>
      <c r="W55" s="670"/>
      <c r="X55" s="481"/>
      <c r="AH55" s="6"/>
      <c r="AJ55" s="147"/>
      <c r="AK55" s="147"/>
      <c r="AL55" s="6"/>
      <c r="AM55" s="6"/>
      <c r="AN55" s="147"/>
      <c r="AO55" s="147"/>
    </row>
    <row r="56" spans="1:58" customHeight="1" ht="13.9">
      <c r="A56" s="326" t="s">
        <v>100</v>
      </c>
      <c r="B56" s="321" t="str">
        <f>AT37</f>
        <v/>
      </c>
      <c r="E56" s="146"/>
      <c r="F56" s="326" t="s">
        <v>101</v>
      </c>
      <c r="G56" s="672">
        <v>77284230</v>
      </c>
      <c r="H56" s="673"/>
      <c r="I56" s="153">
        <v>2803509</v>
      </c>
      <c r="K56" s="216"/>
      <c r="L56" s="216"/>
      <c r="M56" s="216"/>
      <c r="N56" s="216"/>
      <c r="O56" s="375"/>
      <c r="P56" s="517"/>
      <c r="Q56" s="517"/>
      <c r="AH56" s="6"/>
      <c r="AJ56" s="147"/>
      <c r="AK56" s="147"/>
      <c r="AL56" s="6"/>
      <c r="AM56" s="6"/>
      <c r="AN56" s="147"/>
      <c r="AO56" s="147"/>
    </row>
    <row r="57" spans="1:58" customHeight="1" ht="13.9">
      <c r="A57" s="326" t="s">
        <v>102</v>
      </c>
      <c r="B57" s="580" t="str">
        <f>+AT36</f>
        <v/>
      </c>
      <c r="E57" s="137"/>
      <c r="F57" s="662" t="s">
        <v>103</v>
      </c>
      <c r="G57" s="663"/>
      <c r="H57" s="327"/>
      <c r="I57" s="155"/>
      <c r="K57" s="665" t="s">
        <v>104</v>
      </c>
      <c r="L57" s="666"/>
      <c r="M57" s="666"/>
      <c r="N57" s="666"/>
      <c r="O57" s="666"/>
      <c r="P57" s="518"/>
      <c r="Q57" s="246"/>
      <c r="X57" s="4"/>
      <c r="AD57" s="4"/>
      <c r="AH57" s="6"/>
      <c r="AJ57" s="147"/>
      <c r="AK57" s="147"/>
      <c r="AL57" s="6"/>
      <c r="AM57" s="6"/>
      <c r="AN57" s="147"/>
      <c r="AO57" s="147"/>
    </row>
    <row r="58" spans="1:58" customHeight="1" ht="13.9">
      <c r="A58" s="326" t="s">
        <v>105</v>
      </c>
      <c r="B58" s="322">
        <f>IF(AS36="",0,AS36)</f>
        <v>0</v>
      </c>
      <c r="E58" s="137"/>
      <c r="F58" s="326"/>
      <c r="G58" s="216"/>
      <c r="H58" s="323"/>
      <c r="K58" s="326" t="s">
        <v>106</v>
      </c>
      <c r="L58" s="216"/>
      <c r="M58" s="332">
        <f>AX36</f>
        <v>0</v>
      </c>
      <c r="N58" s="332"/>
      <c r="O58" s="216" t="s">
        <v>107</v>
      </c>
      <c r="P58" s="140"/>
      <c r="S58" s="156"/>
      <c r="V58" s="142"/>
      <c r="X58" s="4"/>
      <c r="AB58" s="157"/>
      <c r="AD58" s="4"/>
      <c r="AH58" s="6"/>
      <c r="AJ58" s="147"/>
      <c r="AK58" s="147"/>
      <c r="AL58" s="6"/>
      <c r="AM58" s="6"/>
      <c r="AN58" s="147"/>
      <c r="AO58" s="147"/>
    </row>
    <row r="59" spans="1:58" customHeight="1" ht="13.9">
      <c r="A59" s="326" t="s">
        <v>108</v>
      </c>
      <c r="B59" s="322">
        <f>IF(AU36="",0,AU36)</f>
        <v>0</v>
      </c>
      <c r="E59" s="137"/>
      <c r="F59" s="328" t="s">
        <v>109</v>
      </c>
      <c r="G59" s="329"/>
      <c r="H59" s="330" t="s">
        <v>110</v>
      </c>
      <c r="K59" s="326" t="s">
        <v>111</v>
      </c>
      <c r="L59" s="216"/>
      <c r="M59" s="332">
        <f>AY36</f>
        <v>0</v>
      </c>
      <c r="N59" s="332"/>
      <c r="O59" s="323" t="s">
        <v>107</v>
      </c>
      <c r="S59" s="156"/>
      <c r="W59" s="156"/>
      <c r="AC59" s="247"/>
      <c r="AD59" s="157"/>
      <c r="AE59" s="157"/>
      <c r="AF59" s="157"/>
      <c r="AG59" s="6"/>
      <c r="AJ59" s="147"/>
      <c r="AK59" s="6"/>
      <c r="AL59" s="147"/>
      <c r="AM59" s="147"/>
      <c r="AN59" s="147"/>
    </row>
    <row r="60" spans="1:58" customHeight="1" ht="13.9">
      <c r="A60" s="326" t="s">
        <v>112</v>
      </c>
      <c r="B60" s="323">
        <f>31-COUNTBLANK(A4:A35)</f>
        <v>-1</v>
      </c>
      <c r="F60" s="331" t="s">
        <v>113</v>
      </c>
      <c r="G60" s="664" t="e">
        <f>G59/(B50*1000)</f>
        <v>#DIV/0!</v>
      </c>
      <c r="H60" s="664"/>
      <c r="I60" s="376"/>
      <c r="J60" s="136"/>
      <c r="K60" s="418" t="s">
        <v>92</v>
      </c>
      <c r="L60" s="483"/>
      <c r="M60" s="419" t="e">
        <f>M59/M58</f>
        <v>#DIV/0!</v>
      </c>
      <c r="N60" s="419"/>
      <c r="O60" s="420"/>
      <c r="S60" s="145"/>
      <c r="T60" s="665" t="s">
        <v>114</v>
      </c>
      <c r="U60" s="666"/>
      <c r="V60" s="667"/>
      <c r="X60" s="4"/>
      <c r="Y60" s="472" t="s">
        <v>115</v>
      </c>
      <c r="Z60" s="273" t="s">
        <v>169</v>
      </c>
      <c r="AA60" s="273">
        <v>900</v>
      </c>
      <c r="AB60" s="273" t="s">
        <v>117</v>
      </c>
      <c r="AC60" s="273">
        <v>7200</v>
      </c>
      <c r="AD60" s="273">
        <v>4200</v>
      </c>
      <c r="AE60" s="273">
        <v>8530</v>
      </c>
      <c r="AF60" s="157"/>
      <c r="AG60" s="6"/>
      <c r="AJ60" s="147"/>
      <c r="AK60" s="6"/>
      <c r="AL60" s="147"/>
      <c r="AM60" s="147"/>
      <c r="AN60" s="147"/>
    </row>
    <row r="61" spans="1:58" customHeight="1" ht="13.9">
      <c r="A61" s="370" t="s">
        <v>118</v>
      </c>
      <c r="B61" s="324">
        <f>AD40+AD48</f>
        <v>0</v>
      </c>
      <c r="G61" s="156" t="s">
        <v>119</v>
      </c>
      <c r="O61" s="4"/>
      <c r="P61" s="4"/>
      <c r="T61" s="354" t="s">
        <v>120</v>
      </c>
      <c r="U61" s="668"/>
      <c r="V61" s="669"/>
      <c r="X61" s="165" t="str">
        <f>C82</f>
        <v>Extrapan
 50</v>
      </c>
      <c r="Y61" s="531"/>
      <c r="Z61" s="531"/>
      <c r="AA61" s="531"/>
      <c r="AB61" s="531"/>
      <c r="AC61" s="531"/>
      <c r="AD61" s="531"/>
      <c r="AE61" s="531"/>
      <c r="AG61" s="147"/>
      <c r="AH61" s="147"/>
      <c r="AI61" s="6"/>
      <c r="AJ61" s="6"/>
      <c r="AK61" s="147"/>
      <c r="AL61" s="147"/>
      <c r="AM61" s="147"/>
    </row>
    <row r="62" spans="1:58" customHeight="1" ht="14.45">
      <c r="A62" s="259" t="s">
        <v>121</v>
      </c>
      <c r="B62" s="477">
        <f>B50/B67</f>
        <v>0</v>
      </c>
      <c r="E62" s="136"/>
      <c r="F62" s="655" t="s">
        <v>122</v>
      </c>
      <c r="G62" s="656"/>
      <c r="H62" s="657"/>
      <c r="K62" s="655" t="s">
        <v>123</v>
      </c>
      <c r="L62" s="656"/>
      <c r="M62" s="656"/>
      <c r="N62" s="656"/>
      <c r="O62" s="656"/>
      <c r="P62" s="519"/>
      <c r="Q62" s="133"/>
      <c r="R62" s="162"/>
      <c r="S62" s="162"/>
      <c r="T62" s="354" t="s">
        <v>124</v>
      </c>
      <c r="U62" s="658">
        <f>AZ4</f>
        <v>0</v>
      </c>
      <c r="V62" s="659"/>
      <c r="W62" s="162"/>
      <c r="X62" s="165" t="str">
        <f>C85</f>
        <v>Extrapan
25</v>
      </c>
      <c r="Y62" s="532"/>
      <c r="Z62" s="532"/>
      <c r="AA62" s="532"/>
      <c r="AB62" s="532"/>
      <c r="AC62" s="532"/>
      <c r="AD62" s="532"/>
      <c r="AE62" s="532"/>
      <c r="AG62" s="147"/>
      <c r="AH62" s="147"/>
      <c r="AI62" s="6"/>
      <c r="AJ62" s="6"/>
      <c r="AK62" s="147"/>
      <c r="AL62" s="147"/>
      <c r="AM62" s="147"/>
    </row>
    <row r="63" spans="1:58" customHeight="1" ht="14.45">
      <c r="A63" s="256" t="s">
        <v>125</v>
      </c>
      <c r="B63" s="502" t="e">
        <f>B75/B50</f>
        <v>#DIV/0!</v>
      </c>
      <c r="F63" s="632" t="s">
        <v>126</v>
      </c>
      <c r="G63" s="633"/>
      <c r="H63" s="268"/>
      <c r="I63" s="140"/>
      <c r="J63" s="136"/>
      <c r="K63" s="1" t="s">
        <v>127</v>
      </c>
      <c r="O63" s="520">
        <v>662</v>
      </c>
      <c r="R63" s="162"/>
      <c r="S63" s="162"/>
      <c r="T63" s="162"/>
      <c r="U63" s="162"/>
      <c r="V63" s="162"/>
      <c r="W63" s="162"/>
      <c r="X63" s="165" t="str">
        <f>C86</f>
        <v>Extrapan
10</v>
      </c>
      <c r="Y63" s="532"/>
      <c r="Z63" s="532"/>
      <c r="AA63" s="532"/>
      <c r="AB63" s="532"/>
      <c r="AC63" s="532"/>
      <c r="AD63" s="532"/>
      <c r="AE63" s="532"/>
      <c r="AG63" s="147"/>
      <c r="AH63" s="147"/>
      <c r="AI63" s="6"/>
      <c r="AJ63" s="6"/>
      <c r="AK63" s="147"/>
      <c r="AL63" s="147"/>
      <c r="AM63" s="147"/>
    </row>
    <row r="64" spans="1:58" customHeight="1" ht="14.45">
      <c r="A64" s="258" t="s">
        <v>128</v>
      </c>
      <c r="B64" s="503" t="e">
        <f>B76/B50</f>
        <v>#DIV/0!</v>
      </c>
      <c r="F64" s="140" t="s">
        <v>129</v>
      </c>
      <c r="H64" s="474">
        <f>(H63*1)*2</f>
        <v>0</v>
      </c>
      <c r="I64" s="140"/>
      <c r="K64" s="140" t="s">
        <v>129</v>
      </c>
      <c r="O64" s="474">
        <f>O63/30</f>
        <v>22.066666666666666</v>
      </c>
      <c r="T64" s="634" t="s">
        <v>130</v>
      </c>
      <c r="U64" s="635"/>
      <c r="V64" s="636"/>
      <c r="X64" s="165" t="str">
        <f>C87</f>
        <v>Artesanal 
50</v>
      </c>
      <c r="Y64" s="531"/>
      <c r="Z64" s="531"/>
      <c r="AA64" s="531"/>
      <c r="AB64" s="531"/>
      <c r="AC64" s="531"/>
      <c r="AD64" s="531"/>
      <c r="AE64" s="531"/>
      <c r="AG64" s="147"/>
      <c r="AH64" s="147"/>
      <c r="AI64" s="6"/>
      <c r="AJ64" s="6"/>
      <c r="AK64" s="147"/>
      <c r="AL64" s="147"/>
      <c r="AM64" s="147"/>
    </row>
    <row r="65" spans="1:58">
      <c r="F65" s="637" t="s">
        <v>131</v>
      </c>
      <c r="G65" s="638"/>
      <c r="H65" s="639"/>
      <c r="I65" s="140"/>
      <c r="J65" s="136"/>
      <c r="K65" s="1" t="s">
        <v>132</v>
      </c>
      <c r="P65" s="140"/>
      <c r="T65" s="417" t="s">
        <v>133</v>
      </c>
      <c r="U65" s="732"/>
      <c r="V65" s="733"/>
      <c r="X65" s="165" t="str">
        <f>C89</f>
        <v>Artesanal
25</v>
      </c>
      <c r="Y65" s="532"/>
      <c r="Z65" s="532"/>
      <c r="AA65" s="532"/>
      <c r="AB65" s="532"/>
      <c r="AC65" s="532"/>
      <c r="AD65" s="532"/>
      <c r="AE65" s="532"/>
      <c r="AG65" s="147"/>
      <c r="AH65" s="147"/>
      <c r="AI65" s="6"/>
      <c r="AJ65" s="6"/>
      <c r="AK65" s="147"/>
      <c r="AL65" s="147"/>
      <c r="AM65" s="147"/>
    </row>
    <row r="66" spans="1:58" customHeight="1" ht="14.45">
      <c r="A66" s="371" t="s">
        <v>134</v>
      </c>
      <c r="B66" s="373"/>
      <c r="F66" s="630" t="s">
        <v>91</v>
      </c>
      <c r="G66" s="642"/>
      <c r="H66" s="270"/>
      <c r="I66" s="140"/>
      <c r="K66" s="159" t="s">
        <v>94</v>
      </c>
      <c r="L66" s="158"/>
      <c r="M66" s="158"/>
      <c r="N66" s="158"/>
      <c r="O66" s="478"/>
      <c r="P66" s="524"/>
      <c r="T66" s="417" t="s">
        <v>135</v>
      </c>
      <c r="U66" s="651"/>
      <c r="V66" s="652"/>
      <c r="X66" s="165" t="str">
        <f>C92</f>
        <v>Natural 
50</v>
      </c>
      <c r="Y66" s="532"/>
      <c r="Z66" s="532"/>
      <c r="AA66" s="532"/>
      <c r="AB66" s="532"/>
      <c r="AC66" s="532"/>
      <c r="AD66" s="532"/>
      <c r="AE66" s="532"/>
      <c r="AG66" s="147"/>
      <c r="AH66" s="147"/>
      <c r="AI66" s="147"/>
      <c r="AJ66" s="147"/>
      <c r="AK66" s="6"/>
      <c r="AL66" s="6"/>
      <c r="AM66" s="147"/>
      <c r="AN66" s="147"/>
    </row>
    <row r="67" spans="1:58" customHeight="1" ht="14.45">
      <c r="A67" s="255" t="s">
        <v>136</v>
      </c>
      <c r="B67" s="264">
        <v>24</v>
      </c>
      <c r="F67" s="140" t="s">
        <v>137</v>
      </c>
      <c r="G67" s="475"/>
      <c r="H67" s="267">
        <f>H64*G67</f>
        <v>0</v>
      </c>
      <c r="K67" s="140" t="s">
        <v>137</v>
      </c>
      <c r="L67" s="475">
        <v>100</v>
      </c>
      <c r="M67" s="367">
        <f>(O64*L67)</f>
        <v>2206.66666666666652</v>
      </c>
      <c r="P67" s="524"/>
      <c r="Q67" s="521"/>
      <c r="T67" s="417" t="s">
        <v>94</v>
      </c>
      <c r="U67" s="730"/>
      <c r="V67" s="731"/>
      <c r="X67" s="165" t="str">
        <f>C99</f>
        <v>Harina Tortas y Ponques</v>
      </c>
      <c r="Y67" s="531"/>
      <c r="Z67" s="531"/>
      <c r="AA67" s="531"/>
      <c r="AB67" s="531"/>
      <c r="AC67" s="531"/>
      <c r="AD67" s="531"/>
      <c r="AE67" s="531"/>
      <c r="AG67" s="147"/>
      <c r="AH67" s="147"/>
      <c r="AI67" s="6"/>
      <c r="AJ67" s="6"/>
      <c r="AK67" s="147"/>
      <c r="AL67" s="147"/>
      <c r="AM67" s="147"/>
    </row>
    <row r="68" spans="1:58" customHeight="1" ht="14.45">
      <c r="A68" s="255" t="s">
        <v>138</v>
      </c>
      <c r="B68" s="265">
        <v>28760</v>
      </c>
      <c r="F68" s="148" t="s">
        <v>139</v>
      </c>
      <c r="G68" s="649">
        <f>(G67*436*1.7321*0.96)/1000</f>
        <v>0</v>
      </c>
      <c r="H68" s="650">
        <f>(H67*436*1.7321*0.96)/1000</f>
        <v>0</v>
      </c>
      <c r="K68" s="148" t="s">
        <v>139</v>
      </c>
      <c r="L68" s="271">
        <f>(L67*436*1.7321*0.96)/1000</f>
        <v>72.4987776</v>
      </c>
      <c r="M68" s="156"/>
      <c r="O68" s="525"/>
      <c r="P68" s="522"/>
      <c r="T68" s="354" t="s">
        <v>140</v>
      </c>
      <c r="U68" s="651"/>
      <c r="V68" s="652"/>
      <c r="X68" s="165" t="str">
        <f>C100</f>
        <v>Harina Galeras Ligera</v>
      </c>
      <c r="Y68" s="532"/>
      <c r="Z68" s="532"/>
      <c r="AA68" s="532"/>
      <c r="AB68" s="532"/>
      <c r="AC68" s="532"/>
      <c r="AD68" s="532"/>
      <c r="AE68" s="532"/>
      <c r="AG68" s="147"/>
      <c r="AH68" s="147"/>
      <c r="AI68" s="147"/>
      <c r="AJ68" s="147"/>
      <c r="AK68" s="6"/>
      <c r="AL68" s="6"/>
      <c r="AM68" s="147"/>
      <c r="AN68" s="147"/>
    </row>
    <row r="69" spans="1:58">
      <c r="A69" s="156" t="s">
        <v>142</v>
      </c>
      <c r="B69" s="424">
        <v>36087</v>
      </c>
      <c r="F69" s="140" t="s">
        <v>143</v>
      </c>
      <c r="G69" s="653">
        <f>G68*H63</f>
        <v>0</v>
      </c>
      <c r="H69" s="639"/>
      <c r="K69" s="140" t="s">
        <v>143</v>
      </c>
      <c r="M69" s="653">
        <f>L68*O64</f>
        <v>1599.80635903999996</v>
      </c>
      <c r="N69" s="653"/>
      <c r="O69" s="654"/>
      <c r="X69" s="165" t="str">
        <f>C103</f>
        <v>Harina de alta proteina x 1
G</v>
      </c>
      <c r="Y69" s="532"/>
      <c r="Z69" s="532"/>
      <c r="AA69" s="532"/>
      <c r="AB69" s="532"/>
      <c r="AC69" s="532"/>
      <c r="AD69" s="532"/>
      <c r="AE69" s="532"/>
      <c r="AG69" s="147"/>
      <c r="AH69" s="147"/>
      <c r="AI69" s="147"/>
      <c r="AJ69" s="147"/>
      <c r="AK69" s="6"/>
      <c r="AL69" s="6"/>
      <c r="AM69" s="147"/>
      <c r="AN69" s="147"/>
    </row>
    <row r="70" spans="1:58" customHeight="1" ht="14.45">
      <c r="A70" s="257" t="s">
        <v>144</v>
      </c>
      <c r="B70" s="266">
        <f>+B51/B68</f>
        <v>0</v>
      </c>
      <c r="F70" s="632" t="s">
        <v>86</v>
      </c>
      <c r="G70" s="633"/>
      <c r="H70" s="269">
        <f>G69*H50</f>
        <v>0</v>
      </c>
      <c r="K70" s="140" t="s">
        <v>86</v>
      </c>
      <c r="M70" s="352">
        <f>M69*H50</f>
        <v>0</v>
      </c>
      <c r="O70" s="136"/>
      <c r="P70" s="523"/>
      <c r="Q70" s="523"/>
      <c r="T70" s="374" t="s">
        <v>145</v>
      </c>
      <c r="U70" s="374"/>
      <c r="V70" s="374"/>
      <c r="X70" s="165" t="s">
        <v>67</v>
      </c>
      <c r="Y70" s="533"/>
      <c r="Z70" s="533"/>
      <c r="AA70" s="533"/>
      <c r="AB70" s="533"/>
      <c r="AC70" s="533"/>
      <c r="AD70" s="533"/>
      <c r="AE70" s="533"/>
      <c r="AG70" s="6"/>
      <c r="AI70" s="147"/>
      <c r="AJ70" s="147"/>
      <c r="AK70" s="147"/>
      <c r="AL70" s="147"/>
      <c r="AM70" s="147"/>
      <c r="AN70" s="6"/>
      <c r="AO70" s="147"/>
      <c r="AP70" s="147"/>
    </row>
    <row r="71" spans="1:58" customHeight="1" ht="22.5">
      <c r="A71" s="257" t="s">
        <v>146</v>
      </c>
      <c r="B71" s="266">
        <f>+B51/B69</f>
        <v>0</v>
      </c>
      <c r="F71" s="159"/>
      <c r="G71" s="158"/>
      <c r="H71" s="151"/>
      <c r="K71" s="159"/>
      <c r="L71" s="158"/>
      <c r="M71" s="158"/>
      <c r="N71" s="158"/>
      <c r="O71" s="151"/>
      <c r="T71" s="253" t="s">
        <v>147</v>
      </c>
      <c r="U71" s="254"/>
      <c r="V71" s="645">
        <f>AP36*(U71+U72)</f>
        <v>0</v>
      </c>
      <c r="X71" s="202" t="s">
        <v>141</v>
      </c>
      <c r="Y71" s="203"/>
      <c r="Z71" s="203"/>
      <c r="AA71" s="203"/>
      <c r="AB71" s="203"/>
      <c r="AC71" s="203"/>
      <c r="AE71" s="6"/>
      <c r="AG71" s="6"/>
      <c r="AI71" s="147"/>
      <c r="AJ71" s="147"/>
      <c r="AK71" s="147"/>
      <c r="AL71" s="147"/>
      <c r="AM71" s="147"/>
      <c r="AN71" s="6"/>
      <c r="AO71" s="147"/>
      <c r="AP71" s="147"/>
    </row>
    <row r="72" spans="1:58">
      <c r="T72" s="253" t="s">
        <v>151</v>
      </c>
      <c r="U72" s="254"/>
      <c r="V72" s="646"/>
      <c r="X72" s="202"/>
      <c r="Y72" s="245"/>
      <c r="Z72" s="245"/>
      <c r="AA72" s="245"/>
      <c r="AB72" s="245"/>
      <c r="AC72" s="245"/>
      <c r="AE72" s="6"/>
      <c r="AG72" s="6"/>
      <c r="AI72" s="147"/>
      <c r="AJ72" s="147"/>
      <c r="AK72" s="147"/>
      <c r="AL72" s="147"/>
      <c r="AM72" s="147"/>
      <c r="AN72" s="6"/>
      <c r="AO72" s="147"/>
      <c r="AP72" s="147"/>
    </row>
    <row r="73" spans="1:58">
      <c r="AE73" s="6"/>
      <c r="AG73" s="6"/>
      <c r="AI73" s="147"/>
      <c r="AJ73" s="147"/>
      <c r="AK73" s="147"/>
      <c r="AL73" s="147"/>
      <c r="AM73" s="147"/>
      <c r="AN73" s="6"/>
      <c r="AO73" s="147"/>
      <c r="AP73" s="147"/>
    </row>
    <row r="74" spans="1:58" customHeight="1" ht="14.45">
      <c r="A74" s="371" t="s">
        <v>154</v>
      </c>
      <c r="B74" s="372"/>
      <c r="C74" s="140"/>
      <c r="Y74" s="156" t="s">
        <v>148</v>
      </c>
      <c r="Z74" s="1" t="s">
        <v>149</v>
      </c>
      <c r="AA74" s="1" t="s">
        <v>150</v>
      </c>
      <c r="AE74" s="6"/>
      <c r="AG74" s="6"/>
      <c r="AI74" s="147"/>
      <c r="AJ74" s="147"/>
      <c r="AK74" s="147"/>
      <c r="AL74" s="147"/>
      <c r="AM74" s="147"/>
      <c r="AN74" s="6"/>
      <c r="AO74" s="147"/>
      <c r="AP74" s="147"/>
    </row>
    <row r="75" spans="1:58" customHeight="1" ht="14.45">
      <c r="A75" s="260" t="s">
        <v>155</v>
      </c>
      <c r="B75" s="262">
        <v>64062235</v>
      </c>
      <c r="Y75" s="209" t="s">
        <v>152</v>
      </c>
      <c r="Z75" s="7">
        <v>12.5</v>
      </c>
      <c r="AA75" s="7">
        <v>13.5</v>
      </c>
      <c r="AB75" s="7"/>
      <c r="AC75" s="1" t="s">
        <v>152</v>
      </c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8" customHeight="1" ht="14.45">
      <c r="A76" s="261" t="s">
        <v>156</v>
      </c>
      <c r="B76" s="263">
        <v>7837432</v>
      </c>
      <c r="Y76" s="209" t="s">
        <v>67</v>
      </c>
      <c r="Z76" s="212">
        <f>SUM(A82+A85+A86+A87+A89+A92+A94+A98+A100+A102+A103+A108+A105+A110+A113+A115+A109+A83+A84+A90+A88+A91+A96+A97+A104+A106+A111)*Z75</f>
        <v>0</v>
      </c>
      <c r="AA76" s="212">
        <f>(A95+A99)*AA75</f>
        <v>0</v>
      </c>
      <c r="AB76" s="240"/>
      <c r="AC76" s="156" t="s">
        <v>153</v>
      </c>
      <c r="AE76" s="206"/>
      <c r="AK76" s="147"/>
      <c r="AL76" s="147"/>
      <c r="AM76" s="147"/>
      <c r="AN76" s="6"/>
      <c r="AO76" s="147"/>
      <c r="AP76" s="147"/>
    </row>
    <row r="77" spans="1:58">
      <c r="Y77" s="202" t="s">
        <v>141</v>
      </c>
      <c r="Z77" s="142"/>
      <c r="AA77" s="142"/>
      <c r="AB77" s="142"/>
      <c r="AC77" s="156" t="s">
        <v>153</v>
      </c>
      <c r="AE77" s="206"/>
      <c r="AK77" s="147"/>
      <c r="AL77" s="147"/>
      <c r="AM77" s="147"/>
      <c r="AN77" s="6"/>
      <c r="AO77" s="147"/>
      <c r="AP77" s="147"/>
      <c r="AQ77" s="147"/>
      <c r="AR77" s="147"/>
    </row>
    <row r="78" spans="1:58">
      <c r="X78" s="169"/>
      <c r="AK78" s="147"/>
      <c r="AL78" s="147"/>
      <c r="AM78" s="147"/>
      <c r="AN78" s="6"/>
      <c r="AO78" s="147"/>
      <c r="AP78" s="147"/>
      <c r="AQ78" s="147"/>
      <c r="AR78" s="147"/>
    </row>
    <row r="79" spans="1:58">
      <c r="N79" s="4"/>
      <c r="X79" s="169"/>
      <c r="AE79" s="6"/>
      <c r="AK79" s="147"/>
      <c r="AL79" s="147"/>
      <c r="AM79" s="147"/>
      <c r="AN79" s="6"/>
      <c r="AO79" s="147"/>
      <c r="AP79" s="147"/>
      <c r="AQ79" s="147"/>
      <c r="AR79" s="147"/>
    </row>
    <row r="80" spans="1:58" customHeight="1" ht="16.35">
      <c r="A80" s="170"/>
      <c r="C80" s="171"/>
      <c r="D80" s="423" t="s">
        <v>157</v>
      </c>
      <c r="E80" s="423" t="s">
        <v>158</v>
      </c>
      <c r="F80" s="423" t="s">
        <v>94</v>
      </c>
      <c r="G80" s="423" t="s">
        <v>91</v>
      </c>
      <c r="AE80" s="6"/>
      <c r="AK80" s="147"/>
      <c r="AL80" s="147"/>
      <c r="AM80" s="147"/>
    </row>
    <row r="81" spans="1:58" customHeight="1" ht="16.35">
      <c r="A81" s="356" t="s">
        <v>45</v>
      </c>
      <c r="B81" s="472" t="s">
        <v>159</v>
      </c>
      <c r="C81" s="176" t="s">
        <v>160</v>
      </c>
      <c r="D81" s="178" t="s">
        <v>161</v>
      </c>
      <c r="E81" s="178" t="s">
        <v>161</v>
      </c>
      <c r="F81" s="178" t="s">
        <v>161</v>
      </c>
      <c r="G81" s="178" t="s">
        <v>161</v>
      </c>
      <c r="AE81" s="6"/>
      <c r="AK81" s="147"/>
      <c r="AL81" s="147"/>
      <c r="AM81" s="147"/>
    </row>
    <row r="82" spans="1:58" customHeight="1" ht="16.35">
      <c r="A82" s="139">
        <f>C36</f>
        <v>0</v>
      </c>
      <c r="B82" s="139">
        <f>IF(A82=0,0,((A82*50)/$B$53))</f>
        <v>0</v>
      </c>
      <c r="C82" s="180" t="s">
        <v>16</v>
      </c>
      <c r="D82" s="569">
        <v>0.8</v>
      </c>
      <c r="E82" s="570">
        <v>0.2</v>
      </c>
      <c r="F82" s="571"/>
      <c r="G82" s="572"/>
      <c r="Z82" s="213"/>
      <c r="AA82" s="213"/>
      <c r="AB82" s="213"/>
      <c r="AC82" s="213"/>
      <c r="AD82" s="213"/>
      <c r="AE82" s="6"/>
      <c r="AK82" s="147"/>
      <c r="AL82" s="147"/>
      <c r="AM82" s="147"/>
    </row>
    <row r="83" spans="1:58" customHeight="1" ht="16.35">
      <c r="A83" s="139">
        <f>C38</f>
        <v>0</v>
      </c>
      <c r="B83" s="139">
        <f>IF(A83=0,0,((A83*50)/$B$53))</f>
        <v>0</v>
      </c>
      <c r="C83" s="180" t="s">
        <v>16</v>
      </c>
      <c r="D83" s="573"/>
      <c r="E83" s="186"/>
      <c r="F83" s="462"/>
      <c r="G83" s="574"/>
      <c r="Z83" s="213"/>
      <c r="AA83" s="213"/>
      <c r="AB83" s="213"/>
      <c r="AC83" s="213"/>
      <c r="AD83" s="213"/>
      <c r="AE83" s="6"/>
      <c r="AK83" s="147"/>
      <c r="AL83" s="147"/>
      <c r="AM83" s="147"/>
    </row>
    <row r="84" spans="1:58" customHeight="1" ht="16.35">
      <c r="A84" s="139">
        <f>C39</f>
        <v>0</v>
      </c>
      <c r="B84" s="139">
        <f>IF(A84=0,0,((A84*50)/$B$53))</f>
        <v>0</v>
      </c>
      <c r="C84" s="180" t="s">
        <v>16</v>
      </c>
      <c r="D84" s="575">
        <v>0.8</v>
      </c>
      <c r="E84" s="382">
        <v>0.2</v>
      </c>
      <c r="F84" s="382"/>
      <c r="G84" s="574"/>
      <c r="Z84" s="213"/>
      <c r="AA84" s="213"/>
      <c r="AB84" s="213"/>
      <c r="AC84" s="213"/>
      <c r="AD84" s="213"/>
      <c r="AE84" s="6"/>
      <c r="AK84" s="147"/>
      <c r="AL84" s="147"/>
      <c r="AM84" s="147"/>
    </row>
    <row r="85" spans="1:58" customHeight="1" ht="16.35">
      <c r="A85" s="139">
        <f>D36/2</f>
        <v>0</v>
      </c>
      <c r="B85" s="139">
        <f>IF(A85=0,0,((A85*50)/$B$53))</f>
        <v>0</v>
      </c>
      <c r="C85" s="180" t="str">
        <f>D3</f>
        <v>Extrapan
25</v>
      </c>
      <c r="D85" s="573">
        <v>0.8</v>
      </c>
      <c r="E85" s="186">
        <v>0.2</v>
      </c>
      <c r="F85" s="186"/>
      <c r="G85" s="576"/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8" customHeight="1" ht="16.35">
      <c r="A86" s="139">
        <f>E36/5</f>
        <v>0</v>
      </c>
      <c r="B86" s="139">
        <f>IF(A86=0,0,((A86*50)/$B$53))</f>
        <v>0</v>
      </c>
      <c r="C86" s="189" t="str">
        <f>E3</f>
        <v>Extrapan
10</v>
      </c>
      <c r="D86" s="573">
        <v>0.8</v>
      </c>
      <c r="E86" s="186">
        <v>0.2</v>
      </c>
      <c r="F86" s="186"/>
      <c r="G86" s="576"/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8" customHeight="1" ht="16.35">
      <c r="A87" s="139">
        <f>F36</f>
        <v>0</v>
      </c>
      <c r="B87" s="139">
        <f>IF(A87=0,0,((A87*50)/$B$53))</f>
        <v>0</v>
      </c>
      <c r="C87" s="189" t="str">
        <f>F3</f>
        <v>Artesanal 
50</v>
      </c>
      <c r="D87" s="573">
        <v>0.6</v>
      </c>
      <c r="E87" s="186">
        <v>0.15</v>
      </c>
      <c r="F87" s="186">
        <v>0.25</v>
      </c>
      <c r="G87" s="576"/>
      <c r="J87" s="137"/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8" customHeight="1" ht="16.35">
      <c r="A88" s="139">
        <f>F38</f>
        <v>0</v>
      </c>
      <c r="B88" s="139">
        <f>IF(A88=0,0,((A88*50)/$B$53))</f>
        <v>0</v>
      </c>
      <c r="C88" s="568" t="str">
        <f>C87</f>
        <v>Artesanal 
50</v>
      </c>
      <c r="D88" s="573"/>
      <c r="E88" s="186"/>
      <c r="F88" s="186"/>
      <c r="G88" s="576"/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8" customHeight="1" ht="16.35">
      <c r="A89" s="139">
        <f>G36/2</f>
        <v>0</v>
      </c>
      <c r="B89" s="139">
        <f>IF(A89=0,0,((A89*50)/$B$53))</f>
        <v>0</v>
      </c>
      <c r="C89" s="190" t="str">
        <f>G3</f>
        <v>Artesanal
25</v>
      </c>
      <c r="D89" s="573">
        <v>0.6</v>
      </c>
      <c r="E89" s="186">
        <v>0.15</v>
      </c>
      <c r="F89" s="186">
        <v>0.25</v>
      </c>
      <c r="G89" s="576"/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8" customHeight="1" ht="16.35">
      <c r="A90" s="139">
        <f>G38/2</f>
        <v>0</v>
      </c>
      <c r="B90" s="139">
        <f>IF(A90=0,0,((A90*50)/$B$53))</f>
        <v>0</v>
      </c>
      <c r="C90" s="190" t="str">
        <f>C89</f>
        <v>Artesanal
25</v>
      </c>
      <c r="D90" s="573"/>
      <c r="E90" s="186"/>
      <c r="F90" s="186"/>
      <c r="G90" s="576"/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8" customHeight="1" ht="16.35">
      <c r="A91" s="139">
        <f>H36</f>
        <v>0</v>
      </c>
      <c r="B91" s="139">
        <f>IF(A91=0,0,((A91*50)/$B$53))</f>
        <v>0</v>
      </c>
      <c r="C91" s="180" t="str">
        <f>H3</f>
        <v>Natural 
50</v>
      </c>
      <c r="D91" s="573">
        <v>0.7</v>
      </c>
      <c r="E91" s="186">
        <v>0.07</v>
      </c>
      <c r="F91" s="186">
        <v>0.23</v>
      </c>
      <c r="G91" s="576"/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8" customHeight="1" ht="16.35">
      <c r="A92" s="139">
        <f>H38</f>
        <v>0</v>
      </c>
      <c r="B92" s="139">
        <f>IF(A92=0,0,((A92*50)/$B$53))</f>
        <v>0</v>
      </c>
      <c r="C92" s="180" t="str">
        <f>H3</f>
        <v>Natural 
50</v>
      </c>
      <c r="D92" s="577"/>
      <c r="E92" s="578"/>
      <c r="F92" s="578"/>
      <c r="G92" s="579"/>
      <c r="V92" s="124"/>
      <c r="W92" s="124"/>
      <c r="Z92" s="6"/>
      <c r="AA92" s="6"/>
      <c r="AB92" s="6"/>
      <c r="AC92" s="6"/>
      <c r="AD92" s="6"/>
      <c r="AE92" s="6"/>
      <c r="AH92" s="147"/>
      <c r="AI92" s="147"/>
      <c r="AJ92" s="147"/>
    </row>
    <row r="93" spans="1:58" customHeight="1" ht="16.35">
      <c r="A93" s="139"/>
      <c r="B93" s="139">
        <f>IF(A93=0,0,((A93*50)/$B$53))</f>
        <v>0</v>
      </c>
      <c r="C93" s="548"/>
      <c r="D93" s="200"/>
      <c r="E93" s="200"/>
      <c r="F93" s="201"/>
      <c r="G93" s="201"/>
      <c r="V93" s="245"/>
      <c r="W93" s="245"/>
      <c r="Y93" s="213"/>
      <c r="Z93" s="6"/>
      <c r="AA93" s="6"/>
      <c r="AB93" s="6"/>
      <c r="AC93" s="6"/>
      <c r="AD93" s="6"/>
      <c r="AE93" s="6"/>
      <c r="AH93" s="147"/>
      <c r="AI93" s="147"/>
      <c r="AJ93" s="147"/>
    </row>
    <row r="94" spans="1:58" customHeight="1" ht="15.6">
      <c r="A94" s="139">
        <f>I36/2</f>
        <v>0</v>
      </c>
      <c r="B94" s="139">
        <f>IF(A94=0,0,((A94*50)/$B$53))</f>
        <v>0</v>
      </c>
      <c r="C94" s="379" t="str">
        <f>I3</f>
        <v>Fuerte
25</v>
      </c>
      <c r="D94" s="463">
        <v>0.57</v>
      </c>
      <c r="E94" s="182">
        <v>0.13</v>
      </c>
      <c r="F94" s="182">
        <v>0.3</v>
      </c>
      <c r="G94" s="506"/>
      <c r="Y94" s="213"/>
      <c r="Z94" s="6"/>
      <c r="AA94" s="6"/>
      <c r="AB94" s="6"/>
      <c r="AC94" s="6"/>
      <c r="AD94" s="6"/>
      <c r="AE94" s="6"/>
      <c r="AH94" s="147"/>
      <c r="AI94" s="147"/>
      <c r="AJ94" s="147"/>
    </row>
    <row r="95" spans="1:58" customHeight="1" ht="16.35">
      <c r="A95" s="139">
        <f>J36/2</f>
        <v>0</v>
      </c>
      <c r="B95" s="139">
        <f>IF(A95=0,0,((A95*50)/$B$53))</f>
        <v>0</v>
      </c>
      <c r="C95" s="448" t="str">
        <f>J3</f>
        <v>Fuerte exp
25</v>
      </c>
      <c r="D95" s="462">
        <v>0.57</v>
      </c>
      <c r="E95" s="186">
        <v>0.13</v>
      </c>
      <c r="F95" s="382">
        <v>0.3</v>
      </c>
      <c r="G95" s="504"/>
      <c r="Y95" s="213"/>
      <c r="Z95" s="6"/>
      <c r="AA95" s="6"/>
      <c r="AB95" s="6"/>
      <c r="AC95" s="6"/>
      <c r="AD95" s="6"/>
      <c r="AE95" s="6"/>
      <c r="AH95" s="147"/>
      <c r="AI95" s="147"/>
      <c r="AJ95" s="147"/>
    </row>
    <row r="96" spans="1:58" customHeight="1" ht="16.35">
      <c r="A96" s="139">
        <f>I38/2</f>
        <v>0</v>
      </c>
      <c r="B96" s="139">
        <f>IF(A96=0,0,((A96*50)/$B$53))</f>
        <v>0</v>
      </c>
      <c r="C96" s="379" t="str">
        <f>I3</f>
        <v>Fuerte
25</v>
      </c>
      <c r="D96" s="462"/>
      <c r="E96" s="186"/>
      <c r="F96" s="382"/>
      <c r="G96" s="504"/>
      <c r="Y96" s="213"/>
      <c r="Z96" s="6"/>
      <c r="AA96" s="6"/>
      <c r="AB96" s="6"/>
      <c r="AC96" s="6"/>
      <c r="AD96" s="6"/>
      <c r="AE96" s="6"/>
      <c r="AH96" s="147"/>
      <c r="AI96" s="147"/>
      <c r="AJ96" s="147"/>
    </row>
    <row r="97" spans="1:58" customHeight="1" ht="16.35">
      <c r="A97" s="139">
        <f>I39/2</f>
        <v>0</v>
      </c>
      <c r="B97" s="139">
        <f>IF(A97=0,0,((A97*50)/$B$53))</f>
        <v>0</v>
      </c>
      <c r="C97" s="379" t="str">
        <f>C96</f>
        <v>Fuerte
25</v>
      </c>
      <c r="D97" s="462"/>
      <c r="E97" s="186"/>
      <c r="F97" s="382"/>
      <c r="G97" s="504"/>
      <c r="Y97" s="213"/>
      <c r="Z97" s="6"/>
      <c r="AA97" s="6"/>
      <c r="AB97" s="6"/>
      <c r="AC97" s="6"/>
      <c r="AD97" s="6"/>
      <c r="AE97" s="6"/>
      <c r="AH97" s="147"/>
      <c r="AI97" s="147"/>
      <c r="AJ97" s="147"/>
    </row>
    <row r="98" spans="1:58" customHeight="1" ht="16.35">
      <c r="A98" s="139">
        <f>K36</f>
        <v>0</v>
      </c>
      <c r="B98" s="139">
        <f>IF(A98=0,0,((A98*50)/$B$53))</f>
        <v>0</v>
      </c>
      <c r="C98" s="379" t="str">
        <f>K3</f>
        <v>Exclusiva
50</v>
      </c>
      <c r="D98" s="462">
        <v>0.62</v>
      </c>
      <c r="E98" s="186">
        <v>0.13</v>
      </c>
      <c r="F98" s="382">
        <v>0.25</v>
      </c>
      <c r="G98" s="504"/>
      <c r="Y98" s="213"/>
      <c r="Z98" s="6"/>
      <c r="AA98" s="6"/>
      <c r="AB98" s="6"/>
      <c r="AC98" s="6"/>
      <c r="AD98" s="6"/>
      <c r="AE98" s="6"/>
      <c r="AH98" s="147"/>
      <c r="AI98" s="147"/>
      <c r="AJ98" s="147"/>
    </row>
    <row r="99" spans="1:58" customHeight="1" ht="26.85">
      <c r="A99" s="139">
        <f>N36</f>
        <v>0</v>
      </c>
      <c r="B99" s="139">
        <f>IF(A99=0,0,((A99*50)/$B$53))</f>
        <v>0</v>
      </c>
      <c r="C99" s="449" t="str">
        <f>N3</f>
        <v>Harina Tortas y Ponques</v>
      </c>
      <c r="D99" s="462"/>
      <c r="E99" s="186"/>
      <c r="F99" s="186"/>
      <c r="G99" s="504"/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8" customHeight="1" ht="29.25">
      <c r="A100" s="139">
        <f>O36</f>
        <v>0</v>
      </c>
      <c r="B100" s="139">
        <f>IF(A100=0,0,((A100*50)/$B$53))</f>
        <v>0</v>
      </c>
      <c r="C100" s="449" t="str">
        <f>O3</f>
        <v>Harina Galeras Ligera</v>
      </c>
      <c r="D100" s="462"/>
      <c r="E100" s="186"/>
      <c r="F100" s="508"/>
      <c r="G100" s="188"/>
      <c r="H100" s="214"/>
      <c r="I100" s="214"/>
      <c r="J100" s="214"/>
      <c r="K100" s="156"/>
      <c r="L100" s="156"/>
      <c r="M100" s="156"/>
      <c r="N100" s="156"/>
      <c r="O100" s="202"/>
      <c r="P100" s="202"/>
      <c r="Q100" s="214"/>
      <c r="R100" s="214"/>
      <c r="S100" s="214"/>
      <c r="T100" s="156"/>
      <c r="U100" s="156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8" customHeight="1" ht="29.25">
      <c r="A101" s="139">
        <f>O38</f>
        <v>0</v>
      </c>
      <c r="B101" s="139">
        <f>IF(A101=0,0,((A101*50)/$B$53))</f>
        <v>0</v>
      </c>
      <c r="C101" s="449" t="str">
        <f>C100</f>
        <v>Harina Galeras Ligera</v>
      </c>
      <c r="D101" s="462"/>
      <c r="E101" s="186"/>
      <c r="F101" s="186"/>
      <c r="G101" s="504"/>
      <c r="H101" s="214"/>
      <c r="I101" s="214"/>
      <c r="J101" s="214"/>
      <c r="K101" s="156"/>
      <c r="L101" s="156"/>
      <c r="M101" s="156"/>
      <c r="N101" s="156"/>
      <c r="O101" s="202"/>
      <c r="P101" s="202"/>
      <c r="Q101" s="214"/>
      <c r="R101" s="214"/>
      <c r="S101" s="214"/>
      <c r="T101" s="156"/>
      <c r="U101" s="156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8" customHeight="1" ht="17.1">
      <c r="A102" s="139">
        <f>Q36</f>
        <v>0</v>
      </c>
      <c r="B102" s="139">
        <f>IF(A102=0,0,((A102*50)/$B$53))</f>
        <v>0</v>
      </c>
      <c r="C102" s="379" t="str">
        <f>Q3</f>
        <v>ESPECIAL
50</v>
      </c>
      <c r="D102" s="462"/>
      <c r="E102" s="186"/>
      <c r="F102" s="186"/>
      <c r="G102" s="505"/>
      <c r="X102" s="213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8" customHeight="1" ht="31.5">
      <c r="A103" s="139">
        <f>R36/50</f>
        <v>0</v>
      </c>
      <c r="B103" s="139">
        <f>IF(A103=0,0,((A103*50)/$B$53))</f>
        <v>0</v>
      </c>
      <c r="C103" s="449" t="str">
        <f>R3</f>
        <v>Harina de alta proteina x 1
G</v>
      </c>
      <c r="D103" s="462">
        <v>1</v>
      </c>
      <c r="E103" s="186"/>
      <c r="F103" s="186"/>
      <c r="G103" s="505"/>
      <c r="X103" s="213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8" customHeight="1" ht="16.35">
      <c r="A104" s="139">
        <f>R38/50</f>
        <v>0</v>
      </c>
      <c r="B104" s="139">
        <f>IF(A104=0,0,((A104*50)/$B$53))</f>
        <v>0</v>
      </c>
      <c r="C104" s="379" t="s">
        <v>170</v>
      </c>
      <c r="D104" s="381"/>
      <c r="E104" s="230"/>
      <c r="F104" s="230"/>
      <c r="G104" s="505"/>
      <c r="X104" s="213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8" customHeight="1" ht="27.6">
      <c r="A105" s="139">
        <f>S36/50</f>
        <v>0</v>
      </c>
      <c r="B105" s="139">
        <f>IF(A105=0,0,((A105*50)/$B$53))</f>
        <v>0</v>
      </c>
      <c r="C105" s="449" t="str">
        <f>S3</f>
        <v>Harina de baja proteina x 1</v>
      </c>
      <c r="D105" s="381"/>
      <c r="E105" s="230"/>
      <c r="F105" s="230">
        <v>1</v>
      </c>
      <c r="G105" s="505"/>
      <c r="X105" s="213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8" customHeight="1" ht="16.35">
      <c r="A106" s="139">
        <f>S38/50</f>
        <v>0</v>
      </c>
      <c r="B106" s="139">
        <f>IF(A106=0,0,((A106*50)/$B$53))</f>
        <v>0</v>
      </c>
      <c r="C106" s="449" t="s">
        <v>171</v>
      </c>
      <c r="D106" s="381"/>
      <c r="E106" s="230"/>
      <c r="F106" s="230"/>
      <c r="G106" s="507"/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8" customHeight="1" ht="16.35">
      <c r="A107" s="139">
        <f>S39/50</f>
        <v>0</v>
      </c>
      <c r="B107" s="139">
        <f>IF(A107=0,0,((A107*50)/$B$53))</f>
        <v>0</v>
      </c>
      <c r="C107" s="449" t="s">
        <v>171</v>
      </c>
      <c r="D107" s="381"/>
      <c r="E107" s="230"/>
      <c r="F107" s="230"/>
      <c r="G107" s="507"/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8" customHeight="1" ht="24">
      <c r="A108" s="139">
        <f>T36/50</f>
        <v>0</v>
      </c>
      <c r="B108" s="139">
        <f>IF(A108=0,0,((A108*50)/$B$53))</f>
        <v>0</v>
      </c>
      <c r="C108" s="449" t="str">
        <f>T3</f>
        <v>ARTESANAL X 1
G</v>
      </c>
      <c r="D108" s="462">
        <v>0.61</v>
      </c>
      <c r="E108" s="186"/>
      <c r="F108" s="186">
        <v>0.39</v>
      </c>
      <c r="G108" s="505"/>
      <c r="X108" s="213"/>
      <c r="Y108" s="213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8" customHeight="1" ht="22.5">
      <c r="A109" s="139">
        <f>T38/50</f>
        <v>0</v>
      </c>
      <c r="B109" s="139">
        <f>IF(A109=0,0,((A109*50)/$B$53))</f>
        <v>0</v>
      </c>
      <c r="C109" s="449" t="str">
        <f>T3</f>
        <v>ARTESANAL X 1
G</v>
      </c>
      <c r="D109" s="462"/>
      <c r="E109" s="186"/>
      <c r="F109" s="186"/>
      <c r="G109" s="505"/>
      <c r="X109" s="213"/>
      <c r="Y109" s="213"/>
      <c r="Z109" s="6"/>
      <c r="AA109" s="6"/>
      <c r="AB109" s="6"/>
      <c r="AC109" s="6"/>
      <c r="AD109" s="6"/>
      <c r="AE109" s="6"/>
      <c r="AH109" s="147"/>
      <c r="AI109" s="147"/>
      <c r="AJ109" s="147"/>
    </row>
    <row r="110" spans="1:58" customHeight="1" ht="16.35">
      <c r="A110" s="139">
        <f>P36/2</f>
        <v>0</v>
      </c>
      <c r="B110" s="139">
        <f>IF(A110=0,0,((A110*50)/$B$53))</f>
        <v>0</v>
      </c>
      <c r="C110" s="379" t="str">
        <f>P3</f>
        <v>H. Manitova </v>
      </c>
      <c r="D110" s="470"/>
      <c r="E110" s="186"/>
      <c r="F110" s="186"/>
      <c r="G110" s="507"/>
      <c r="X110" s="213"/>
      <c r="Y110" s="213"/>
      <c r="Z110" s="6"/>
      <c r="AA110" s="6"/>
      <c r="AB110" s="6"/>
      <c r="AC110" s="6"/>
      <c r="AD110" s="6"/>
      <c r="AE110" s="6"/>
      <c r="AH110" s="147"/>
      <c r="AI110" s="147"/>
      <c r="AJ110" s="147"/>
    </row>
    <row r="111" spans="1:58" customHeight="1" ht="16.35">
      <c r="A111" s="139">
        <f>U36/2</f>
        <v>0</v>
      </c>
      <c r="B111" s="139">
        <f>IF(A111=0,0,((A111*50)/$B$53))</f>
        <v>0</v>
      </c>
      <c r="C111" s="379" t="str">
        <f>U3</f>
        <v>H. espcial x 25
</v>
      </c>
      <c r="D111" s="378"/>
      <c r="E111" s="251">
        <v>0.14</v>
      </c>
      <c r="F111" s="509">
        <v>0.86</v>
      </c>
      <c r="G111" s="510"/>
      <c r="X111" s="213"/>
      <c r="Y111" s="213"/>
      <c r="Z111" s="6"/>
      <c r="AA111" s="6"/>
      <c r="AB111" s="6"/>
      <c r="AC111" s="6"/>
      <c r="AD111" s="6"/>
      <c r="AE111" s="6"/>
      <c r="AH111" s="147"/>
      <c r="AI111" s="147"/>
      <c r="AJ111" s="147"/>
    </row>
    <row r="112" spans="1:58" customHeight="1" ht="16.35">
      <c r="A112" s="139"/>
      <c r="B112" s="139"/>
      <c r="C112" s="216"/>
      <c r="D112" s="4"/>
      <c r="E112" s="4"/>
      <c r="F112" s="4"/>
      <c r="G112" s="464"/>
      <c r="X112" s="213"/>
      <c r="Y112" s="213"/>
      <c r="Z112" s="6"/>
      <c r="AA112" s="6"/>
      <c r="AB112" s="6"/>
      <c r="AC112" s="6"/>
      <c r="AD112" s="6"/>
      <c r="AE112" s="6"/>
      <c r="AH112" s="147"/>
      <c r="AI112" s="147"/>
      <c r="AJ112" s="147"/>
    </row>
    <row r="113" spans="1:58" customHeight="1" ht="16.35">
      <c r="A113" s="139">
        <f>Z42/2</f>
        <v>0</v>
      </c>
      <c r="B113" s="139">
        <f>IF(A113=0,0,((A113*51.6)))</f>
        <v>0</v>
      </c>
      <c r="C113" s="217" t="str">
        <f>A42</f>
        <v>Grano entero</v>
      </c>
      <c r="D113" s="182"/>
      <c r="E113" s="182"/>
      <c r="F113" s="512"/>
      <c r="G113" s="511"/>
      <c r="X113" s="213"/>
      <c r="Y113" s="213"/>
      <c r="Z113" s="6"/>
      <c r="AA113" s="6"/>
      <c r="AB113" s="6"/>
      <c r="AC113" s="6"/>
      <c r="AD113" s="6"/>
      <c r="AE113" s="6"/>
      <c r="AH113" s="147"/>
      <c r="AI113" s="147"/>
      <c r="AJ113" s="147"/>
    </row>
    <row r="114" spans="1:58" customHeight="1" ht="16.35">
      <c r="A114" s="139">
        <f>Z43/2</f>
        <v>0</v>
      </c>
      <c r="B114" s="139">
        <f>IF(A114=0,0,((A114*50)))</f>
        <v>0</v>
      </c>
      <c r="C114" s="379" t="str">
        <f>A43</f>
        <v>Bio Convercion </v>
      </c>
      <c r="D114" s="462"/>
      <c r="E114" s="366"/>
      <c r="F114" s="186"/>
      <c r="G114" s="505"/>
      <c r="X114" s="213"/>
      <c r="Y114" s="213"/>
      <c r="Z114" s="6"/>
      <c r="AA114" s="6"/>
      <c r="AB114" s="6"/>
      <c r="AC114" s="6"/>
      <c r="AD114" s="6"/>
      <c r="AE114" s="6"/>
      <c r="AH114" s="147"/>
      <c r="AI114" s="147"/>
      <c r="AJ114" s="147"/>
    </row>
    <row r="115" spans="1:58" customHeight="1" ht="16.35">
      <c r="A115" s="139">
        <f>Z45/2</f>
        <v>0</v>
      </c>
      <c r="B115" s="139">
        <f>IF(A115=0,0,((A115*50.55)))</f>
        <v>0</v>
      </c>
      <c r="C115" s="380" t="str">
        <f>A45</f>
        <v>Trigo entero </v>
      </c>
      <c r="D115" s="470"/>
      <c r="E115" s="230"/>
      <c r="F115" s="366"/>
      <c r="G115" s="513"/>
      <c r="X115" s="213"/>
      <c r="Y115" s="213"/>
      <c r="Z115" s="6"/>
      <c r="AA115" s="6"/>
      <c r="AB115" s="6"/>
      <c r="AC115" s="6"/>
      <c r="AD115" s="6"/>
      <c r="AE115" s="6"/>
      <c r="AH115" s="147"/>
      <c r="AI115" s="147"/>
      <c r="AJ115" s="147"/>
    </row>
    <row r="116" spans="1:58" customHeight="1" ht="16.35">
      <c r="A116" s="139">
        <f>AA45/2</f>
        <v>0</v>
      </c>
      <c r="B116" s="139">
        <f>IF(A116=0,0,((A116*52)))</f>
        <v>0</v>
      </c>
      <c r="C116" s="380" t="str">
        <f>C115</f>
        <v>Trigo entero </v>
      </c>
      <c r="D116" s="378"/>
      <c r="E116" s="192"/>
      <c r="F116" s="192"/>
      <c r="G116" s="514"/>
      <c r="X116" s="213"/>
      <c r="Y116" s="213"/>
      <c r="Z116" s="6"/>
      <c r="AA116" s="6"/>
      <c r="AB116" s="6"/>
      <c r="AC116" s="6"/>
      <c r="AD116" s="6"/>
      <c r="AE116" s="6"/>
      <c r="AH116" s="147"/>
      <c r="AI116" s="147"/>
      <c r="AJ116" s="147"/>
    </row>
    <row r="117" spans="1:58" customHeight="1" ht="13.5">
      <c r="B117" s="139">
        <f>SUM(B82:B116)</f>
        <v>0</v>
      </c>
      <c r="X117" s="213"/>
      <c r="Y117" s="386"/>
      <c r="Z117" s="6"/>
      <c r="AA117" s="6"/>
      <c r="AB117" s="6"/>
      <c r="AC117" s="6"/>
      <c r="AD117" s="6"/>
      <c r="AE117" s="6"/>
      <c r="AH117" s="147"/>
      <c r="AI117" s="147"/>
      <c r="AJ117" s="147"/>
      <c r="AO117" s="147"/>
      <c r="AP117" s="147"/>
    </row>
    <row r="118" spans="1:58" customHeight="1" ht="12.75">
      <c r="X118" s="213"/>
      <c r="Y118" s="4"/>
      <c r="Z118" s="4"/>
      <c r="AB118" s="384"/>
      <c r="AC118" s="385"/>
      <c r="AD118" s="4"/>
      <c r="AE118" s="213"/>
      <c r="AF118" s="213"/>
      <c r="AG118" s="6"/>
      <c r="AH118" s="6"/>
      <c r="AI118" s="6"/>
      <c r="AJ118" s="6"/>
      <c r="AK118" s="6"/>
      <c r="AL118" s="6"/>
      <c r="AM118" s="6"/>
      <c r="AP118" s="147"/>
      <c r="AQ118" s="147"/>
      <c r="AV118" s="147"/>
      <c r="AW118" s="147"/>
    </row>
    <row r="119" spans="1:58">
      <c r="X119" s="213"/>
      <c r="Y119" s="4"/>
      <c r="Z119" s="4"/>
      <c r="AB119" s="4"/>
      <c r="AE119" s="213"/>
      <c r="AF119" s="473"/>
      <c r="AG119" s="6"/>
      <c r="AH119" s="6"/>
      <c r="AI119" s="6"/>
      <c r="AJ119" s="6"/>
      <c r="AK119" s="6"/>
      <c r="AL119" s="6"/>
      <c r="AM119" s="6"/>
      <c r="AP119" s="147"/>
      <c r="AQ119" s="147"/>
      <c r="AV119" s="147"/>
      <c r="AW119" s="147"/>
    </row>
    <row r="120" spans="1:58">
      <c r="X120" s="213"/>
      <c r="Y120" s="213"/>
      <c r="Z120" s="4"/>
      <c r="AA120" s="4"/>
      <c r="AC120" s="4"/>
      <c r="AF120" s="213"/>
      <c r="AG120" s="213"/>
      <c r="AH120" s="6"/>
      <c r="AI120" s="6"/>
      <c r="AJ120" s="6"/>
      <c r="AK120" s="6"/>
      <c r="AL120" s="6"/>
      <c r="AM120" s="6"/>
      <c r="AN120" s="6"/>
      <c r="AQ120" s="147"/>
      <c r="AR120" s="147"/>
      <c r="AW120" s="147"/>
      <c r="AX120" s="147"/>
    </row>
    <row r="121" spans="1:58">
      <c r="X121" s="213"/>
      <c r="Z121" s="4"/>
      <c r="AA121" s="4"/>
      <c r="AC121" s="4"/>
      <c r="AF121" s="213"/>
      <c r="AG121" s="213"/>
      <c r="AH121" s="6"/>
      <c r="AI121" s="6"/>
      <c r="AJ121" s="6"/>
      <c r="AK121" s="6"/>
      <c r="AL121" s="6"/>
      <c r="AM121" s="6"/>
      <c r="AN121" s="6"/>
      <c r="AQ121" s="147"/>
      <c r="AR121" s="147"/>
      <c r="AW121" s="147"/>
      <c r="AX121" s="147"/>
    </row>
    <row r="122" spans="1:58">
      <c r="N122" s="4"/>
      <c r="X122" s="213"/>
      <c r="AA122" s="4"/>
      <c r="AC122" s="4"/>
      <c r="AF122" s="213"/>
      <c r="AG122" s="213"/>
      <c r="AH122" s="6"/>
      <c r="AI122" s="6"/>
      <c r="AJ122" s="6"/>
      <c r="AK122" s="6"/>
      <c r="AL122" s="6"/>
      <c r="AM122" s="6"/>
      <c r="AN122" s="6"/>
      <c r="AQ122" s="147"/>
      <c r="AR122" s="147"/>
      <c r="AW122" s="147"/>
      <c r="AX122" s="147"/>
    </row>
    <row r="123" spans="1:58">
      <c r="N123" s="4"/>
      <c r="X123" s="213"/>
      <c r="Z123" s="6"/>
      <c r="AA123" s="6"/>
      <c r="AB123" s="6"/>
      <c r="AC123" s="6"/>
      <c r="AD123" s="6"/>
      <c r="AE123" s="6"/>
      <c r="AH123" s="147"/>
      <c r="AI123" s="147"/>
      <c r="AJ123" s="147"/>
      <c r="AO123" s="147"/>
      <c r="AP123" s="147"/>
    </row>
    <row r="124" spans="1:58">
      <c r="N124" s="4"/>
      <c r="X124" s="213"/>
      <c r="Z124" s="6"/>
      <c r="AA124" s="6"/>
      <c r="AB124" s="6"/>
      <c r="AC124" s="6"/>
      <c r="AD124" s="6"/>
      <c r="AE124" s="6"/>
      <c r="AH124" s="147"/>
      <c r="AI124" s="147"/>
      <c r="AJ124" s="147"/>
      <c r="AO124" s="147"/>
      <c r="AP124" s="147"/>
    </row>
    <row r="125" spans="1:58">
      <c r="N125" s="4"/>
      <c r="X125" s="213"/>
      <c r="AD125" s="6"/>
      <c r="AE125" s="6"/>
      <c r="AH125" s="147"/>
      <c r="AI125" s="147"/>
      <c r="AJ125" s="147"/>
      <c r="AO125" s="147"/>
      <c r="AP125" s="147"/>
    </row>
    <row r="126" spans="1:58">
      <c r="N126" s="4"/>
      <c r="X126" s="4"/>
    </row>
    <row r="127" spans="1:58">
      <c r="N127" s="4"/>
      <c r="X127" s="4"/>
    </row>
    <row r="128" spans="1:58">
      <c r="N128" s="4"/>
    </row>
    <row r="129" spans="1:58">
      <c r="N129" s="4"/>
      <c r="W129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57"/>
    <protectedRange name="Repaso y reproceso_2" sqref="V42:W45"/>
    <protectedRange name="Produccion Harinas_2" sqref="C42:U45"/>
    <protectedRange name="Produccion otros productos_2" sqref="X42:AC45"/>
    <protectedRange name="Datos basculas_2" sqref="AW42:BB45"/>
    <protectedRange name="Horas_2" sqref="AN42:AP45"/>
    <protectedRange name="Fecha_2" sqref="B42:B45"/>
    <protectedRange name="Produccion Harinas" sqref="T5:U8 D5:R8 C9:U35"/>
    <protectedRange name="Datos energia" sqref="H544 G55:H56"/>
    <protectedRange name="Formulas trigo" sqref="H87:J98 D93:F93 H82:J85 D112:F116 H102:J116"/>
    <protectedRange name="Produccion otros productos" sqref="X5:Z8 Z4 AC15 X9:AC13 AB16:AC35 X14:AA35 AB14:AC14"/>
    <protectedRange name="Formulas vitamina" sqref="Z75:AB75"/>
    <protectedRange name="Datos basculas" sqref="AW4:BB35"/>
    <protectedRange name="Horas" sqref="AN4:AP35"/>
    <protectedRange name="Datos Nomina" sqref="O56:Q56"/>
    <protectedRange name="Fecha" sqref="B24:B35"/>
    <protectedRange name="Trigos" sqref="D80:E80 H80:M80"/>
    <protectedRange name="Formulas trigo_3" sqref="H99:J99"/>
    <protectedRange name="Formulas trigo_5" sqref="H100:J101"/>
    <protectedRange name="Datos basculas_4_2_1_2" sqref="BD4:BE5 BC4:BC7"/>
    <protectedRange name="Datos energia_2" sqref="G54:H54"/>
    <protectedRange name="Repaso y reproceso_3" sqref="V4:W4"/>
    <protectedRange name="Produccion Harinas_4" sqref="D4:Q4"/>
    <protectedRange name="Produccion otros productos_3" sqref="X4:Y4"/>
    <protectedRange name="Produccion Harinas_3_1" sqref="R4 T4:U4"/>
    <protectedRange name="Formulas trigo_1" sqref="G82:G85 G112:G116 G87:G93 G108:G109"/>
    <protectedRange name="Formulas trigo_1_2_6_1" sqref="G86"/>
    <protectedRange name="Produccion Harinas_3" sqref="C4:C8"/>
    <protectedRange name="Produccion Harinas_6" sqref="S4:S8"/>
    <protectedRange name="Produccion otros productos_4" sqref="AA4:AC8"/>
    <protectedRange name="Datos energia_1" sqref="G53:H53"/>
    <protectedRange name="Fecha_1" sqref="B4:B23"/>
    <protectedRange name="Formulas trigo_2" sqref="F82:F85 D87:F92 D108:F109"/>
    <protectedRange name="Formulas trigo_1_3_1" sqref="D82:D85"/>
    <protectedRange name="Formulas trigo_1_8_1" sqref="E86"/>
    <protectedRange name="Formulas trigo_1_2_6_2" sqref="F86"/>
    <protectedRange name="Formulas trigo_4" sqref="D102:F107 D96:F97 D110:F111"/>
    <protectedRange name="Formulas trigo_1_4_1" sqref="E99"/>
    <protectedRange name="Formulas trigo_1_2_2_2" sqref="F99"/>
    <protectedRange name="Formulas trigo_1_3_2_1" sqref="D99"/>
    <protectedRange name="Formulas trigo_1_6_1" sqref="E100:E101"/>
    <protectedRange name="Formulas trigo_1_2_4_2" sqref="F100:F101"/>
    <protectedRange name="Formulas trigo_1_3_4_1" sqref="D100:D101"/>
    <protectedRange name="Formulas trigo_1_1" sqref="G94:G101 G104:G107 G110:G111"/>
    <protectedRange name="Formulas trigo_1_2_2_1_1" sqref="G102"/>
    <protectedRange name="Formulas trigo_1_2_4_1_1" sqref="G103"/>
    <protectedRange name="Formulas trigo_2_1" sqref="D98:F98"/>
    <protectedRange name="Formulas trigo_4_1" sqref="D94:F95"/>
  </protectedRanges>
  <mergeCells>
    <mergeCell ref="B1:W1"/>
    <mergeCell ref="AH1:AM1"/>
    <mergeCell ref="AN1:AX1"/>
    <mergeCell ref="B2:Q2"/>
    <mergeCell ref="R2:T2"/>
    <mergeCell ref="V2:W2"/>
    <mergeCell ref="X2:Z2"/>
    <mergeCell ref="AA2:AC2"/>
    <mergeCell ref="AF2:AM2"/>
    <mergeCell ref="AN2:AP2"/>
    <mergeCell ref="AE48:AF48"/>
    <mergeCell ref="AQ2:AU2"/>
    <mergeCell ref="AW2:BF2"/>
    <mergeCell ref="AW4:AW33"/>
    <mergeCell ref="AX4:AX33"/>
    <mergeCell ref="AY4:AY33"/>
    <mergeCell ref="AZ4:AZ33"/>
    <mergeCell ref="BA4:BA33"/>
    <mergeCell ref="BB4:BB33"/>
    <mergeCell ref="BC4:BC33"/>
    <mergeCell ref="BD4:BD33"/>
    <mergeCell ref="BE4:BE33"/>
    <mergeCell ref="BF4:BF33"/>
    <mergeCell ref="AD38:AE38"/>
    <mergeCell ref="AE39:AF39"/>
    <mergeCell ref="AD47:AE47"/>
    <mergeCell ref="R49:U49"/>
    <mergeCell ref="F50:G50"/>
    <mergeCell ref="K50:L50"/>
    <mergeCell ref="O50:P50"/>
    <mergeCell ref="S50:T50"/>
    <mergeCell ref="A49:B49"/>
    <mergeCell ref="C49:C50"/>
    <mergeCell ref="F49:H49"/>
    <mergeCell ref="K49:M49"/>
    <mergeCell ref="O49:Q49"/>
    <mergeCell ref="V50:W50"/>
    <mergeCell ref="F51:G51"/>
    <mergeCell ref="K51:L51"/>
    <mergeCell ref="O51:P51"/>
    <mergeCell ref="S51:T51"/>
    <mergeCell ref="V51:W51"/>
    <mergeCell ref="G53:H53"/>
    <mergeCell ref="K53:L53"/>
    <mergeCell ref="O53:P53"/>
    <mergeCell ref="S53:T53"/>
    <mergeCell ref="V53:W53"/>
    <mergeCell ref="F52:G52"/>
    <mergeCell ref="K52:L52"/>
    <mergeCell ref="O52:P52"/>
    <mergeCell ref="S52:T52"/>
    <mergeCell ref="V52:W52"/>
    <mergeCell ref="G55:H55"/>
    <mergeCell ref="K55:L55"/>
    <mergeCell ref="O55:P55"/>
    <mergeCell ref="S55:T55"/>
    <mergeCell ref="V55:W55"/>
    <mergeCell ref="G54:I54"/>
    <mergeCell ref="K54:L54"/>
    <mergeCell ref="O54:P54"/>
    <mergeCell ref="S54:T54"/>
    <mergeCell ref="V54:W54"/>
    <mergeCell ref="F65:H65"/>
    <mergeCell ref="U65:V65"/>
    <mergeCell ref="G56:H56"/>
    <mergeCell ref="F57:G57"/>
    <mergeCell ref="K57:O57"/>
    <mergeCell ref="G60:H60"/>
    <mergeCell ref="T60:V60"/>
    <mergeCell ref="U61:V61"/>
    <mergeCell ref="F62:H62"/>
    <mergeCell ref="K62:O62"/>
    <mergeCell ref="U62:V62"/>
    <mergeCell ref="F63:G63"/>
    <mergeCell ref="T64:V64"/>
    <mergeCell ref="F70:G70"/>
    <mergeCell ref="V71:V72"/>
    <mergeCell ref="F66:G66"/>
    <mergeCell ref="U66:V66"/>
    <mergeCell ref="U67:V67"/>
    <mergeCell ref="G68:H68"/>
    <mergeCell ref="U68:V68"/>
    <mergeCell ref="G69:H69"/>
    <mergeCell ref="M69:O69"/>
  </mergeCells>
  <conditionalFormatting sqref="I55">
    <cfRule type="cellIs" dxfId="0" priority="4" operator="lessThan" stopIfTrue="1">
      <formula>0.935</formula>
    </cfRule>
  </conditionalFormatting>
  <conditionalFormatting sqref="AF3">
    <cfRule type="cellIs" dxfId="1" priority="3" operator="lessThan" stopIfTrue="1">
      <formula>0.76</formula>
    </cfRule>
  </conditionalFormatting>
  <conditionalFormatting sqref="AF4:AF35">
    <cfRule type="cellIs" dxfId="2" priority="5" operator="lessThan" stopIfTrue="1">
      <formula>0.765</formula>
    </cfRule>
  </conditionalFormatting>
  <conditionalFormatting sqref="AF36 AE76:AE77 AE79:AE91 Z92:AC117 AG118:AI119 AK118:AK119 AH120:AI122 AK120:AL122 Z123:AC124">
    <cfRule type="cellIs" dxfId="1" priority="6" operator="lessThan" stopIfTrue="1">
      <formula>0.76</formula>
    </cfRule>
  </conditionalFormatting>
  <conditionalFormatting sqref="AF42:AF45">
    <cfRule type="cellIs" dxfId="2" priority="1" operator="lessThan" stopIfTrue="1">
      <formula>0.765</formula>
    </cfRule>
  </conditionalFormatting>
  <conditionalFormatting sqref="AH1:AI1 AJ118:AJ122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  <legacyDrawing r:id="rId_comments_vml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29"/>
  <sheetViews>
    <sheetView tabSelected="0" workbookViewId="0" showGridLines="true" showRowColHeaders="1">
      <selection activeCell="A1" sqref="A1"/>
    </sheetView>
  </sheetViews>
  <sheetFormatPr defaultRowHeight="14.4" defaultColWidth="14.42578125" outlineLevelRow="0" outlineLevelCol="0"/>
  <cols>
    <col min="1" max="1" width="11.5703125" customWidth="true" style="1"/>
    <col min="2" max="2" width="16.5703125" customWidth="true" style="1"/>
    <col min="3" max="3" width="13.42578125" customWidth="true" style="1"/>
    <col min="4" max="4" width="10.570312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3.42578125" customWidth="true" style="1"/>
    <col min="10" max="10" width="12.28515625" customWidth="true" style="1"/>
    <col min="11" max="11" width="11.42578125" customWidth="true" style="1"/>
    <col min="12" max="12" width="10.7109375" customWidth="true" style="1"/>
    <col min="13" max="13" width="8.28515625" customWidth="true" style="1"/>
    <col min="14" max="14" width="12.28515625" customWidth="true" style="1"/>
    <col min="15" max="15" width="12" customWidth="true" style="1"/>
    <col min="16" max="16" width="12" customWidth="true" style="1"/>
    <col min="17" max="17" width="10.28515625" customWidth="true" style="1"/>
    <col min="18" max="18" width="13.42578125" customWidth="true" style="1"/>
    <col min="19" max="19" width="10.5703125" customWidth="true" style="1"/>
    <col min="20" max="20" width="12.28515625" customWidth="true" style="1"/>
    <col min="21" max="21" width="11.42578125" customWidth="true" style="1"/>
    <col min="22" max="22" width="8.28515625" customWidth="true" style="1"/>
    <col min="23" max="23" width="10.28515625" customWidth="true" style="1"/>
    <col min="24" max="24" width="13.42578125" customWidth="true" style="1"/>
    <col min="25" max="25" width="9.42578125" customWidth="true" style="1"/>
    <col min="26" max="26" width="7.5703125" customWidth="true" style="1"/>
    <col min="27" max="27" width="9.5703125" customWidth="true" style="1"/>
    <col min="28" max="28" width="9.5703125" customWidth="true" style="1"/>
    <col min="29" max="29" width="11.7109375" customWidth="true" style="1"/>
    <col min="30" max="30" width="10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0.5703125" customWidth="true" style="1"/>
    <col min="51" max="51" width="11.42578125" customWidth="true" style="1"/>
    <col min="52" max="52" width="8.28515625" customWidth="true" style="1"/>
    <col min="53" max="53" width="12" customWidth="true" style="1"/>
    <col min="54" max="54" width="12" customWidth="true" style="1"/>
    <col min="55" max="55" width="12" customWidth="true" style="1"/>
    <col min="56" max="56" width="14.42578125" style="1"/>
  </cols>
  <sheetData>
    <row r="1" spans="1:58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8" customHeight="1" ht="18.75">
      <c r="B2" s="701" t="s">
        <v>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2"/>
      <c r="Q2" s="703"/>
      <c r="R2" s="704" t="s">
        <v>4</v>
      </c>
      <c r="S2" s="705"/>
      <c r="T2" s="706"/>
      <c r="U2" s="416" t="s">
        <v>5</v>
      </c>
      <c r="V2" s="704" t="s">
        <v>6</v>
      </c>
      <c r="W2" s="707"/>
      <c r="X2" s="708" t="s">
        <v>7</v>
      </c>
      <c r="Y2" s="708"/>
      <c r="Z2" s="708"/>
      <c r="AA2" s="709" t="s">
        <v>8</v>
      </c>
      <c r="AB2" s="709"/>
      <c r="AC2" s="709"/>
      <c r="AD2" s="6"/>
      <c r="AE2" s="6"/>
      <c r="AF2" s="710" t="s">
        <v>9</v>
      </c>
      <c r="AG2" s="710"/>
      <c r="AH2" s="710"/>
      <c r="AI2" s="710"/>
      <c r="AJ2" s="710"/>
      <c r="AK2" s="710"/>
      <c r="AL2" s="710"/>
      <c r="AM2" s="710"/>
      <c r="AN2" s="711" t="s">
        <v>10</v>
      </c>
      <c r="AO2" s="711"/>
      <c r="AP2" s="711"/>
      <c r="AQ2" s="712" t="s">
        <v>11</v>
      </c>
      <c r="AR2" s="712"/>
      <c r="AS2" s="712"/>
      <c r="AT2" s="712"/>
      <c r="AU2" s="712"/>
      <c r="AV2" s="471" t="s">
        <v>12</v>
      </c>
      <c r="AW2" s="712" t="s">
        <v>13</v>
      </c>
      <c r="AX2" s="712"/>
      <c r="AY2" s="712"/>
      <c r="AZ2" s="712"/>
      <c r="BA2" s="712"/>
      <c r="BB2" s="712"/>
      <c r="BC2" s="712"/>
      <c r="BD2" s="712"/>
      <c r="BE2" s="712"/>
      <c r="BF2" s="712"/>
    </row>
    <row r="3" spans="1:58" customHeight="1" ht="53.25" s="40" customFormat="1">
      <c r="A3" s="8" t="s">
        <v>14</v>
      </c>
      <c r="B3" s="333" t="s">
        <v>15</v>
      </c>
      <c r="C3" s="566" t="s">
        <v>16</v>
      </c>
      <c r="D3" s="567" t="s">
        <v>17</v>
      </c>
      <c r="E3" s="549" t="s">
        <v>18</v>
      </c>
      <c r="F3" s="550" t="s">
        <v>19</v>
      </c>
      <c r="G3" s="551" t="s">
        <v>20</v>
      </c>
      <c r="H3" s="552" t="s">
        <v>21</v>
      </c>
      <c r="I3" s="553" t="s">
        <v>22</v>
      </c>
      <c r="J3" s="553" t="s">
        <v>23</v>
      </c>
      <c r="K3" s="554" t="s">
        <v>24</v>
      </c>
      <c r="L3" s="554" t="s">
        <v>25</v>
      </c>
      <c r="M3" s="555" t="s">
        <v>26</v>
      </c>
      <c r="N3" s="553" t="s">
        <v>27</v>
      </c>
      <c r="O3" s="553" t="s">
        <v>28</v>
      </c>
      <c r="P3" s="556" t="s">
        <v>29</v>
      </c>
      <c r="Q3" s="557" t="s">
        <v>30</v>
      </c>
      <c r="R3" s="409" t="s">
        <v>31</v>
      </c>
      <c r="S3" s="284" t="s">
        <v>32</v>
      </c>
      <c r="T3" s="559" t="s">
        <v>33</v>
      </c>
      <c r="U3" s="558" t="s">
        <v>34</v>
      </c>
      <c r="V3" s="405" t="s">
        <v>35</v>
      </c>
      <c r="W3" s="562" t="s">
        <v>36</v>
      </c>
      <c r="X3" s="560" t="s">
        <v>37</v>
      </c>
      <c r="Y3" s="561" t="s">
        <v>38</v>
      </c>
      <c r="Z3" s="565" t="s">
        <v>39</v>
      </c>
      <c r="AA3" s="563" t="s">
        <v>40</v>
      </c>
      <c r="AB3" s="334" t="s">
        <v>41</v>
      </c>
      <c r="AC3" s="564" t="s">
        <v>42</v>
      </c>
      <c r="AD3" s="27" t="s">
        <v>43</v>
      </c>
      <c r="AE3" s="27" t="s">
        <v>44</v>
      </c>
      <c r="AF3" s="335" t="s">
        <v>45</v>
      </c>
      <c r="AG3" s="336" t="s">
        <v>46</v>
      </c>
      <c r="AH3" s="337" t="str">
        <f>X3</f>
        <v>Germen 
25</v>
      </c>
      <c r="AI3" s="338" t="s">
        <v>47</v>
      </c>
      <c r="AJ3" s="337" t="str">
        <f>AA3</f>
        <v>Salvado 
25</v>
      </c>
      <c r="AK3" s="339" t="str">
        <f>AB3</f>
        <v>Mogolla 
40</v>
      </c>
      <c r="AL3" s="339" t="str">
        <f>AC3</f>
        <v>Segunda  
50</v>
      </c>
      <c r="AM3" s="340" t="str">
        <f>B3</f>
        <v>Fecha</v>
      </c>
      <c r="AN3" s="341" t="s">
        <v>48</v>
      </c>
      <c r="AO3" s="342" t="s">
        <v>49</v>
      </c>
      <c r="AP3" s="342" t="s">
        <v>50</v>
      </c>
      <c r="AQ3" s="343" t="s">
        <v>51</v>
      </c>
      <c r="AR3" s="344" t="s">
        <v>52</v>
      </c>
      <c r="AS3" s="344" t="s">
        <v>53</v>
      </c>
      <c r="AT3" s="344" t="s">
        <v>54</v>
      </c>
      <c r="AU3" s="344" t="s">
        <v>55</v>
      </c>
      <c r="AV3" s="343" t="s">
        <v>56</v>
      </c>
      <c r="AW3" s="345" t="s">
        <v>57</v>
      </c>
      <c r="AX3" s="345" t="s">
        <v>58</v>
      </c>
      <c r="AY3" s="345" t="s">
        <v>59</v>
      </c>
      <c r="AZ3" s="345" t="s">
        <v>60</v>
      </c>
      <c r="BA3" s="346" t="s">
        <v>61</v>
      </c>
      <c r="BB3" s="346" t="s">
        <v>62</v>
      </c>
      <c r="BC3" s="347" t="s">
        <v>63</v>
      </c>
      <c r="BD3" s="345" t="s">
        <v>64</v>
      </c>
      <c r="BE3" s="348" t="s">
        <v>65</v>
      </c>
      <c r="BF3" s="349" t="s">
        <v>66</v>
      </c>
    </row>
    <row r="4" spans="1:58" customHeight="1" ht="13.9">
      <c r="A4" s="485" t="str">
        <f>IF(B4="","",1)</f>
        <v/>
      </c>
      <c r="B4" s="42"/>
      <c r="C4" s="43"/>
      <c r="D4" s="526"/>
      <c r="E4" s="527"/>
      <c r="F4" s="241"/>
      <c r="G4" s="528"/>
      <c r="H4" s="44"/>
      <c r="I4" s="48"/>
      <c r="J4" s="48"/>
      <c r="K4" s="44"/>
      <c r="L4" s="493"/>
      <c r="M4" s="493"/>
      <c r="N4" s="244"/>
      <c r="O4" s="244"/>
      <c r="P4" s="465"/>
      <c r="Q4" s="529"/>
      <c r="R4" s="497"/>
      <c r="S4" s="275"/>
      <c r="T4" s="241"/>
      <c r="U4" s="450"/>
      <c r="V4" s="406"/>
      <c r="W4" s="241"/>
      <c r="X4" s="451"/>
      <c r="Y4" s="52"/>
      <c r="Z4" s="530"/>
      <c r="AA4" s="280"/>
      <c r="AB4" s="53"/>
      <c r="AC4" s="54"/>
      <c r="AD4" s="55" t="str">
        <f>IF(B4="","",(((C4+F4+H4+K4+Q4+N4+O4)*50))+((E4*10))+(((I4+J4+D4+G4+L4+M4+U4)*25)+(X4*25)+(Y4*25)+(Z4*25)+(AA4*25)+(AB4*40)+(AC4*50)+(R4*1)+(S4*1)+(T4*1)))</f>
        <v/>
      </c>
      <c r="AE4" s="55" t="str">
        <f>IF(B4="","",C4+F4+H4+K4+Q4+N4+O4+((I4+J4+D4+G4)/2)+(R4/50)+(S4/50)+(T4/50)+(U4/2)+(E4/5))</f>
        <v/>
      </c>
      <c r="AF4" s="56" t="str">
        <f>IF(B4="","",((AE4*50)/AD4))</f>
        <v/>
      </c>
      <c r="AG4" s="57" t="str">
        <f>IF(C4="","",((Z4)*25)/AD4)</f>
        <v/>
      </c>
      <c r="AH4" s="57" t="str">
        <f>IF(B4="","",(X4*25)/AD4)</f>
        <v/>
      </c>
      <c r="AI4" s="57" t="str">
        <f>IF(B4="","",(Y4*25)/AD4)</f>
        <v/>
      </c>
      <c r="AJ4" s="57" t="str">
        <f>IF(B4="","",(AA4*25)/AD4)</f>
        <v/>
      </c>
      <c r="AK4" s="58" t="str">
        <f>IF(B4="","",(AB4*40)/AD4)</f>
        <v/>
      </c>
      <c r="AL4" s="58" t="str">
        <f>IF(B4="","",(AC4*50)/AD4)</f>
        <v/>
      </c>
      <c r="AM4" s="59" t="str">
        <f>IF(B4="","",B4)</f>
        <v/>
      </c>
      <c r="AN4" s="235"/>
      <c r="AO4" s="61"/>
      <c r="AP4" s="236"/>
      <c r="AQ4" s="63" t="str">
        <f>IF(AN4="","",AN4/AO4)</f>
        <v/>
      </c>
      <c r="AR4" s="64" t="str">
        <f>IF(AN4="","",(AD4/AN4)/1000)</f>
        <v/>
      </c>
      <c r="AS4" s="64" t="str">
        <f>IF(AN4="","",AR4*24)</f>
        <v/>
      </c>
      <c r="AT4" s="65" t="str">
        <f>IF(AN4="","",(AD4/1000)*100%/AS4)</f>
        <v/>
      </c>
      <c r="AU4" s="64" t="str">
        <f>IF(AN4="","",(AE4/AN4))</f>
        <v/>
      </c>
      <c r="AV4" s="229" t="str">
        <f>IF(AN4="","",(AD4/AO4)/1000)</f>
        <v/>
      </c>
      <c r="AW4" s="713"/>
      <c r="AX4" s="713"/>
      <c r="AY4" s="713"/>
      <c r="AZ4" s="722"/>
      <c r="BA4" s="713"/>
      <c r="BB4" s="724"/>
      <c r="BC4" s="726"/>
      <c r="BD4" s="726"/>
      <c r="BE4" s="726"/>
      <c r="BF4" s="728"/>
    </row>
    <row r="5" spans="1:58" customHeight="1" ht="13.9">
      <c r="A5" s="485" t="str">
        <f>IF(B5="","",2)</f>
        <v/>
      </c>
      <c r="B5" s="68"/>
      <c r="C5" s="69"/>
      <c r="D5" s="70"/>
      <c r="E5" s="76"/>
      <c r="F5" s="70"/>
      <c r="G5" s="76"/>
      <c r="H5" s="70"/>
      <c r="I5" s="75"/>
      <c r="J5" s="75"/>
      <c r="K5" s="70"/>
      <c r="L5" s="494"/>
      <c r="M5" s="494"/>
      <c r="N5" s="76"/>
      <c r="O5" s="248"/>
      <c r="P5" s="466"/>
      <c r="Q5" s="412"/>
      <c r="R5" s="410"/>
      <c r="S5" s="277"/>
      <c r="T5" s="401"/>
      <c r="U5" s="407"/>
      <c r="V5" s="249"/>
      <c r="W5" s="401"/>
      <c r="X5" s="278"/>
      <c r="Y5" s="78"/>
      <c r="Z5" s="403"/>
      <c r="AA5" s="281"/>
      <c r="AB5" s="79"/>
      <c r="AC5" s="80"/>
      <c r="AD5" s="55" t="str">
        <f>IF(B5="","",(((C5+F5+H5+K5+Q5+N5+O5)*50))+((E5*10))+(((I5+J5+D5+G5+L5+M5+U5)*25)+(X5*25)+(Y5*25)+(Z5*25)+(AA5*25)+(AB5*40)+(AC5*50)+(R5*1)+(S5*1)+(T5*1)))</f>
        <v/>
      </c>
      <c r="AE5" s="55" t="str">
        <f>IF(B5="","",C5+F5+H5+K5+Q5+N5+O5+((I5+J5+D5+G5+U5)/2)+(R5/50)+(S5/50)+(T5/50)+(E5/5))</f>
        <v/>
      </c>
      <c r="AF5" s="56" t="str">
        <f>IF(B5="","",((AE5*50)/AD5))</f>
        <v/>
      </c>
      <c r="AG5" s="57" t="str">
        <f>IF(C5="","",((Z5)*25)/AD5)</f>
        <v/>
      </c>
      <c r="AH5" s="57" t="str">
        <f>IF(B5="","",(X5*25)/AD5)</f>
        <v/>
      </c>
      <c r="AI5" s="57" t="str">
        <f>IF(B5="","",(Y5*25)/AD5)</f>
        <v/>
      </c>
      <c r="AJ5" s="57" t="str">
        <f>IF(B5="","",(AA5*25)/AD5)</f>
        <v/>
      </c>
      <c r="AK5" s="58" t="str">
        <f>IF(B5="","",(AB5*40)/AD5)</f>
        <v/>
      </c>
      <c r="AL5" s="58" t="str">
        <f>IF(B5="","",(AC5*50)/AD5)</f>
        <v/>
      </c>
      <c r="AM5" s="59" t="str">
        <f>IF(B5="","",B5)</f>
        <v/>
      </c>
      <c r="AN5" s="233"/>
      <c r="AO5" s="82"/>
      <c r="AP5" s="234"/>
      <c r="AQ5" s="63" t="str">
        <f>IF(AN5="","",AN5/AO5)</f>
        <v/>
      </c>
      <c r="AR5" s="64" t="str">
        <f>IF(AN5="","",(AD5/AN5)/1000)</f>
        <v/>
      </c>
      <c r="AS5" s="64" t="str">
        <f>IF(AN5="","",AR5*24)</f>
        <v/>
      </c>
      <c r="AT5" s="65" t="str">
        <f>IF(AN5="","",(AD5/1000)*100%/AS5)</f>
        <v/>
      </c>
      <c r="AU5" s="64" t="str">
        <f>IF(AN5="","",(AE5/AN5))</f>
        <v/>
      </c>
      <c r="AV5" s="229" t="str">
        <f>IF(AN5="","",(AD5/AO5)/1000)</f>
        <v/>
      </c>
      <c r="AW5" s="714"/>
      <c r="AX5" s="714"/>
      <c r="AY5" s="714"/>
      <c r="AZ5" s="723"/>
      <c r="BA5" s="714"/>
      <c r="BB5" s="725"/>
      <c r="BC5" s="727"/>
      <c r="BD5" s="727"/>
      <c r="BE5" s="727"/>
      <c r="BF5" s="729"/>
    </row>
    <row r="6" spans="1:58" customHeight="1" ht="13.9">
      <c r="A6" s="485" t="str">
        <f>IF(B6="","",3)</f>
        <v/>
      </c>
      <c r="B6" s="68"/>
      <c r="C6" s="69"/>
      <c r="D6" s="70"/>
      <c r="E6" s="76"/>
      <c r="F6" s="70"/>
      <c r="G6" s="76"/>
      <c r="H6" s="70"/>
      <c r="I6" s="491"/>
      <c r="J6" s="491"/>
      <c r="K6" s="70"/>
      <c r="L6" s="494"/>
      <c r="M6" s="494"/>
      <c r="N6" s="76"/>
      <c r="O6" s="76"/>
      <c r="P6" s="467"/>
      <c r="Q6" s="412"/>
      <c r="R6" s="410"/>
      <c r="S6" s="276"/>
      <c r="T6" s="401"/>
      <c r="U6" s="407"/>
      <c r="V6" s="249"/>
      <c r="W6" s="401"/>
      <c r="X6" s="278"/>
      <c r="Y6" s="78"/>
      <c r="Z6" s="403"/>
      <c r="AA6" s="281"/>
      <c r="AB6" s="79"/>
      <c r="AC6" s="85"/>
      <c r="AD6" s="55" t="str">
        <f>IF(B6="","",(((C6+F6+H6+K6+Q6+N6+O6)*50))+((E6*10))+(((I6+J6+D6+G6+L6+M6+U6)*25)+(X6*25)+(Y6*25)+(Z6*25)+(AA6*25)+(AB6*40)+(AC6*50)+(R6*1)+(S6*1)+(T6*1)))</f>
        <v/>
      </c>
      <c r="AE6" s="55" t="str">
        <f>IF(B6="","",C6+F6+H6+K6+Q6+N6+O6+((I6+J6+D6+G6+U6)/2)+(R6/50)+(S6/50)+(T6/50)+(E6/5))</f>
        <v/>
      </c>
      <c r="AF6" s="56" t="str">
        <f>IF(B6="","",((AE6*50)/AD6))</f>
        <v/>
      </c>
      <c r="AG6" s="57" t="str">
        <f>IF(C6="","",((Z6)*25)/AD6)</f>
        <v/>
      </c>
      <c r="AH6" s="57" t="str">
        <f>IF(B6="","",(X6*25)/AD6)</f>
        <v/>
      </c>
      <c r="AI6" s="57" t="str">
        <f>IF(B6="","",(Y6*25)/AD6)</f>
        <v/>
      </c>
      <c r="AJ6" s="57" t="str">
        <f>IF(B6="","",(AA6*25)/AD6)</f>
        <v/>
      </c>
      <c r="AK6" s="58" t="str">
        <f>IF(B6="","",(AB6*40)/AD6)</f>
        <v/>
      </c>
      <c r="AL6" s="58" t="str">
        <f>IF(B6="","",(AC6*50)/AD6)</f>
        <v/>
      </c>
      <c r="AM6" s="59" t="str">
        <f>IF(B6="","",B6)</f>
        <v/>
      </c>
      <c r="AN6" s="233"/>
      <c r="AO6" s="82"/>
      <c r="AP6" s="234"/>
      <c r="AQ6" s="63" t="str">
        <f>IF(AN6="","",AN6/AO6)</f>
        <v/>
      </c>
      <c r="AR6" s="64" t="str">
        <f>IF(AN6="","",(AD6/AN6)/1000)</f>
        <v/>
      </c>
      <c r="AS6" s="64" t="str">
        <f>IF(AN6="","",AR6*24)</f>
        <v/>
      </c>
      <c r="AT6" s="65" t="str">
        <f>IF(AN6="","",(AD6/1000)*100%/AS6)</f>
        <v/>
      </c>
      <c r="AU6" s="64" t="str">
        <f>IF(AN6="","",(AE6/AN6))</f>
        <v/>
      </c>
      <c r="AV6" s="229" t="str">
        <f>IF(AN6="","",(AD6/AO6)/1000)</f>
        <v/>
      </c>
      <c r="AW6" s="714"/>
      <c r="AX6" s="714"/>
      <c r="AY6" s="714"/>
      <c r="AZ6" s="723"/>
      <c r="BA6" s="714"/>
      <c r="BB6" s="725"/>
      <c r="BC6" s="727"/>
      <c r="BD6" s="727"/>
      <c r="BE6" s="727"/>
      <c r="BF6" s="729"/>
    </row>
    <row r="7" spans="1:58" customHeight="1" ht="13.9">
      <c r="A7" s="485" t="str">
        <f>IF(B7="","",4)</f>
        <v/>
      </c>
      <c r="B7" s="68"/>
      <c r="C7" s="69"/>
      <c r="D7" s="70"/>
      <c r="E7" s="76"/>
      <c r="F7" s="70"/>
      <c r="G7" s="76"/>
      <c r="H7" s="70"/>
      <c r="I7" s="414"/>
      <c r="J7" s="414"/>
      <c r="K7" s="70"/>
      <c r="L7" s="494"/>
      <c r="M7" s="494"/>
      <c r="N7" s="76"/>
      <c r="O7" s="76"/>
      <c r="P7" s="467"/>
      <c r="Q7" s="412"/>
      <c r="R7" s="410"/>
      <c r="S7" s="274"/>
      <c r="T7" s="401"/>
      <c r="U7" s="407"/>
      <c r="V7" s="249"/>
      <c r="W7" s="401"/>
      <c r="X7" s="278"/>
      <c r="Y7" s="78"/>
      <c r="Z7" s="403"/>
      <c r="AA7" s="281"/>
      <c r="AB7" s="79"/>
      <c r="AC7" s="85"/>
      <c r="AD7" s="55" t="str">
        <f>IF(B7="","",(((C7+F7+H7+K7+Q7+N7+O7)*50))+((E7*10))+(((I7+J7+D7+G7+L7+M7+U7)*25)+(X7*25)+(Y7*25)+(Z7*25)+(AA7*25)+(AB7*40)+(AC7*50)+(R7*1)+(S7*1)+(T7*1)))</f>
        <v/>
      </c>
      <c r="AE7" s="55" t="str">
        <f>IF(B7="","",C7+F7+H7+K7+Q7+N7+O7+((I7+J7+D7+G7+U7)/2)+(R7/50)+(S7/50)+(T7/50)+(E7/5))</f>
        <v/>
      </c>
      <c r="AF7" s="56" t="str">
        <f>IF(B7="","",((AE7*50)/AD7))</f>
        <v/>
      </c>
      <c r="AG7" s="57" t="str">
        <f>IF(C7="","",((Z7)*25)/AD7)</f>
        <v/>
      </c>
      <c r="AH7" s="57" t="str">
        <f>IF(B7="","",(X7*25)/AD7)</f>
        <v/>
      </c>
      <c r="AI7" s="57" t="str">
        <f>IF(B7="","",(Y7*25)/AD7)</f>
        <v/>
      </c>
      <c r="AJ7" s="57" t="str">
        <f>IF(B7="","",(AA7*25)/AD7)</f>
        <v/>
      </c>
      <c r="AK7" s="58" t="str">
        <f>IF(B7="","",(AB7*40)/AD7)</f>
        <v/>
      </c>
      <c r="AL7" s="58" t="str">
        <f>IF(B7="","",(AC7*50)/AD7)</f>
        <v/>
      </c>
      <c r="AM7" s="59" t="str">
        <f>IF(B7="","",B7)</f>
        <v/>
      </c>
      <c r="AN7" s="233"/>
      <c r="AO7" s="82"/>
      <c r="AP7" s="234"/>
      <c r="AQ7" s="63" t="str">
        <f>IF(AN7="","",AN7/AO7)</f>
        <v/>
      </c>
      <c r="AR7" s="64" t="str">
        <f>IF(AN7="","",(AD7/AN7)/1000)</f>
        <v/>
      </c>
      <c r="AS7" s="64" t="str">
        <f>IF(AN7="","",AR7*24)</f>
        <v/>
      </c>
      <c r="AT7" s="65" t="str">
        <f>IF(AN7="","",(AD7/1000)*100%/AS7)</f>
        <v/>
      </c>
      <c r="AU7" s="64" t="str">
        <f>IF(AN7="","",(AE7/AN7))</f>
        <v/>
      </c>
      <c r="AV7" s="229" t="str">
        <f>IF(AN7="","",(AD7/AO7)/1000)</f>
        <v/>
      </c>
      <c r="AW7" s="714"/>
      <c r="AX7" s="714"/>
      <c r="AY7" s="714"/>
      <c r="AZ7" s="723"/>
      <c r="BA7" s="714"/>
      <c r="BB7" s="725"/>
      <c r="BC7" s="727"/>
      <c r="BD7" s="727"/>
      <c r="BE7" s="727"/>
      <c r="BF7" s="729"/>
    </row>
    <row r="8" spans="1:58" customHeight="1" ht="13.9">
      <c r="A8" s="485" t="str">
        <f>IF(B8="","",5)</f>
        <v/>
      </c>
      <c r="B8" s="68"/>
      <c r="C8" s="69"/>
      <c r="D8" s="70"/>
      <c r="E8" s="76"/>
      <c r="F8" s="70"/>
      <c r="G8" s="76"/>
      <c r="H8" s="70"/>
      <c r="I8" s="491"/>
      <c r="J8" s="491"/>
      <c r="K8" s="70"/>
      <c r="L8" s="494"/>
      <c r="M8" s="494"/>
      <c r="N8" s="76"/>
      <c r="O8" s="76"/>
      <c r="P8" s="467"/>
      <c r="Q8" s="412"/>
      <c r="R8" s="422"/>
      <c r="S8" s="274"/>
      <c r="T8" s="401"/>
      <c r="U8" s="407"/>
      <c r="V8" s="249"/>
      <c r="W8" s="401"/>
      <c r="X8" s="278"/>
      <c r="Y8" s="78"/>
      <c r="Z8" s="403"/>
      <c r="AA8" s="281"/>
      <c r="AB8" s="79"/>
      <c r="AC8" s="85"/>
      <c r="AD8" s="55" t="str">
        <f>IF(B8="","",(((C8+F8+H8+K8+Q8+N8+O8)*50))+((E8*10))+(((I8+J8+D8+G8+L8+M8+U8)*25)+(X8*25)+(Y8*25)+(Z8*25)+(AA8*25)+(AB8*40)+(AC8*50)+(R8*1)+(S8*1)+(T8*1)))</f>
        <v/>
      </c>
      <c r="AE8" s="55" t="str">
        <f>IF(B8="","",C8+F8+H8+K8+Q8+N8+O8+((I8+J8+D8+G8+U8)/2)+(R8/50)+(S8/50)+(T8/50)+(E8/5))</f>
        <v/>
      </c>
      <c r="AF8" s="56" t="str">
        <f>IF(B8="","",((AE8*50)/AD8))</f>
        <v/>
      </c>
      <c r="AG8" s="252" t="str">
        <f>IF(C8="","",((Z8)*25)/AD8)</f>
        <v/>
      </c>
      <c r="AH8" s="57" t="str">
        <f>IF(B8="","",(X8*25)/AD8)</f>
        <v/>
      </c>
      <c r="AI8" s="57" t="str">
        <f>IF(B8="","",(Y8*25)/AD8)</f>
        <v/>
      </c>
      <c r="AJ8" s="57" t="str">
        <f>IF(B8="","",(AA8*25)/AD8)</f>
        <v/>
      </c>
      <c r="AK8" s="58" t="str">
        <f>IF(B8="","",(AB8*40)/AD8)</f>
        <v/>
      </c>
      <c r="AL8" s="58" t="str">
        <f>IF(B8="","",(AC8*50)/AD8)</f>
        <v/>
      </c>
      <c r="AM8" s="59" t="str">
        <f>IF(B8="","",B8)</f>
        <v/>
      </c>
      <c r="AN8" s="233"/>
      <c r="AO8" s="82"/>
      <c r="AP8" s="234"/>
      <c r="AQ8" s="63" t="str">
        <f>IF(AN8="","",AN8/AO8)</f>
        <v/>
      </c>
      <c r="AR8" s="64" t="str">
        <f>IF(AN8="","",(AD8/AN8)/1000)</f>
        <v/>
      </c>
      <c r="AS8" s="64" t="str">
        <f>IF(AN8="","",AR8*24)</f>
        <v/>
      </c>
      <c r="AT8" s="65" t="str">
        <f>IF(AN8="","",(AD8/1000)*100%/AS8)</f>
        <v/>
      </c>
      <c r="AU8" s="64" t="str">
        <f>IF(AN8="","",(AE8/AN8))</f>
        <v/>
      </c>
      <c r="AV8" s="229" t="str">
        <f>IF(AN8="","",(AD8/AO8)/1000)</f>
        <v/>
      </c>
      <c r="AW8" s="714"/>
      <c r="AX8" s="714"/>
      <c r="AY8" s="714"/>
      <c r="AZ8" s="723"/>
      <c r="BA8" s="714"/>
      <c r="BB8" s="725"/>
      <c r="BC8" s="727"/>
      <c r="BD8" s="727"/>
      <c r="BE8" s="727"/>
      <c r="BF8" s="729"/>
    </row>
    <row r="9" spans="1:58" customHeight="1" ht="15">
      <c r="A9" s="485" t="str">
        <f>IF(B9="","",6)</f>
        <v/>
      </c>
      <c r="B9" s="68"/>
      <c r="C9" s="69"/>
      <c r="D9" s="70"/>
      <c r="E9" s="76"/>
      <c r="F9" s="70"/>
      <c r="G9" s="76"/>
      <c r="H9" s="70"/>
      <c r="I9" s="491"/>
      <c r="J9" s="491"/>
      <c r="K9" s="70"/>
      <c r="L9" s="494"/>
      <c r="M9" s="494"/>
      <c r="N9" s="76"/>
      <c r="O9" s="76"/>
      <c r="P9" s="467"/>
      <c r="Q9" s="412"/>
      <c r="R9" s="410"/>
      <c r="S9" s="242"/>
      <c r="T9" s="401"/>
      <c r="U9" s="407"/>
      <c r="V9" s="249"/>
      <c r="W9" s="401"/>
      <c r="X9" s="278"/>
      <c r="Y9" s="78"/>
      <c r="Z9" s="403"/>
      <c r="AA9" s="281"/>
      <c r="AB9" s="79"/>
      <c r="AC9" s="85"/>
      <c r="AD9" s="55" t="str">
        <f>IF(B9="","",(((C9+F9+H9+K9+Q9+N9+O9)*50))+((E9*10))+(((I9+J9+D9+G9+L9+M9+U9)*25)+(X9*25)+(Y9*25)+(Z9*25)+(AA9*25)+(AB9*40)+(AC9*50)+(R9*1)+(S9*1)+(T9*1)))</f>
        <v/>
      </c>
      <c r="AE9" s="55" t="str">
        <f>IF(B9="","",C9+F9+H9+K9+Q9+N9+O9+((I9+J9+D9+G9+U9)/2)+(R9/50)+(S9/50)+(T9/50)+(E9/5))</f>
        <v/>
      </c>
      <c r="AF9" s="56" t="str">
        <f>IF(B9="","",((AE9*50)/AD9))</f>
        <v/>
      </c>
      <c r="AG9" s="57" t="str">
        <f>IF(C9="","",((Z9)*25)/AD9)</f>
        <v/>
      </c>
      <c r="AH9" s="57" t="str">
        <f>IF(B9="","",(X9*25)/AD9)</f>
        <v/>
      </c>
      <c r="AI9" s="57" t="str">
        <f>IF(B9="","",(Y9*25)/AD9)</f>
        <v/>
      </c>
      <c r="AJ9" s="57" t="str">
        <f>IF(B9="","",(AA9*25)/AD9)</f>
        <v/>
      </c>
      <c r="AK9" s="58" t="str">
        <f>IF(B9="","",(AB9*40)/AD9)</f>
        <v/>
      </c>
      <c r="AL9" s="58" t="str">
        <f>IF(B9="","",(AC9*50)/AD9)</f>
        <v/>
      </c>
      <c r="AM9" s="59" t="str">
        <f>IF(B9="","",B9)</f>
        <v/>
      </c>
      <c r="AN9" s="233"/>
      <c r="AO9" s="82"/>
      <c r="AP9" s="234"/>
      <c r="AQ9" s="63" t="str">
        <f>IF(AN9="","",AN9/AO9)</f>
        <v/>
      </c>
      <c r="AR9" s="64" t="str">
        <f>IF(AN9="","",(AD9/AN9)/1000)</f>
        <v/>
      </c>
      <c r="AS9" s="64" t="str">
        <f>IF(AN9="","",AR9*24)</f>
        <v/>
      </c>
      <c r="AT9" s="65" t="str">
        <f>IF(AN9="","",(AD9/1000)*100%/AS9)</f>
        <v/>
      </c>
      <c r="AU9" s="64" t="str">
        <f>IF(AN9="","",(AE9/AN9))</f>
        <v/>
      </c>
      <c r="AV9" s="229" t="str">
        <f>IF(AN9="","",(AD9/AO9)/1000)</f>
        <v/>
      </c>
      <c r="AW9" s="714"/>
      <c r="AX9" s="714"/>
      <c r="AY9" s="714"/>
      <c r="AZ9" s="723"/>
      <c r="BA9" s="714"/>
      <c r="BB9" s="725"/>
      <c r="BC9" s="727"/>
      <c r="BD9" s="727"/>
      <c r="BE9" s="727"/>
      <c r="BF9" s="729"/>
    </row>
    <row r="10" spans="1:58" customHeight="1" ht="13.9">
      <c r="A10" s="485" t="str">
        <f>IF(B10="","",7)</f>
        <v/>
      </c>
      <c r="B10" s="68"/>
      <c r="C10" s="69"/>
      <c r="D10" s="70"/>
      <c r="E10" s="76"/>
      <c r="F10" s="70"/>
      <c r="G10" s="76"/>
      <c r="H10" s="70"/>
      <c r="I10" s="491"/>
      <c r="J10" s="491"/>
      <c r="K10" s="70"/>
      <c r="L10" s="494"/>
      <c r="M10" s="494"/>
      <c r="N10" s="76"/>
      <c r="O10" s="76"/>
      <c r="P10" s="467"/>
      <c r="Q10" s="412"/>
      <c r="R10" s="410"/>
      <c r="S10" s="242"/>
      <c r="T10" s="401"/>
      <c r="U10" s="407"/>
      <c r="V10" s="249"/>
      <c r="W10" s="401"/>
      <c r="X10" s="278"/>
      <c r="Y10" s="78"/>
      <c r="Z10" s="403"/>
      <c r="AA10" s="281"/>
      <c r="AB10" s="79"/>
      <c r="AC10" s="85"/>
      <c r="AD10" s="55" t="str">
        <f>IF(B10="","",(((C10+F10+H10+K10+Q10+N10+O10)*50))+((E10*10))+(((I10+J10+D10+G10+L10+M10+U10)*25)+(X10*25)+(Y10*25)+(Z10*25)+(AA10*25)+(AB10*40)+(AC10*50)+(R10*1)+(S10*1)+(T10*1)))</f>
        <v/>
      </c>
      <c r="AE10" s="55" t="str">
        <f>IF(B10="","",C10+F10+H10+K10+Q10+N10+O10+((I10+J10+D10+G10+U10)/2)+(R10/50)+(S10/50)+(T10/50)+(E10/5))</f>
        <v/>
      </c>
      <c r="AF10" s="56" t="str">
        <f>IF(B10="","",((AE10*50)/AD10))</f>
        <v/>
      </c>
      <c r="AG10" s="57" t="str">
        <f>IF(C10="","",((Z10)*25)/AD10)</f>
        <v/>
      </c>
      <c r="AH10" s="57" t="str">
        <f>IF(B10="","",(X10*25)/AD10)</f>
        <v/>
      </c>
      <c r="AI10" s="57" t="str">
        <f>IF(B10="","",(Y10*25)/AD10)</f>
        <v/>
      </c>
      <c r="AJ10" s="57" t="str">
        <f>IF(B10="","",(AA10*25)/AD10)</f>
        <v/>
      </c>
      <c r="AK10" s="58" t="str">
        <f>IF(B10="","",(AB10*40)/AD10)</f>
        <v/>
      </c>
      <c r="AL10" s="58" t="str">
        <f>IF(B10="","",(AC10*50)/AD10)</f>
        <v/>
      </c>
      <c r="AM10" s="59" t="str">
        <f>IF(B10="","",B10)</f>
        <v/>
      </c>
      <c r="AN10" s="233"/>
      <c r="AO10" s="82"/>
      <c r="AP10" s="234"/>
      <c r="AQ10" s="63" t="str">
        <f>IF(AN10="","",AN10/AO10)</f>
        <v/>
      </c>
      <c r="AR10" s="64" t="str">
        <f>IF(AN10="","",(AD10/AN10)/1000)</f>
        <v/>
      </c>
      <c r="AS10" s="64" t="str">
        <f>IF(AN10="","",AR10*24)</f>
        <v/>
      </c>
      <c r="AT10" s="65" t="str">
        <f>IF(AN10="","",(AD10/1000)*100%/AS10)</f>
        <v/>
      </c>
      <c r="AU10" s="64" t="str">
        <f>IF(AN10="","",(AE10/AN10))</f>
        <v/>
      </c>
      <c r="AV10" s="229" t="str">
        <f>IF(AN10="","",(AD10/AO10)/1000)</f>
        <v/>
      </c>
      <c r="AW10" s="714"/>
      <c r="AX10" s="714"/>
      <c r="AY10" s="714"/>
      <c r="AZ10" s="723"/>
      <c r="BA10" s="714"/>
      <c r="BB10" s="725"/>
      <c r="BC10" s="727"/>
      <c r="BD10" s="727"/>
      <c r="BE10" s="727"/>
      <c r="BF10" s="729"/>
    </row>
    <row r="11" spans="1:58" customHeight="1" ht="13.9">
      <c r="A11" s="485" t="str">
        <f>IF(B11="","",8)</f>
        <v/>
      </c>
      <c r="B11" s="226"/>
      <c r="C11" s="69"/>
      <c r="D11" s="70"/>
      <c r="E11" s="76"/>
      <c r="F11" s="70"/>
      <c r="G11" s="76"/>
      <c r="H11" s="70"/>
      <c r="I11" s="491"/>
      <c r="J11" s="491"/>
      <c r="K11" s="70"/>
      <c r="L11" s="494"/>
      <c r="M11" s="494"/>
      <c r="N11" s="76"/>
      <c r="O11" s="76"/>
      <c r="P11" s="467"/>
      <c r="Q11" s="412"/>
      <c r="R11" s="410"/>
      <c r="S11" s="242"/>
      <c r="T11" s="401"/>
      <c r="U11" s="407"/>
      <c r="V11" s="249"/>
      <c r="W11" s="401"/>
      <c r="X11" s="278"/>
      <c r="Y11" s="78"/>
      <c r="Z11" s="403"/>
      <c r="AA11" s="281"/>
      <c r="AB11" s="79"/>
      <c r="AC11" s="85"/>
      <c r="AD11" s="55" t="str">
        <f>IF(B11="","",(((C11+F11+H11+K11+Q11+N11+O11)*50))+((E11*10))+(((I11+J11+D11+G11+L11+M11+U11)*25)+(X11*25)+(Y11*25)+(Z11*25)+(AA11*25)+(AB11*40)+(AC11*50)+(R11*1)+(S11*1)+(T11*1)))</f>
        <v/>
      </c>
      <c r="AE11" s="55" t="str">
        <f>IF(B11="","",C11+F11+H11+K11+Q11+N11+O11+((I11+J11+D11+G11+U11+P11)/2)+(R11/50)+(S11/50)+(T11/50)+(E11/5))</f>
        <v/>
      </c>
      <c r="AF11" s="56" t="str">
        <f>IF(B11="","",((AE11*50)/AD11))</f>
        <v/>
      </c>
      <c r="AG11" s="57" t="str">
        <f>IF(C11="","",((Z11)*25)/AD11)</f>
        <v/>
      </c>
      <c r="AH11" s="57" t="str">
        <f>IF(B11="","",(X11*25)/AD11)</f>
        <v/>
      </c>
      <c r="AI11" s="57" t="str">
        <f>IF(B11="","",(Y11*25)/AD11)</f>
        <v/>
      </c>
      <c r="AJ11" s="57" t="str">
        <f>IF(B11="","",(AA11*25)/AD11)</f>
        <v/>
      </c>
      <c r="AK11" s="58" t="str">
        <f>IF(B11="","",(AB11*40)/AD11)</f>
        <v/>
      </c>
      <c r="AL11" s="58" t="str">
        <f>IF(B11="","",(AC11*50)/AD11)</f>
        <v/>
      </c>
      <c r="AM11" s="59" t="str">
        <f>IF(B11="","",B11)</f>
        <v/>
      </c>
      <c r="AN11" s="233"/>
      <c r="AO11" s="82"/>
      <c r="AP11" s="234"/>
      <c r="AQ11" s="63" t="str">
        <f>IF(AN11="","",AN11/AO11)</f>
        <v/>
      </c>
      <c r="AR11" s="64" t="str">
        <f>IF(AN11="","",(AD11/AN11)/1000)</f>
        <v/>
      </c>
      <c r="AS11" s="64" t="str">
        <f>IF(AN11="","",AR11*24)</f>
        <v/>
      </c>
      <c r="AT11" s="65" t="str">
        <f>IF(AN11="","",(AD11/1000)*100%/AS11)</f>
        <v/>
      </c>
      <c r="AU11" s="64" t="str">
        <f>IF(AN11="","",(AE11/AN11))</f>
        <v/>
      </c>
      <c r="AV11" s="229" t="str">
        <f>IF(AN11="","",(AD11/AO11)/1000)</f>
        <v/>
      </c>
      <c r="AW11" s="714"/>
      <c r="AX11" s="714"/>
      <c r="AY11" s="714"/>
      <c r="AZ11" s="723"/>
      <c r="BA11" s="714"/>
      <c r="BB11" s="725"/>
      <c r="BC11" s="727"/>
      <c r="BD11" s="727"/>
      <c r="BE11" s="727"/>
      <c r="BF11" s="729"/>
    </row>
    <row r="12" spans="1:58" customHeight="1" ht="13.9">
      <c r="A12" s="485" t="str">
        <f>IF(B12="","",9)</f>
        <v/>
      </c>
      <c r="B12" s="226"/>
      <c r="C12" s="69"/>
      <c r="D12" s="70"/>
      <c r="E12" s="76"/>
      <c r="F12" s="70"/>
      <c r="G12" s="76"/>
      <c r="H12" s="70"/>
      <c r="I12" s="491"/>
      <c r="J12" s="491"/>
      <c r="K12" s="70"/>
      <c r="L12" s="494"/>
      <c r="M12" s="494"/>
      <c r="N12" s="76"/>
      <c r="O12" s="76"/>
      <c r="P12" s="467"/>
      <c r="Q12" s="412"/>
      <c r="R12" s="410"/>
      <c r="S12" s="242"/>
      <c r="T12" s="401"/>
      <c r="U12" s="407"/>
      <c r="V12" s="249"/>
      <c r="W12" s="401"/>
      <c r="X12" s="278"/>
      <c r="Y12" s="78"/>
      <c r="Z12" s="403"/>
      <c r="AA12" s="281"/>
      <c r="AB12" s="79"/>
      <c r="AC12" s="85"/>
      <c r="AD12" s="55" t="str">
        <f>IF(B12="","",(((C12+F12+H12+K12+Q12+N12+O12)*50))+((E12*10))+(((I12+J12+D12+G12+L12+M12+U12)*25)+(X12*25)+(Y12*25)+(Z12*25)+(AA12*25)+(AB12*40)+(AC12*50)+(R12*1)+(S12*1)+(T12*1)))</f>
        <v/>
      </c>
      <c r="AE12" s="55" t="str">
        <f>IF(B12="","",C12+F12+H12+K12+Q12+N12+O12+((I12+J12+D12+G12+U12)/2)+(R12/50)+(S12/50)+(T12/50)+(E12/5))</f>
        <v/>
      </c>
      <c r="AF12" s="56" t="str">
        <f>IF(B12="","",((AE12*50)/AD12))</f>
        <v/>
      </c>
      <c r="AG12" s="57" t="str">
        <f>IF(C12="","",((Z12)*25)/AD12)</f>
        <v/>
      </c>
      <c r="AH12" s="57" t="str">
        <f>IF(B12="","",(X12*25)/AD12)</f>
        <v/>
      </c>
      <c r="AI12" s="57" t="str">
        <f>IF(B12="","",(Y12*25)/AD12)</f>
        <v/>
      </c>
      <c r="AJ12" s="57" t="str">
        <f>IF(B12="","",(AA12*25)/AD12)</f>
        <v/>
      </c>
      <c r="AK12" s="58" t="str">
        <f>IF(B12="","",(AB12*40)/AD12)</f>
        <v/>
      </c>
      <c r="AL12" s="58" t="str">
        <f>IF(B12="","",(AC12*50)/AD12)</f>
        <v/>
      </c>
      <c r="AM12" s="59" t="str">
        <f>IF(B12="","",B12)</f>
        <v/>
      </c>
      <c r="AN12" s="233"/>
      <c r="AO12" s="82"/>
      <c r="AP12" s="234"/>
      <c r="AQ12" s="63" t="str">
        <f>IF(AN12="","",AN12/AO12)</f>
        <v/>
      </c>
      <c r="AR12" s="64" t="str">
        <f>IF(AN12="","",(AD12/AN12)/1000)</f>
        <v/>
      </c>
      <c r="AS12" s="64" t="str">
        <f>IF(AN12="","",AR12*24)</f>
        <v/>
      </c>
      <c r="AT12" s="65" t="str">
        <f>IF(AN12="","",(AD12/1000)*100%/AS12)</f>
        <v/>
      </c>
      <c r="AU12" s="64" t="str">
        <f>IF(AN12="","",(AE12/AN12))</f>
        <v/>
      </c>
      <c r="AV12" s="229" t="str">
        <f>IF(AN12="","",(AD12/AO12)/1000)</f>
        <v/>
      </c>
      <c r="AW12" s="714"/>
      <c r="AX12" s="714"/>
      <c r="AY12" s="714"/>
      <c r="AZ12" s="723"/>
      <c r="BA12" s="714"/>
      <c r="BB12" s="725"/>
      <c r="BC12" s="727"/>
      <c r="BD12" s="727"/>
      <c r="BE12" s="727"/>
      <c r="BF12" s="729"/>
    </row>
    <row r="13" spans="1:58" customHeight="1" ht="13.9">
      <c r="A13" s="485" t="str">
        <f>IF(B13="","",11)</f>
        <v/>
      </c>
      <c r="B13" s="226"/>
      <c r="C13" s="69"/>
      <c r="D13" s="70"/>
      <c r="E13" s="76"/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/>
      <c r="S13" s="242"/>
      <c r="T13" s="401"/>
      <c r="U13" s="407"/>
      <c r="V13" s="249"/>
      <c r="W13" s="401"/>
      <c r="X13" s="278"/>
      <c r="Y13" s="78"/>
      <c r="Z13" s="403"/>
      <c r="AA13" s="281"/>
      <c r="AB13" s="79"/>
      <c r="AC13" s="85"/>
      <c r="AD13" s="55" t="str">
        <f>IF(B13="","",(((C13+F13+H13+K13+Q13+N13+O13)*50))+((E13*10))+(((I13+J13+D13+G13+L13+M13+U13)*25)+(X13*25)+(Y13*25)+(Z13*25)+(AA13*25)+(AB13*40)+(AC13*50)+(R13*1)+(S13*1)+(T13*1)))</f>
        <v/>
      </c>
      <c r="AE13" s="55" t="str">
        <f>IF(B13="","",C13+F13+H13+K13+Q13+N13+O13+((I13+J13+D13+G13+U13)/2)+(R13/50)+(S13/50)+(T13/50)+(E13/5))</f>
        <v/>
      </c>
      <c r="AF13" s="56" t="str">
        <f>IF(B13="","",((AE13*50)/AD13))</f>
        <v/>
      </c>
      <c r="AG13" s="57" t="str">
        <f>IF(C13="","",((Z13)*25)/AD13)</f>
        <v/>
      </c>
      <c r="AH13" s="57" t="str">
        <f>IF(B13="","",(X13*25)/AD13)</f>
        <v/>
      </c>
      <c r="AI13" s="57" t="str">
        <f>IF(B13="","",(Y13*25)/AD13)</f>
        <v/>
      </c>
      <c r="AJ13" s="57" t="str">
        <f>IF(B13="","",(AA13*25)/AD13)</f>
        <v/>
      </c>
      <c r="AK13" s="58" t="str">
        <f>IF(B13="","",(AB13*40)/AD13)</f>
        <v/>
      </c>
      <c r="AL13" s="58" t="str">
        <f>IF(B13="","",(AC13*50)/AD13)</f>
        <v/>
      </c>
      <c r="AM13" s="59" t="str">
        <f>IF(B13="","",B13)</f>
        <v/>
      </c>
      <c r="AN13" s="233"/>
      <c r="AO13" s="82"/>
      <c r="AP13" s="234"/>
      <c r="AQ13" s="63" t="str">
        <f>IF(AN13="","",AN13/AO13)</f>
        <v/>
      </c>
      <c r="AR13" s="64" t="str">
        <f>IF(AN13="","",(AD13/AN13)/1000)</f>
        <v/>
      </c>
      <c r="AS13" s="64" t="str">
        <f>IF(AN13="","",AR13*24)</f>
        <v/>
      </c>
      <c r="AT13" s="65" t="str">
        <f>IF(AN13="","",(AD13/1000)*100%/AS13)</f>
        <v/>
      </c>
      <c r="AU13" s="64" t="str">
        <f>IF(AN13="","",(AE13/AN13))</f>
        <v/>
      </c>
      <c r="AV13" s="229" t="str">
        <f>IF(AN13="","",(AD13/AO13)/1000)</f>
        <v/>
      </c>
      <c r="AW13" s="714"/>
      <c r="AX13" s="714"/>
      <c r="AY13" s="714"/>
      <c r="AZ13" s="723"/>
      <c r="BA13" s="714"/>
      <c r="BB13" s="725"/>
      <c r="BC13" s="727"/>
      <c r="BD13" s="727"/>
      <c r="BE13" s="727"/>
      <c r="BF13" s="729"/>
    </row>
    <row r="14" spans="1:58" customHeight="1" ht="13.9">
      <c r="A14" s="485" t="str">
        <f>IF(B14="","",12)</f>
        <v/>
      </c>
      <c r="B14" s="226"/>
      <c r="C14" s="69"/>
      <c r="D14" s="70"/>
      <c r="E14" s="76"/>
      <c r="F14" s="70"/>
      <c r="G14" s="76"/>
      <c r="H14" s="70"/>
      <c r="I14" s="491"/>
      <c r="J14" s="491"/>
      <c r="K14" s="70"/>
      <c r="L14" s="494"/>
      <c r="M14" s="494"/>
      <c r="N14" s="76"/>
      <c r="O14" s="76"/>
      <c r="P14" s="467"/>
      <c r="Q14" s="412"/>
      <c r="R14" s="410"/>
      <c r="S14" s="242"/>
      <c r="T14" s="401"/>
      <c r="U14" s="407"/>
      <c r="V14" s="249"/>
      <c r="W14" s="401"/>
      <c r="X14" s="278"/>
      <c r="Y14" s="78"/>
      <c r="Z14" s="403"/>
      <c r="AA14" s="281"/>
      <c r="AB14" s="79"/>
      <c r="AC14" s="85"/>
      <c r="AD14" s="55" t="str">
        <f>IF(B14="","",(((C14+F14+H14+K14+Q14+N14+O14)*50))+((E14*10))+(((I14+J14+D14+G14+L14+M14+U14)*25)+(X14*25)+(Y14*25)+(Z14*25)+(AA14*25)+(AB14*40)+(AC14*50)+(R14*1)+(S14*1)+(T14*1)))</f>
        <v/>
      </c>
      <c r="AE14" s="55" t="str">
        <f>IF(B14="","",C14+F14+H14+K14+Q14+N14+O14+((I14+J14+D14+G14+U14)/2)+(R14/50)+(S14/50)+(T14/50)+(E14/5))</f>
        <v/>
      </c>
      <c r="AF14" s="56" t="str">
        <f>IF(B14="","",((AE14*50)/AD14))</f>
        <v/>
      </c>
      <c r="AG14" s="57" t="str">
        <f>IF(C14="","",((Z14)*25)/AD14)</f>
        <v/>
      </c>
      <c r="AH14" s="57" t="str">
        <f>IF(B14="","",(X14*25)/AD14)</f>
        <v/>
      </c>
      <c r="AI14" s="57" t="str">
        <f>IF(B14="","",(Y14*25)/AD14)</f>
        <v/>
      </c>
      <c r="AJ14" s="57" t="str">
        <f>IF(B14="","",(AA14*25)/AD14)</f>
        <v/>
      </c>
      <c r="AK14" s="58" t="str">
        <f>IF(B14="","",(AB14*40)/AD14)</f>
        <v/>
      </c>
      <c r="AL14" s="58" t="str">
        <f>IF(B14="","",(AC14*50)/AD14)</f>
        <v/>
      </c>
      <c r="AM14" s="59" t="str">
        <f>IF(B14="","",B14)</f>
        <v/>
      </c>
      <c r="AN14" s="233"/>
      <c r="AO14" s="82"/>
      <c r="AP14" s="234"/>
      <c r="AQ14" s="63" t="str">
        <f>IF(AN14="","",AN14/AO14)</f>
        <v/>
      </c>
      <c r="AR14" s="64" t="str">
        <f>IF(AN14="","",(AD14/AN14)/1000)</f>
        <v/>
      </c>
      <c r="AS14" s="64" t="str">
        <f>IF(AN14="","",AR14*24)</f>
        <v/>
      </c>
      <c r="AT14" s="65" t="str">
        <f>IF(AN14="","",(AD14/1000)*100%/AS14)</f>
        <v/>
      </c>
      <c r="AU14" s="64" t="str">
        <f>IF(AN14="","",(AE14/AN14))</f>
        <v/>
      </c>
      <c r="AV14" s="229" t="str">
        <f>IF(AN14="","",(AD14/AO14)/1000)</f>
        <v/>
      </c>
      <c r="AW14" s="714"/>
      <c r="AX14" s="714"/>
      <c r="AY14" s="714"/>
      <c r="AZ14" s="723"/>
      <c r="BA14" s="714"/>
      <c r="BB14" s="725"/>
      <c r="BC14" s="727"/>
      <c r="BD14" s="727"/>
      <c r="BE14" s="727"/>
      <c r="BF14" s="729"/>
    </row>
    <row r="15" spans="1:58" customHeight="1" ht="13.9">
      <c r="A15" s="485" t="str">
        <f>IF(B15="","",13)</f>
        <v/>
      </c>
      <c r="B15" s="226"/>
      <c r="C15" s="69"/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/>
      <c r="S15" s="242"/>
      <c r="T15" s="401"/>
      <c r="U15" s="407"/>
      <c r="V15" s="249"/>
      <c r="W15" s="401"/>
      <c r="X15" s="278"/>
      <c r="Y15" s="78"/>
      <c r="Z15" s="403"/>
      <c r="AA15" s="281"/>
      <c r="AC15" s="79"/>
      <c r="AD15" s="55" t="str">
        <f>IF(B15="","",(((C15+F15+H15+K15+Q15+N15+O15)*50))+((E15*10))+(((I15+J15+D15+G15+L15+M15+U15)*25)+(X15*25)+(Y15*25)+(Z15*25)+(AA15*25)+(AB15*40)+(AC15*50)+(R15*1)+(S15*1)+(T15*1)))</f>
        <v/>
      </c>
      <c r="AE15" s="55" t="str">
        <f>IF(B15="","",C15+F15+H15+K15+Q15+N15+O15+((I15+J15+D15+G15+U15)/2)+(R15/50)+(S15/50)+(T15/50)+(E15/5))</f>
        <v/>
      </c>
      <c r="AF15" s="56" t="str">
        <f>IF(B15="","",((AE15*50)/AD15))</f>
        <v/>
      </c>
      <c r="AG15" s="57" t="str">
        <f>IF(C15="","",((Z15)*25)/AD15)</f>
        <v/>
      </c>
      <c r="AH15" s="57" t="str">
        <f>IF(B15="","",(X15*25)/AD15)</f>
        <v/>
      </c>
      <c r="AI15" s="57" t="str">
        <f>IF(B15="","",(Y15*25)/AD15)</f>
        <v/>
      </c>
      <c r="AJ15" s="57" t="str">
        <f>IF(B15="","",(AA15*25)/AD15)</f>
        <v/>
      </c>
      <c r="AK15" s="58" t="str">
        <f>IF(B15="","",(AC15*40)/AD15)</f>
        <v/>
      </c>
      <c r="AL15" s="58" t="str">
        <f>IF(B15="","",(AC15*50)/AD15)</f>
        <v/>
      </c>
      <c r="AM15" s="59" t="str">
        <f>IF(B15="","",B15)</f>
        <v/>
      </c>
      <c r="AN15" s="233"/>
      <c r="AO15" s="82"/>
      <c r="AP15" s="234"/>
      <c r="AQ15" s="63" t="str">
        <f>IF(AN15="","",AN15/AO15)</f>
        <v/>
      </c>
      <c r="AR15" s="64" t="str">
        <f>IF(AN15="","",(AD15/AN15)/1000)</f>
        <v/>
      </c>
      <c r="AS15" s="64" t="str">
        <f>IF(AN15="","",AR15*24)</f>
        <v/>
      </c>
      <c r="AT15" s="65" t="str">
        <f>IF(AN15="","",(AD15/1000)*100%/AS15)</f>
        <v/>
      </c>
      <c r="AU15" s="64" t="str">
        <f>IF(AN15="","",(AE15/AN15))</f>
        <v/>
      </c>
      <c r="AV15" s="229" t="str">
        <f>IF(AN15="","",(AD15/AO15)/1000)</f>
        <v/>
      </c>
      <c r="AW15" s="714"/>
      <c r="AX15" s="714"/>
      <c r="AY15" s="714"/>
      <c r="AZ15" s="723"/>
      <c r="BA15" s="714"/>
      <c r="BB15" s="725"/>
      <c r="BC15" s="727"/>
      <c r="BD15" s="727"/>
      <c r="BE15" s="727"/>
      <c r="BF15" s="729"/>
    </row>
    <row r="16" spans="1:58" customHeight="1" ht="13.9">
      <c r="A16" s="485" t="str">
        <f>IF(B16="","",1+A15)</f>
        <v/>
      </c>
      <c r="B16" s="226"/>
      <c r="C16" s="69"/>
      <c r="D16" s="70"/>
      <c r="E16" s="76"/>
      <c r="F16" s="70"/>
      <c r="G16" s="76"/>
      <c r="H16" s="70"/>
      <c r="I16" s="491"/>
      <c r="J16" s="491"/>
      <c r="K16" s="70"/>
      <c r="L16" s="494"/>
      <c r="M16" s="494"/>
      <c r="N16" s="76"/>
      <c r="O16" s="76"/>
      <c r="P16" s="467"/>
      <c r="Q16" s="412"/>
      <c r="R16" s="410"/>
      <c r="S16" s="242"/>
      <c r="T16" s="401"/>
      <c r="U16" s="407"/>
      <c r="V16" s="249"/>
      <c r="W16" s="401"/>
      <c r="X16" s="278"/>
      <c r="Y16" s="78"/>
      <c r="Z16" s="403"/>
      <c r="AA16" s="281"/>
      <c r="AB16" s="79"/>
      <c r="AC16" s="85"/>
      <c r="AD16" s="55" t="str">
        <f>IF(B16="","",(((C16+F16+H16+K16+Q16+N16+O16)*50))+((E16*10))+(((I16+J16+D16+G16+L16+M16+U16)*25)+(X16*25)+(Y16*25)+(Z16*25)+(AA16*25)+(AB16*40)+(AC16*50)+(R16*1)+(S16*1)+(T16*1)))</f>
        <v/>
      </c>
      <c r="AE16" s="55" t="str">
        <f>IF(B16="","",C16+F16+H16+K16+Q16+N16+O16+((I16+J16+D16+G16+U16)/2)+(R16/50)+(S16/50)+(T16/50)+(E16/5))</f>
        <v/>
      </c>
      <c r="AF16" s="56" t="str">
        <f>IF(B16="","",((AE16*50)/AD16))</f>
        <v/>
      </c>
      <c r="AG16" s="57" t="str">
        <f>IF(C16="","",((Z16)*25)/AD16)</f>
        <v/>
      </c>
      <c r="AH16" s="57" t="str">
        <f>IF(B16="","",(X16*25)/AD16)</f>
        <v/>
      </c>
      <c r="AI16" s="57" t="str">
        <f>IF(B16="","",(Y16*25)/AD16)</f>
        <v/>
      </c>
      <c r="AJ16" s="57" t="str">
        <f>IF(B16="","",(AA16*25)/AD16)</f>
        <v/>
      </c>
      <c r="AK16" s="58" t="str">
        <f>IF(B16="","",(AB16*40)/AD16)</f>
        <v/>
      </c>
      <c r="AL16" s="58" t="str">
        <f>IF(B16="","",(AC16*50)/AD16)</f>
        <v/>
      </c>
      <c r="AM16" s="59" t="str">
        <f>IF(B16="","",B16)</f>
        <v/>
      </c>
      <c r="AN16" s="233"/>
      <c r="AO16" s="82"/>
      <c r="AP16" s="234"/>
      <c r="AQ16" s="63" t="str">
        <f>IF(AN16="","",AN16/AO16)</f>
        <v/>
      </c>
      <c r="AR16" s="64" t="str">
        <f>IF(AN16="","",(AD16/AN16)/1000)</f>
        <v/>
      </c>
      <c r="AS16" s="64" t="str">
        <f>IF(AN16="","",AR16*24)</f>
        <v/>
      </c>
      <c r="AT16" s="65" t="str">
        <f>IF(AN16="","",(AD16/1000)*100%/AS16)</f>
        <v/>
      </c>
      <c r="AU16" s="64" t="str">
        <f>IF(AN16="","",(AE16/AN16))</f>
        <v/>
      </c>
      <c r="AV16" s="229" t="str">
        <f>IF(AN16="","",(AD16/AO16)/1000)</f>
        <v/>
      </c>
      <c r="AW16" s="714"/>
      <c r="AX16" s="714"/>
      <c r="AY16" s="714"/>
      <c r="AZ16" s="723"/>
      <c r="BA16" s="714"/>
      <c r="BB16" s="725"/>
      <c r="BC16" s="727"/>
      <c r="BD16" s="727"/>
      <c r="BE16" s="727"/>
      <c r="BF16" s="729"/>
    </row>
    <row r="17" spans="1:58" customHeight="1" ht="13.9">
      <c r="A17" s="485" t="str">
        <f>IF(B17="","",15)</f>
        <v/>
      </c>
      <c r="B17" s="226"/>
      <c r="C17" s="69"/>
      <c r="D17" s="70"/>
      <c r="E17" s="76"/>
      <c r="F17" s="70"/>
      <c r="G17" s="76"/>
      <c r="H17" s="70"/>
      <c r="I17" s="491"/>
      <c r="J17" s="491"/>
      <c r="K17" s="70"/>
      <c r="L17" s="494"/>
      <c r="M17" s="494"/>
      <c r="N17" s="76"/>
      <c r="O17" s="76"/>
      <c r="P17" s="467"/>
      <c r="Q17" s="412"/>
      <c r="R17" s="410"/>
      <c r="S17" s="242"/>
      <c r="T17" s="401"/>
      <c r="U17" s="407"/>
      <c r="V17" s="249"/>
      <c r="W17" s="401"/>
      <c r="X17" s="278"/>
      <c r="Y17" s="78"/>
      <c r="Z17" s="403"/>
      <c r="AA17" s="281"/>
      <c r="AB17" s="79"/>
      <c r="AC17" s="85"/>
      <c r="AD17" s="55" t="str">
        <f>IF(B17="","",(((C17+F17+H17+K17+Q17+N17+O17)*50))+((E17*10))+(((I17+J17+D17+G17+L17+M17+U17)*25)+(X17*25)+(Y17*25)+(Z17*25)+(AA17*25)+(AB17*40)+(AC17*50)+(R17*1)+(S17*1)+(T17*1)))</f>
        <v/>
      </c>
      <c r="AE17" s="55" t="str">
        <f>IF(B17="","",C17+F17+H17+K17+Q17+N17+O17+((I17+J17+D17+G17+U17)/2)+(R17/50)+(S17/50)+(T17/50)+(E17/5))</f>
        <v/>
      </c>
      <c r="AF17" s="56" t="str">
        <f>IF(B17="","",((AE17*50)/AD17))</f>
        <v/>
      </c>
      <c r="AG17" s="57" t="str">
        <f>IF(C17="","",((Z17)*25)/AD17)</f>
        <v/>
      </c>
      <c r="AH17" s="57" t="str">
        <f>IF(B17="","",(X17*25)/AD17)</f>
        <v/>
      </c>
      <c r="AI17" s="57" t="str">
        <f>IF(B17="","",(Y17*25)/AD17)</f>
        <v/>
      </c>
      <c r="AJ17" s="57" t="str">
        <f>IF(B17="","",(AA17*25)/AD17)</f>
        <v/>
      </c>
      <c r="AK17" s="58" t="str">
        <f>IF(B17="","",(AB17*40)/AD17)</f>
        <v/>
      </c>
      <c r="AL17" s="58" t="str">
        <f>IF(B17="","",(AC17*50)/AD17)</f>
        <v/>
      </c>
      <c r="AM17" s="59" t="str">
        <f>IF(B17="","",B17)</f>
        <v/>
      </c>
      <c r="AN17" s="233"/>
      <c r="AO17" s="82"/>
      <c r="AP17" s="234"/>
      <c r="AQ17" s="63" t="str">
        <f>IF(AN17="","",AN17/AO17)</f>
        <v/>
      </c>
      <c r="AR17" s="64" t="str">
        <f>IF(AN17="","",(AD17/AN17)/1000)</f>
        <v/>
      </c>
      <c r="AS17" s="64" t="str">
        <f>IF(AN17="","",AR17*24)</f>
        <v/>
      </c>
      <c r="AT17" s="65" t="str">
        <f>IF(AN17="","",(AD17/1000)*100%/AS17)</f>
        <v/>
      </c>
      <c r="AU17" s="64" t="str">
        <f>IF(AN17="","",(AE17/AN17))</f>
        <v/>
      </c>
      <c r="AV17" s="229" t="str">
        <f>IF(AN17="","",(AD17/AO17)/1000)</f>
        <v/>
      </c>
      <c r="AW17" s="714"/>
      <c r="AX17" s="714"/>
      <c r="AY17" s="714"/>
      <c r="AZ17" s="723"/>
      <c r="BA17" s="714"/>
      <c r="BB17" s="725"/>
      <c r="BC17" s="727"/>
      <c r="BD17" s="727"/>
      <c r="BE17" s="727"/>
      <c r="BF17" s="729"/>
    </row>
    <row r="18" spans="1:58" customHeight="1" ht="13.9">
      <c r="A18" s="485" t="str">
        <f>IF(B18="","",16)</f>
        <v/>
      </c>
      <c r="B18" s="226"/>
      <c r="C18" s="69"/>
      <c r="D18" s="70"/>
      <c r="E18" s="76"/>
      <c r="F18" s="70"/>
      <c r="G18" s="76"/>
      <c r="H18" s="70"/>
      <c r="I18" s="491"/>
      <c r="J18" s="491"/>
      <c r="K18" s="70"/>
      <c r="L18" s="494"/>
      <c r="M18" s="494"/>
      <c r="N18" s="76"/>
      <c r="O18" s="76"/>
      <c r="P18" s="467"/>
      <c r="Q18" s="412"/>
      <c r="R18" s="410"/>
      <c r="S18" s="242"/>
      <c r="T18" s="401"/>
      <c r="U18" s="407"/>
      <c r="V18" s="249"/>
      <c r="W18" s="401"/>
      <c r="X18" s="278"/>
      <c r="Y18" s="78"/>
      <c r="Z18" s="403"/>
      <c r="AA18" s="281"/>
      <c r="AB18" s="79"/>
      <c r="AC18" s="85"/>
      <c r="AD18" s="55" t="str">
        <f>IF(B18="","",(((C18+F18+H18+K18+Q18+N18+O18)*50))+((E18*10))+(((I18+J18+D18+G18+L18+M18+U18)*25)+(X18*25)+(Y18*25)+(Z18*25)+(AA18*25)+(AB18*40)+(AC18*50)+(R18*1)+(S18*1)+(T18*1)))</f>
        <v/>
      </c>
      <c r="AE18" s="55" t="str">
        <f>IF(B18="","",C18+F18+H18+K18+Q18+N18+O18+((I18+J18+D18+G18+U18)/2)+(R18/50)+(S18/50)+(T18/50)+(E18/5))</f>
        <v/>
      </c>
      <c r="AF18" s="56" t="str">
        <f>IF(B18="","",((AE18*50)/AD18))</f>
        <v/>
      </c>
      <c r="AG18" s="57" t="str">
        <f>IF(C18="","",((Z18)*25)/AD18)</f>
        <v/>
      </c>
      <c r="AH18" s="57" t="str">
        <f>IF(B18="","",(X18*25)/AD18)</f>
        <v/>
      </c>
      <c r="AI18" s="57" t="str">
        <f>IF(B18="","",(Y18*25)/AD18)</f>
        <v/>
      </c>
      <c r="AJ18" s="57" t="str">
        <f>IF(B18="","",(AA18*25)/AD18)</f>
        <v/>
      </c>
      <c r="AK18" s="58" t="str">
        <f>IF(B18="","",(AB18*40)/AD18)</f>
        <v/>
      </c>
      <c r="AL18" s="58" t="str">
        <f>IF(B18="","",(AC18*50)/AD18)</f>
        <v/>
      </c>
      <c r="AM18" s="59" t="str">
        <f>IF(B18="","",B18)</f>
        <v/>
      </c>
      <c r="AN18" s="233"/>
      <c r="AO18" s="82"/>
      <c r="AP18" s="234"/>
      <c r="AQ18" s="63" t="str">
        <f>IF(AN18="","",AN18/AO18)</f>
        <v/>
      </c>
      <c r="AR18" s="64" t="str">
        <f>IF(AN18="","",(AD18/AN18)/1000)</f>
        <v/>
      </c>
      <c r="AS18" s="64" t="str">
        <f>IF(AN18="","",AR18*24)</f>
        <v/>
      </c>
      <c r="AT18" s="65" t="str">
        <f>IF(AN18="","",(AD18/1000)*100%/AS18)</f>
        <v/>
      </c>
      <c r="AU18" s="64" t="str">
        <f>IF(AN18="","",(AE18/AN18))</f>
        <v/>
      </c>
      <c r="AV18" s="229" t="str">
        <f>IF(AN18="","",(AD18/AO18)/1000)</f>
        <v/>
      </c>
      <c r="AW18" s="714"/>
      <c r="AX18" s="714"/>
      <c r="AY18" s="714"/>
      <c r="AZ18" s="723"/>
      <c r="BA18" s="714"/>
      <c r="BB18" s="725"/>
      <c r="BC18" s="727"/>
      <c r="BD18" s="727"/>
      <c r="BE18" s="727"/>
      <c r="BF18" s="729"/>
    </row>
    <row r="19" spans="1:58" customHeight="1" ht="13.9">
      <c r="A19" s="485" t="str">
        <f>IF(B19="","",17)</f>
        <v/>
      </c>
      <c r="B19" s="68"/>
      <c r="C19" s="69"/>
      <c r="D19" s="70"/>
      <c r="E19" s="76"/>
      <c r="F19" s="70"/>
      <c r="G19" s="76"/>
      <c r="H19" s="70"/>
      <c r="I19" s="491"/>
      <c r="J19" s="491"/>
      <c r="K19" s="70"/>
      <c r="L19" s="494"/>
      <c r="M19" s="494"/>
      <c r="N19" s="76"/>
      <c r="O19" s="76"/>
      <c r="P19" s="467"/>
      <c r="Q19" s="412"/>
      <c r="R19" s="410"/>
      <c r="S19" s="242"/>
      <c r="T19" s="401"/>
      <c r="U19" s="407"/>
      <c r="V19" s="249"/>
      <c r="W19" s="401"/>
      <c r="X19" s="278"/>
      <c r="Y19" s="78"/>
      <c r="Z19" s="403"/>
      <c r="AA19" s="281"/>
      <c r="AB19" s="79"/>
      <c r="AC19" s="85"/>
      <c r="AD19" s="55" t="str">
        <f>IF(B19="","",(((C19+F19+H19+K19+Q19+N19+O19)*50))+((E19*10))+(((I19+J19+D19+G19+L19+M19+U19)*25)+(X19*25)+(Y19*25)+(Z19*25)+(AA19*25)+(AB19*40)+(AC19*50)+(R19*1)+(S19*1)+(T19*1)))</f>
        <v/>
      </c>
      <c r="AE19" s="55" t="str">
        <f>IF(B19="","",C19+F19+H19+K19+Q19+N19+O19+((I19+J19+D19+G19+U19)/2)+(R19/50)+(S19/50)+(T19/50)+(E19/5))</f>
        <v/>
      </c>
      <c r="AF19" s="56" t="str">
        <f>IF(B19="","",((AE19*50)/AD19))</f>
        <v/>
      </c>
      <c r="AG19" s="57" t="str">
        <f>IF(C19="","",((Z19)*25)/AD19)</f>
        <v/>
      </c>
      <c r="AH19" s="57" t="str">
        <f>IF(B19="","",(X19*25)/AD19)</f>
        <v/>
      </c>
      <c r="AI19" s="57" t="str">
        <f>IF(B19="","",(Y19*25)/AD19)</f>
        <v/>
      </c>
      <c r="AJ19" s="57" t="str">
        <f>IF(B19="","",(AA19*25)/AD19)</f>
        <v/>
      </c>
      <c r="AK19" s="58" t="str">
        <f>IF(B19="","",(AB19*40)/AD19)</f>
        <v/>
      </c>
      <c r="AL19" s="58" t="str">
        <f>IF(B19="","",(AC19*50)/AD19)</f>
        <v/>
      </c>
      <c r="AM19" s="59" t="str">
        <f>IF(B19="","",B19)</f>
        <v/>
      </c>
      <c r="AN19" s="233"/>
      <c r="AO19" s="82"/>
      <c r="AP19" s="234"/>
      <c r="AQ19" s="63" t="str">
        <f>IF(AN19="","",AN19/AO19)</f>
        <v/>
      </c>
      <c r="AR19" s="64" t="str">
        <f>IF(AN19="","",(AD19/AN19)/1000)</f>
        <v/>
      </c>
      <c r="AS19" s="64" t="str">
        <f>IF(AN19="","",AR19*24)</f>
        <v/>
      </c>
      <c r="AT19" s="65" t="str">
        <f>IF(AN19="","",(AD19/1000)*100%/AS19)</f>
        <v/>
      </c>
      <c r="AU19" s="64" t="str">
        <f>IF(AN19="","",(AE19/AN19))</f>
        <v/>
      </c>
      <c r="AV19" s="229" t="str">
        <f>IF(AN19="","",(AD19/AO19)/1000)</f>
        <v/>
      </c>
      <c r="AW19" s="714"/>
      <c r="AX19" s="714"/>
      <c r="AY19" s="714"/>
      <c r="AZ19" s="723"/>
      <c r="BA19" s="714"/>
      <c r="BB19" s="725"/>
      <c r="BC19" s="727"/>
      <c r="BD19" s="727"/>
      <c r="BE19" s="727"/>
      <c r="BF19" s="729"/>
    </row>
    <row r="20" spans="1:58" customHeight="1" ht="13.9">
      <c r="A20" s="485" t="str">
        <f>IF(B20="","",1+A19)</f>
        <v/>
      </c>
      <c r="B20" s="68"/>
      <c r="C20" s="69"/>
      <c r="D20" s="70"/>
      <c r="E20" s="76"/>
      <c r="F20" s="70"/>
      <c r="G20" s="76"/>
      <c r="H20" s="70"/>
      <c r="I20" s="491"/>
      <c r="J20" s="491"/>
      <c r="K20" s="70"/>
      <c r="L20" s="494"/>
      <c r="M20" s="494"/>
      <c r="N20" s="76"/>
      <c r="O20" s="76"/>
      <c r="P20" s="467"/>
      <c r="Q20" s="412"/>
      <c r="R20" s="410"/>
      <c r="S20" s="242"/>
      <c r="T20" s="401"/>
      <c r="U20" s="407"/>
      <c r="V20" s="249"/>
      <c r="W20" s="401"/>
      <c r="X20" s="278"/>
      <c r="Y20" s="78"/>
      <c r="Z20" s="403"/>
      <c r="AA20" s="281"/>
      <c r="AB20" s="79"/>
      <c r="AC20" s="85"/>
      <c r="AD20" s="55" t="str">
        <f>IF(B20="","",(((C20+F20+H20+K20+Q20+N20+O20)*50))+((E20*10))+(((I20+J20+D20+G20+L20+M20+U20)*25)+(X20*25)+(Y20*25)+(Z20*25)+(AA20*25)+(AB20*40)+(AC20*50)+(R20*1)+(S20*1)+(T20*1)))</f>
        <v/>
      </c>
      <c r="AE20" s="55" t="str">
        <f>IF(B20="","",C20+F20+H20+K20+Q20+N20+O20+((I20+J20+D20+G20+U20)/2)+(R20/50)+(S20/50)+(T20/50)+(E20/5))</f>
        <v/>
      </c>
      <c r="AF20" s="56" t="str">
        <f>IF(B20="","",((AE20*50)/AD20))</f>
        <v/>
      </c>
      <c r="AG20" s="57" t="str">
        <f>IF(C20="","",((Z20)*25)/AD20)</f>
        <v/>
      </c>
      <c r="AH20" s="57" t="str">
        <f>IF(B20="","",(X20*25)/AD20)</f>
        <v/>
      </c>
      <c r="AI20" s="57" t="str">
        <f>IF(B20="","",(Y20*25)/AD20)</f>
        <v/>
      </c>
      <c r="AJ20" s="57" t="str">
        <f>IF(B20="","",(AA20*25)/AD20)</f>
        <v/>
      </c>
      <c r="AK20" s="58" t="str">
        <f>IF(B20="","",(AB20*40)/AD20)</f>
        <v/>
      </c>
      <c r="AL20" s="58" t="str">
        <f>IF(B20="","",(AC20*50)/AD20)</f>
        <v/>
      </c>
      <c r="AM20" s="59" t="str">
        <f>IF(B20="","",B20)</f>
        <v/>
      </c>
      <c r="AN20" s="233"/>
      <c r="AO20" s="82"/>
      <c r="AP20" s="234"/>
      <c r="AQ20" s="63" t="str">
        <f>IF(AN20="","",AN20/AO20)</f>
        <v/>
      </c>
      <c r="AR20" s="64" t="str">
        <f>IF(AN20="","",(AD20/AN20)/1000)</f>
        <v/>
      </c>
      <c r="AS20" s="64" t="str">
        <f>IF(AN20="","",AR20*24)</f>
        <v/>
      </c>
      <c r="AT20" s="65" t="str">
        <f>IF(AN20="","",(AD20/1000)*100%/AS20)</f>
        <v/>
      </c>
      <c r="AU20" s="64" t="str">
        <f>IF(AN20="","",(AE20/AN20))</f>
        <v/>
      </c>
      <c r="AV20" s="229" t="str">
        <f>IF(AN20="","",(AD20/AO20)/1000)</f>
        <v/>
      </c>
      <c r="AW20" s="714"/>
      <c r="AX20" s="714"/>
      <c r="AY20" s="714"/>
      <c r="AZ20" s="723"/>
      <c r="BA20" s="714"/>
      <c r="BB20" s="725"/>
      <c r="BC20" s="727"/>
      <c r="BD20" s="727"/>
      <c r="BE20" s="727"/>
      <c r="BF20" s="729"/>
    </row>
    <row r="21" spans="1:58" customHeight="1" ht="13.9">
      <c r="A21" s="485" t="str">
        <f>IF(B21="","",1+A20)</f>
        <v/>
      </c>
      <c r="B21" s="68"/>
      <c r="C21" s="69"/>
      <c r="D21" s="70"/>
      <c r="E21" s="76"/>
      <c r="F21" s="70"/>
      <c r="G21" s="76"/>
      <c r="H21" s="70"/>
      <c r="I21" s="491"/>
      <c r="J21" s="491"/>
      <c r="K21" s="70"/>
      <c r="L21" s="494"/>
      <c r="M21" s="494"/>
      <c r="N21" s="76"/>
      <c r="O21" s="76"/>
      <c r="P21" s="467"/>
      <c r="Q21" s="412"/>
      <c r="R21" s="410"/>
      <c r="S21" s="242"/>
      <c r="T21" s="401"/>
      <c r="U21" s="407"/>
      <c r="V21" s="249"/>
      <c r="W21" s="401"/>
      <c r="X21" s="278"/>
      <c r="Y21" s="78"/>
      <c r="Z21" s="403"/>
      <c r="AA21" s="281"/>
      <c r="AB21" s="79"/>
      <c r="AC21" s="85"/>
      <c r="AD21" s="55"/>
      <c r="AE21" s="55" t="str">
        <f>IF(B21="","",C21+F21+H21+K21+Q21+N21+O21+((I21+J21+D21+G21+U21)/2)+(R21/50)+(S21/50)+(T21/50)+(E21/5))</f>
        <v/>
      </c>
      <c r="AF21" s="56" t="str">
        <f>IF(B21="","",((AE21*50)/AD21))</f>
        <v/>
      </c>
      <c r="AG21" s="57" t="str">
        <f>IF(C21="","",((Z21)*25)/AD21)</f>
        <v/>
      </c>
      <c r="AH21" s="57" t="str">
        <f>IF(B21="","",(X21*25)/AD21)</f>
        <v/>
      </c>
      <c r="AI21" s="57" t="str">
        <f>IF(B21="","",(Y21*25)/AD21)</f>
        <v/>
      </c>
      <c r="AJ21" s="57" t="str">
        <f>IF(B21="","",(AA21*25)/AD21)</f>
        <v/>
      </c>
      <c r="AK21" s="58" t="str">
        <f>IF(B21="","",(AB21*40)/AD21)</f>
        <v/>
      </c>
      <c r="AL21" s="58" t="str">
        <f>IF(B21="","",(AC21*50)/AD21)</f>
        <v/>
      </c>
      <c r="AM21" s="59" t="str">
        <f>IF(B21="","",B21)</f>
        <v/>
      </c>
      <c r="AN21" s="233"/>
      <c r="AO21" s="82"/>
      <c r="AP21" s="234"/>
      <c r="AQ21" s="63" t="str">
        <f>IF(AN21="","",AN21/AO21)</f>
        <v/>
      </c>
      <c r="AR21" s="64" t="str">
        <f>IF(AN21="","",(AD21/AN21)/1000)</f>
        <v/>
      </c>
      <c r="AS21" s="64" t="str">
        <f>IF(AN21="","",AR21*24)</f>
        <v/>
      </c>
      <c r="AT21" s="65" t="str">
        <f>IF(AN21="","",(AD21/1000)*100%/AS21)</f>
        <v/>
      </c>
      <c r="AU21" s="64" t="str">
        <f>IF(AN21="","",(AE21/AN21))</f>
        <v/>
      </c>
      <c r="AV21" s="229" t="str">
        <f>IF(AN21="","",(AD21/AO21)/1000)</f>
        <v/>
      </c>
      <c r="AW21" s="714"/>
      <c r="AX21" s="714"/>
      <c r="AY21" s="714"/>
      <c r="AZ21" s="723"/>
      <c r="BA21" s="714"/>
      <c r="BB21" s="725"/>
      <c r="BC21" s="727"/>
      <c r="BD21" s="727"/>
      <c r="BE21" s="727"/>
      <c r="BF21" s="729"/>
    </row>
    <row r="22" spans="1:58" customHeight="1" ht="13.9">
      <c r="A22" s="485" t="str">
        <f>IF(B22="","",1+A21)</f>
        <v/>
      </c>
      <c r="B22" s="68"/>
      <c r="C22" s="69"/>
      <c r="D22" s="70"/>
      <c r="E22" s="76"/>
      <c r="F22" s="70"/>
      <c r="G22" s="76"/>
      <c r="H22" s="70"/>
      <c r="I22" s="76"/>
      <c r="J22" s="76"/>
      <c r="K22" s="70"/>
      <c r="L22" s="494"/>
      <c r="M22" s="494"/>
      <c r="N22" s="76"/>
      <c r="O22" s="76"/>
      <c r="P22" s="467"/>
      <c r="Q22" s="412"/>
      <c r="R22" s="410"/>
      <c r="S22" s="242"/>
      <c r="T22" s="401"/>
      <c r="U22" s="407"/>
      <c r="V22" s="249"/>
      <c r="W22" s="401"/>
      <c r="X22" s="278"/>
      <c r="Y22" s="78"/>
      <c r="Z22" s="403"/>
      <c r="AA22" s="281"/>
      <c r="AB22" s="79"/>
      <c r="AC22" s="85"/>
      <c r="AD22" s="55" t="str">
        <f>IF(B22="","",(((C22+F22+H22+K22+Q22+N22+O22)*50))+((E22*10))+(((I22+J22+D22+G22+L22+M22+U22)*25)+(X22*25)+(Y22*25)+(Z22*25)+(AA22*25)+(AB22*40)+(AC22*50)+(R22*1)+(S22*1)+(T22*1)))</f>
        <v/>
      </c>
      <c r="AE22" s="55" t="str">
        <f>IF(B22="","",C22+F22+H22+K22+Q22+N22+O22+((I22+J22+D22+G22+U22)/2)+(R22/50)+(S22/50)+(T22/50)+(E22/5))</f>
        <v/>
      </c>
      <c r="AF22" s="56" t="str">
        <f>IF(B22="","",((AE22*50)/AD22))</f>
        <v/>
      </c>
      <c r="AG22" s="57" t="str">
        <f>IF(C22="","",((Z22)*25)/AD22)</f>
        <v/>
      </c>
      <c r="AH22" s="57" t="str">
        <f>IF(B22="","",(X22*25)/AD22)</f>
        <v/>
      </c>
      <c r="AI22" s="57" t="str">
        <f>IF(B22="","",(Y22*25)/AD22)</f>
        <v/>
      </c>
      <c r="AJ22" s="57" t="str">
        <f>IF(B22="","",(AA22*25)/AD22)</f>
        <v/>
      </c>
      <c r="AK22" s="58" t="str">
        <f>IF(B22="","",(AB22*40)/AD22)</f>
        <v/>
      </c>
      <c r="AL22" s="58" t="str">
        <f>IF(B22="","",(AC22*50)/AD22)</f>
        <v/>
      </c>
      <c r="AM22" s="59" t="str">
        <f>IF(B22="","",B22)</f>
        <v/>
      </c>
      <c r="AN22" s="233"/>
      <c r="AO22" s="82"/>
      <c r="AP22" s="234"/>
      <c r="AQ22" s="63" t="str">
        <f>IF(AN22="","",AN22/AO22)</f>
        <v/>
      </c>
      <c r="AR22" s="64" t="str">
        <f>IF(AN22="","",(AD22/AN22)/1000)</f>
        <v/>
      </c>
      <c r="AS22" s="64" t="str">
        <f>IF(AN22="","",AR22*24)</f>
        <v/>
      </c>
      <c r="AT22" s="65" t="str">
        <f>IF(AN22="","",(AD22/1000)*100%/AS22)</f>
        <v/>
      </c>
      <c r="AU22" s="64" t="str">
        <f>IF(AN22="","",(AE22/AN22))</f>
        <v/>
      </c>
      <c r="AV22" s="229" t="str">
        <f>IF(AN22="","",(AD22/AO22)/1000)</f>
        <v/>
      </c>
      <c r="AW22" s="714"/>
      <c r="AX22" s="714"/>
      <c r="AY22" s="714"/>
      <c r="AZ22" s="723"/>
      <c r="BA22" s="714"/>
      <c r="BB22" s="725"/>
      <c r="BC22" s="727"/>
      <c r="BD22" s="727"/>
      <c r="BE22" s="727"/>
      <c r="BF22" s="729"/>
    </row>
    <row r="23" spans="1:58" customHeight="1" ht="13.9">
      <c r="A23" s="485" t="str">
        <f>IF(B23="","",1+A22)</f>
        <v/>
      </c>
      <c r="B23" s="68"/>
      <c r="C23" s="69"/>
      <c r="D23" s="70"/>
      <c r="E23" s="76"/>
      <c r="F23" s="70"/>
      <c r="G23" s="76"/>
      <c r="H23" s="70"/>
      <c r="I23" s="76"/>
      <c r="J23" s="76"/>
      <c r="K23" s="70"/>
      <c r="L23" s="494"/>
      <c r="M23" s="494"/>
      <c r="N23" s="76"/>
      <c r="O23" s="76"/>
      <c r="P23" s="467"/>
      <c r="Q23" s="412"/>
      <c r="R23" s="410"/>
      <c r="S23" s="242"/>
      <c r="T23" s="401"/>
      <c r="U23" s="407"/>
      <c r="V23" s="249"/>
      <c r="W23" s="401"/>
      <c r="X23" s="278"/>
      <c r="Y23" s="78"/>
      <c r="Z23" s="403"/>
      <c r="AA23" s="281"/>
      <c r="AB23" s="79"/>
      <c r="AC23" s="85"/>
      <c r="AD23" s="55"/>
      <c r="AE23" s="55" t="str">
        <f>IF(B23="","",C23+F23+H23+K23+Q23+N23+O23+((I23+J23+D23+G23+U23)/2)+(R23/50)+(S23/50)+(T23/50)+(E23/5))</f>
        <v/>
      </c>
      <c r="AF23" s="56" t="str">
        <f>IF(B23="","",((AE23*50)/AD23))</f>
        <v/>
      </c>
      <c r="AG23" s="57" t="str">
        <f>IF(C23="","",((Z23)*25)/AD23)</f>
        <v/>
      </c>
      <c r="AH23" s="57" t="str">
        <f>IF(B23="","",(X23*25)/AD23)</f>
        <v/>
      </c>
      <c r="AI23" s="57" t="str">
        <f>IF(B23="","",(Y23*25)/AD23)</f>
        <v/>
      </c>
      <c r="AJ23" s="57" t="str">
        <f>IF(B23="","",(AA23*25)/AD23)</f>
        <v/>
      </c>
      <c r="AK23" s="58" t="str">
        <f>IF(B23="","",(AB23*40)/AD23)</f>
        <v/>
      </c>
      <c r="AL23" s="58" t="str">
        <f>IF(B23="","",(AC23*50)/AD23)</f>
        <v/>
      </c>
      <c r="AM23" s="59" t="str">
        <f>IF(B23="","",B23)</f>
        <v/>
      </c>
      <c r="AN23" s="233"/>
      <c r="AO23" s="82"/>
      <c r="AP23" s="234"/>
      <c r="AQ23" s="63" t="str">
        <f>IF(AN23="","",AN23/AO23)</f>
        <v/>
      </c>
      <c r="AR23" s="64" t="str">
        <f>IF(AN23="","",(AD23/AN23)/1000)</f>
        <v/>
      </c>
      <c r="AS23" s="64" t="str">
        <f>IF(AN23="","",AR23*24)</f>
        <v/>
      </c>
      <c r="AT23" s="65" t="str">
        <f>IF(AN23="","",(AD23/1000)*100%/AS23)</f>
        <v/>
      </c>
      <c r="AU23" s="64" t="str">
        <f>IF(AN23="","",(AE23/AN23))</f>
        <v/>
      </c>
      <c r="AV23" s="229" t="str">
        <f>IF(AN23="","",(AD23/AO23)/1000)</f>
        <v/>
      </c>
      <c r="AW23" s="714"/>
      <c r="AX23" s="714"/>
      <c r="AY23" s="714"/>
      <c r="AZ23" s="723"/>
      <c r="BA23" s="714"/>
      <c r="BB23" s="725"/>
      <c r="BC23" s="727"/>
      <c r="BD23" s="727"/>
      <c r="BE23" s="727"/>
      <c r="BF23" s="729"/>
    </row>
    <row r="24" spans="1:58" customHeight="1" ht="13.9">
      <c r="A24" s="485" t="str">
        <f>IF(B24="","",1+A23)</f>
        <v/>
      </c>
      <c r="B24" s="68"/>
      <c r="C24" s="69"/>
      <c r="D24" s="70"/>
      <c r="E24" s="76"/>
      <c r="F24" s="70"/>
      <c r="G24" s="76"/>
      <c r="H24" s="70"/>
      <c r="I24" s="76"/>
      <c r="J24" s="76"/>
      <c r="K24" s="70"/>
      <c r="L24" s="494"/>
      <c r="M24" s="494"/>
      <c r="N24" s="76"/>
      <c r="O24" s="76"/>
      <c r="P24" s="467"/>
      <c r="Q24" s="412"/>
      <c r="R24" s="410"/>
      <c r="S24" s="242"/>
      <c r="T24" s="401"/>
      <c r="U24" s="407"/>
      <c r="V24" s="249"/>
      <c r="W24" s="401"/>
      <c r="X24" s="278"/>
      <c r="Y24" s="78"/>
      <c r="Z24" s="403"/>
      <c r="AA24" s="281"/>
      <c r="AB24" s="79"/>
      <c r="AC24" s="85"/>
      <c r="AD24" s="55" t="str">
        <f>IF(B24="","",(((C24+F24+H24+K24+Q24+N24+O24)*50))+((E24*10))+(((I24+J24+D24+G24+L24+M24+U24)*25)+(X24*25)+(Y24*25)+(Z24*25)+(AA24*25)+(AB24*40)+(AC24*50)+(R24*1)+(S24*1)+(T24*1)))</f>
        <v/>
      </c>
      <c r="AE24" s="55" t="str">
        <f>IF(B24="","",C24+F24+H24+K24+Q24+N24+O24+((I24+J24+D24+G24+U24)/2)+(R24/50)+(S24/50)+(T24/50)+(E24/5))</f>
        <v/>
      </c>
      <c r="AF24" s="56" t="str">
        <f>IF(B24="","",((AE24*50)/AD24))</f>
        <v/>
      </c>
      <c r="AG24" s="57" t="str">
        <f>IF(C24="","",((Z24)*25)/AD24)</f>
        <v/>
      </c>
      <c r="AH24" s="57" t="str">
        <f>IF(B24="","",(X24*25)/AD24)</f>
        <v/>
      </c>
      <c r="AI24" s="57" t="str">
        <f>IF(B24="","",(Y24*25)/AD24)</f>
        <v/>
      </c>
      <c r="AJ24" s="57" t="str">
        <f>IF(B24="","",(AA24*25)/AD24)</f>
        <v/>
      </c>
      <c r="AK24" s="58" t="str">
        <f>IF(B24="","",(AB24*40)/AD24)</f>
        <v/>
      </c>
      <c r="AL24" s="58" t="str">
        <f>IF(B24="","",(AC24*50)/AD24)</f>
        <v/>
      </c>
      <c r="AM24" s="59" t="str">
        <f>IF(B24="","",B24)</f>
        <v/>
      </c>
      <c r="AN24" s="233"/>
      <c r="AO24" s="82"/>
      <c r="AP24" s="234"/>
      <c r="AQ24" s="63" t="str">
        <f>IF(AN24="","",AN24/AO24)</f>
        <v/>
      </c>
      <c r="AR24" s="64" t="str">
        <f>IF(AN24="","",(AD24/AN24)/1000)</f>
        <v/>
      </c>
      <c r="AS24" s="64" t="str">
        <f>IF(AN24="","",AR24*24)</f>
        <v/>
      </c>
      <c r="AT24" s="65" t="str">
        <f>IF(AN24="","",(AD24/1000)*100%/AS24)</f>
        <v/>
      </c>
      <c r="AU24" s="64" t="str">
        <f>IF(AN24="","",(AE24/AN24))</f>
        <v/>
      </c>
      <c r="AV24" s="229" t="str">
        <f>IF(AN24="","",(AD24/AO24)/1000)</f>
        <v/>
      </c>
      <c r="AW24" s="714"/>
      <c r="AX24" s="714"/>
      <c r="AY24" s="714"/>
      <c r="AZ24" s="723"/>
      <c r="BA24" s="714"/>
      <c r="BB24" s="725"/>
      <c r="BC24" s="727"/>
      <c r="BD24" s="727"/>
      <c r="BE24" s="727"/>
      <c r="BF24" s="729"/>
    </row>
    <row r="25" spans="1:58" customHeight="1" ht="13.9">
      <c r="A25" s="485"/>
      <c r="B25" s="68"/>
      <c r="C25" s="415"/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/>
      <c r="S25" s="242"/>
      <c r="T25" s="401"/>
      <c r="U25" s="407"/>
      <c r="V25" s="249"/>
      <c r="W25" s="401"/>
      <c r="X25" s="278"/>
      <c r="Y25" s="78"/>
      <c r="Z25" s="403"/>
      <c r="AA25" s="281"/>
      <c r="AB25" s="79"/>
      <c r="AC25" s="85"/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str">
        <f>IF(C25="","",((Z25)*25)/AD25)</f>
        <v/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492" t="str">
        <f>IF(AN25="","",(AD25/AO25)/1000)</f>
        <v/>
      </c>
      <c r="AW25" s="714"/>
      <c r="AX25" s="714"/>
      <c r="AY25" s="714"/>
      <c r="AZ25" s="723"/>
      <c r="BA25" s="714"/>
      <c r="BB25" s="725"/>
      <c r="BC25" s="727"/>
      <c r="BD25" s="727"/>
      <c r="BE25" s="727"/>
      <c r="BF25" s="729"/>
    </row>
    <row r="26" spans="1:58" customHeight="1" ht="13.9">
      <c r="A26" s="485"/>
      <c r="B26" s="68"/>
      <c r="C26" s="69"/>
      <c r="D26" s="70"/>
      <c r="E26" s="76"/>
      <c r="F26" s="70"/>
      <c r="G26" s="76"/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/>
      <c r="S26" s="242"/>
      <c r="T26" s="401"/>
      <c r="U26" s="407"/>
      <c r="V26" s="249"/>
      <c r="W26" s="401"/>
      <c r="X26" s="278"/>
      <c r="Y26" s="78"/>
      <c r="Z26" s="403"/>
      <c r="AA26" s="281"/>
      <c r="AB26" s="79"/>
      <c r="AC26" s="85"/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str">
        <f>IF(C26="","",((Z26)*25)/AD26)</f>
        <v/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229" t="str">
        <f>IF(AN26="","",(AD26/AO26)/1000)</f>
        <v/>
      </c>
      <c r="AW26" s="714"/>
      <c r="AX26" s="714"/>
      <c r="AY26" s="714"/>
      <c r="AZ26" s="723"/>
      <c r="BA26" s="714"/>
      <c r="BB26" s="725"/>
      <c r="BC26" s="727"/>
      <c r="BD26" s="727"/>
      <c r="BE26" s="727"/>
      <c r="BF26" s="729"/>
    </row>
    <row r="27" spans="1:58" customHeight="1" ht="13.9">
      <c r="A27" s="485"/>
      <c r="B27" s="68"/>
      <c r="C27" s="69"/>
      <c r="D27" s="70"/>
      <c r="E27" s="76"/>
      <c r="F27" s="70"/>
      <c r="G27" s="76"/>
      <c r="H27" s="70"/>
      <c r="I27" s="76"/>
      <c r="J27" s="76"/>
      <c r="K27" s="70"/>
      <c r="L27" s="494"/>
      <c r="M27" s="494"/>
      <c r="N27" s="76"/>
      <c r="O27" s="76"/>
      <c r="P27" s="467"/>
      <c r="Q27" s="412"/>
      <c r="R27" s="410"/>
      <c r="S27" s="242"/>
      <c r="T27" s="401"/>
      <c r="U27" s="407"/>
      <c r="V27" s="249"/>
      <c r="W27" s="401"/>
      <c r="X27" s="278"/>
      <c r="Y27" s="78"/>
      <c r="Z27" s="403"/>
      <c r="AA27" s="281"/>
      <c r="AB27" s="79"/>
      <c r="AC27" s="85"/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str">
        <f>IF(C27="","",((Z27)*25)/AD27)</f>
        <v/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23"/>
      <c r="BA27" s="714"/>
      <c r="BB27" s="725"/>
      <c r="BC27" s="727"/>
      <c r="BD27" s="727"/>
      <c r="BE27" s="727"/>
      <c r="BF27" s="729"/>
    </row>
    <row r="28" spans="1:58">
      <c r="A28" s="41"/>
      <c r="B28" s="68"/>
      <c r="C28" s="69"/>
      <c r="D28" s="70"/>
      <c r="E28" s="76"/>
      <c r="F28" s="70"/>
      <c r="G28" s="76"/>
      <c r="H28" s="70"/>
      <c r="I28" s="75"/>
      <c r="J28" s="75"/>
      <c r="K28" s="70"/>
      <c r="L28" s="494"/>
      <c r="M28" s="494"/>
      <c r="N28" s="76"/>
      <c r="O28" s="76"/>
      <c r="P28" s="467"/>
      <c r="Q28" s="412"/>
      <c r="R28" s="410"/>
      <c r="S28" s="242"/>
      <c r="T28" s="401"/>
      <c r="U28" s="407"/>
      <c r="V28" s="249"/>
      <c r="W28" s="401"/>
      <c r="X28" s="278"/>
      <c r="Y28" s="78"/>
      <c r="Z28" s="403"/>
      <c r="AA28" s="281"/>
      <c r="AB28" s="79"/>
      <c r="AC28" s="85"/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str">
        <f>IF(C28="","",((Z28)*25)/AD28)</f>
        <v/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23"/>
      <c r="BA28" s="714"/>
      <c r="BB28" s="725"/>
      <c r="BC28" s="727"/>
      <c r="BD28" s="727"/>
      <c r="BE28" s="727"/>
      <c r="BF28" s="729"/>
    </row>
    <row r="29" spans="1:58">
      <c r="A29" s="41"/>
      <c r="B29" s="68"/>
      <c r="C29" s="69"/>
      <c r="D29" s="70"/>
      <c r="E29" s="76"/>
      <c r="F29" s="70"/>
      <c r="G29" s="430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/>
      <c r="S29" s="242"/>
      <c r="T29" s="401"/>
      <c r="U29" s="407"/>
      <c r="V29" s="249"/>
      <c r="W29" s="401"/>
      <c r="X29" s="278"/>
      <c r="Y29" s="78"/>
      <c r="Z29" s="403"/>
      <c r="AA29" s="281"/>
      <c r="AB29" s="79"/>
      <c r="AC29" s="85"/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str">
        <f>IF(C29="","",((Z29)*25)/AD29)</f>
        <v/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23"/>
      <c r="BA29" s="714"/>
      <c r="BB29" s="725"/>
      <c r="BC29" s="727"/>
      <c r="BD29" s="727"/>
      <c r="BE29" s="727"/>
      <c r="BF29" s="729"/>
    </row>
    <row r="30" spans="1:58">
      <c r="A30" s="41" t="str">
        <f>IF(B30="","",1+A29)</f>
        <v/>
      </c>
      <c r="B30" s="425"/>
      <c r="C30" s="426"/>
      <c r="D30" s="427"/>
      <c r="E30" s="428"/>
      <c r="F30" s="460"/>
      <c r="G30" s="459"/>
      <c r="H30" s="427"/>
      <c r="I30" s="429"/>
      <c r="J30" s="429"/>
      <c r="K30" s="427"/>
      <c r="L30" s="495"/>
      <c r="M30" s="495"/>
      <c r="N30" s="430"/>
      <c r="O30" s="430"/>
      <c r="P30" s="468"/>
      <c r="Q30" s="431"/>
      <c r="R30" s="432"/>
      <c r="S30" s="433"/>
      <c r="T30" s="434"/>
      <c r="U30" s="435"/>
      <c r="V30" s="436"/>
      <c r="W30" s="434"/>
      <c r="X30" s="279"/>
      <c r="Y30" s="437"/>
      <c r="Z30" s="438"/>
      <c r="AA30" s="439"/>
      <c r="AB30" s="440"/>
      <c r="AC30" s="441"/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str">
        <f>IF(C30="","",((Z30)*25)/AD30)</f>
        <v/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443"/>
      <c r="AO30" s="444"/>
      <c r="AP30" s="445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23"/>
      <c r="BA30" s="714"/>
      <c r="BB30" s="725"/>
      <c r="BC30" s="727"/>
      <c r="BD30" s="727"/>
      <c r="BE30" s="727"/>
      <c r="BF30" s="729"/>
    </row>
    <row r="31" spans="1:58">
      <c r="A31" s="41" t="str">
        <f>IF(B31="","",1+A30)</f>
        <v/>
      </c>
      <c r="B31" s="425"/>
      <c r="C31" s="426"/>
      <c r="D31" s="427"/>
      <c r="E31" s="428"/>
      <c r="F31" s="460"/>
      <c r="G31" s="428"/>
      <c r="H31" s="427"/>
      <c r="I31" s="429"/>
      <c r="J31" s="429"/>
      <c r="K31" s="427"/>
      <c r="L31" s="495"/>
      <c r="M31" s="495"/>
      <c r="N31" s="430"/>
      <c r="O31" s="430"/>
      <c r="P31" s="468"/>
      <c r="Q31" s="431"/>
      <c r="R31" s="432"/>
      <c r="S31" s="433"/>
      <c r="T31" s="434"/>
      <c r="U31" s="435"/>
      <c r="V31" s="436"/>
      <c r="W31" s="434"/>
      <c r="X31" s="279"/>
      <c r="Y31" s="437"/>
      <c r="Z31" s="438"/>
      <c r="AA31" s="439"/>
      <c r="AB31" s="440"/>
      <c r="AC31" s="441"/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str">
        <f>IF(C31="","",((Z31)*25)/AD31)</f>
        <v/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23"/>
      <c r="BA31" s="714"/>
      <c r="BB31" s="725"/>
      <c r="BC31" s="727"/>
      <c r="BD31" s="727"/>
      <c r="BE31" s="727"/>
      <c r="BF31" s="729"/>
    </row>
    <row r="32" spans="1:58">
      <c r="A32" s="41" t="str">
        <f>IF(B32="","",1+A31)</f>
        <v/>
      </c>
      <c r="B32" s="425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/>
      <c r="S32" s="433"/>
      <c r="T32" s="434"/>
      <c r="U32" s="435"/>
      <c r="V32" s="436"/>
      <c r="W32" s="434"/>
      <c r="X32" s="279"/>
      <c r="Y32" s="437"/>
      <c r="Z32" s="438"/>
      <c r="AA32" s="439"/>
      <c r="AB32" s="440"/>
      <c r="AC32" s="441"/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23"/>
      <c r="BA32" s="714"/>
      <c r="BB32" s="725"/>
      <c r="BC32" s="727"/>
      <c r="BD32" s="727"/>
      <c r="BE32" s="727"/>
      <c r="BF32" s="729"/>
    </row>
    <row r="33" spans="1:58">
      <c r="A33" s="41" t="str">
        <f>IF(B33="","",1+A32)</f>
        <v/>
      </c>
      <c r="B33" s="425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23"/>
      <c r="BA33" s="714"/>
      <c r="BB33" s="725"/>
      <c r="BC33" s="727"/>
      <c r="BD33" s="727"/>
      <c r="BE33" s="727"/>
      <c r="BF33" s="729"/>
    </row>
    <row r="34" spans="1:58">
      <c r="A34" s="41" t="str">
        <f>IF(B34="","",1+A33)</f>
        <v/>
      </c>
      <c r="B34" s="442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452"/>
      <c r="AX34" s="452"/>
      <c r="AY34" s="452"/>
      <c r="AZ34" s="144"/>
      <c r="BA34" s="452"/>
      <c r="BB34" s="455"/>
      <c r="BC34" s="142"/>
      <c r="BD34" s="142"/>
      <c r="BE34" s="142"/>
      <c r="BF34" s="283"/>
    </row>
    <row r="35" spans="1:58">
      <c r="A35" s="41" t="str">
        <f>IF(B35="","",1+A34)</f>
        <v/>
      </c>
      <c r="B35" s="95"/>
      <c r="C35" s="96"/>
      <c r="D35" s="387"/>
      <c r="E35" s="250"/>
      <c r="F35" s="461"/>
      <c r="G35" s="100"/>
      <c r="H35" s="97"/>
      <c r="I35" s="101"/>
      <c r="J35" s="101"/>
      <c r="K35" s="97"/>
      <c r="L35" s="496"/>
      <c r="M35" s="496"/>
      <c r="N35" s="102"/>
      <c r="O35" s="102"/>
      <c r="P35" s="469"/>
      <c r="Q35" s="413"/>
      <c r="R35" s="411"/>
      <c r="S35" s="243"/>
      <c r="T35" s="402"/>
      <c r="U35" s="408"/>
      <c r="V35" s="250"/>
      <c r="W35" s="402"/>
      <c r="X35" s="400"/>
      <c r="Y35" s="104"/>
      <c r="Z35" s="404"/>
      <c r="AA35" s="282"/>
      <c r="AB35" s="105"/>
      <c r="AC35" s="106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6"/>
      <c r="AO35" s="447"/>
      <c r="AP35" s="383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3"/>
      <c r="AX35" s="453"/>
      <c r="AY35" s="453"/>
      <c r="AZ35" s="454"/>
      <c r="BA35" s="453"/>
      <c r="BB35" s="456"/>
      <c r="BC35" s="457"/>
      <c r="BD35" s="457"/>
      <c r="BE35" s="457"/>
      <c r="BF35" s="458"/>
    </row>
    <row r="36" spans="1:58">
      <c r="A36" s="114"/>
      <c r="B36" s="115" t="s">
        <v>67</v>
      </c>
      <c r="C36" s="536">
        <f>SUM(C4:C35)</f>
        <v>0</v>
      </c>
      <c r="D36" s="536">
        <f>SUM(D4:D35)</f>
        <v>0</v>
      </c>
      <c r="E36" s="536">
        <f>SUM(E4:E35)</f>
        <v>0</v>
      </c>
      <c r="F36" s="536">
        <f>SUM(F4:F35)</f>
        <v>0</v>
      </c>
      <c r="G36" s="536">
        <f>SUM(G4:G35)</f>
        <v>0</v>
      </c>
      <c r="H36" s="536">
        <f>SUM(H4:H35)</f>
        <v>0</v>
      </c>
      <c r="I36" s="536">
        <f>SUM(I4:I35)</f>
        <v>0</v>
      </c>
      <c r="J36" s="536">
        <f>SUM(J4:J35)</f>
        <v>0</v>
      </c>
      <c r="K36" s="536">
        <f>SUM(K4:K35)</f>
        <v>0</v>
      </c>
      <c r="L36" s="535">
        <f>SUM(L4:L35)</f>
        <v>0</v>
      </c>
      <c r="M36" s="535">
        <f>SUM(M4:M35)</f>
        <v>0</v>
      </c>
      <c r="N36" s="535">
        <f>SUM(N4:N35)</f>
        <v>0</v>
      </c>
      <c r="O36" s="535">
        <f>SUM(O4:O35)</f>
        <v>0</v>
      </c>
      <c r="P36" s="535">
        <f>SUM(P4:P35)</f>
        <v>0</v>
      </c>
      <c r="Q36" s="536">
        <f>SUM(Q4:Q35)</f>
        <v>0</v>
      </c>
      <c r="R36" s="536">
        <f>SUM(R4:R35)</f>
        <v>0</v>
      </c>
      <c r="S36" s="536">
        <f>SUM(S4:S35)</f>
        <v>0</v>
      </c>
      <c r="T36" s="536">
        <f>SUM(T4:T35)</f>
        <v>0</v>
      </c>
      <c r="U36" s="535">
        <f>SUM(U4:U35)</f>
        <v>0</v>
      </c>
      <c r="V36" s="535">
        <f>SUM(V4:V35)</f>
        <v>0</v>
      </c>
      <c r="W36" s="535">
        <f>SUM(W4:W35)</f>
        <v>0</v>
      </c>
      <c r="X36" s="535">
        <f>SUM(X4:X35)</f>
        <v>0</v>
      </c>
      <c r="Y36" s="535">
        <f>SUM(Y4:Y35)</f>
        <v>0</v>
      </c>
      <c r="Z36" s="535">
        <f>SUM(Z4:Z35)</f>
        <v>0</v>
      </c>
      <c r="AA36" s="536">
        <f>SUM(AA4:AA35)</f>
        <v>0</v>
      </c>
      <c r="AB36" s="536">
        <f>SUM(AB4:AB35)</f>
        <v>0</v>
      </c>
      <c r="AC36" s="536">
        <f>SUM(AC4:AC35)</f>
        <v>0</v>
      </c>
      <c r="AD36" s="117">
        <f>SUM(AD4:AD35)</f>
        <v>0</v>
      </c>
      <c r="AE36" s="118">
        <f>SUM(AE4:AE35)</f>
        <v>0</v>
      </c>
      <c r="AF36" s="119" t="str">
        <f>IF(AD40=0,"",(AE36*50)/AD36)</f>
        <v/>
      </c>
      <c r="AG36" s="120" t="str">
        <f>IF(AD40=0,"",(Z36*50)/AD36)</f>
        <v/>
      </c>
      <c r="AH36" s="6" t="str">
        <f>IF(AD40=0,"",(X36*25)/AD36)</f>
        <v/>
      </c>
      <c r="AI36" s="119" t="str">
        <f>IF(AD40=0,"",(Y36*25)/AD36)</f>
        <v/>
      </c>
      <c r="AJ36" s="119" t="str">
        <f>IF(AD40=0,"",(AA36*25)/AD36)</f>
        <v/>
      </c>
      <c r="AK36" s="119" t="str">
        <f>IF(AD40=0,"",(AB36*40)/AD36)</f>
        <v/>
      </c>
      <c r="AL36" s="119" t="str">
        <f>IF(AD40=0,"",(AC36*50)/AD36)</f>
        <v/>
      </c>
      <c r="AM36" s="115" t="s">
        <v>67</v>
      </c>
      <c r="AN36" s="121">
        <f>SUM(AN4:AN35)</f>
        <v>0</v>
      </c>
      <c r="AO36" s="121">
        <f>SUM(AO4:AO35)</f>
        <v>0</v>
      </c>
      <c r="AP36" s="121">
        <f>SUM(AP4:AP35)</f>
        <v>0</v>
      </c>
      <c r="AQ36" s="122" t="str">
        <f>IF(AN36=0,"",AN36/AO36)</f>
        <v/>
      </c>
      <c r="AR36" s="122" t="str">
        <f>IF(AN36=0,"",(AD36/AN36)/1000)</f>
        <v/>
      </c>
      <c r="AS36" s="121" t="str">
        <f>IF(AN36=0,"",AR36*24)</f>
        <v/>
      </c>
      <c r="AT36" s="123" t="str">
        <f>IF(AN36=0,"",AD40/(AS36*26))</f>
        <v/>
      </c>
      <c r="AU36" s="121" t="str">
        <f>IF(AN36=0,"",(AE36/AN36))</f>
        <v/>
      </c>
      <c r="AV36" s="122" t="str">
        <f>IF(AO36=0,"",(AD36/AO36)/1000)</f>
        <v/>
      </c>
      <c r="AW36" s="124">
        <f>SUM(AW4:AW35)/1000</f>
        <v>0</v>
      </c>
      <c r="AX36" s="124">
        <f>SUM(AX4:AX35)/1000</f>
        <v>0</v>
      </c>
      <c r="AY36" s="124">
        <f>SUM(AY4:AY35)/1000</f>
        <v>0</v>
      </c>
      <c r="AZ36" s="124">
        <f>SUM(AZ4)</f>
        <v>0</v>
      </c>
      <c r="BA36" s="124">
        <f>SUM(BA4:BA35)</f>
        <v>0</v>
      </c>
      <c r="BB36" s="124">
        <f>SUM(BB4:BB35)</f>
        <v>0</v>
      </c>
      <c r="BC36" s="1">
        <f>SUM(BC4:BC35)/1000</f>
        <v>0</v>
      </c>
      <c r="BD36" s="1">
        <f>SUM(BD4:BD35)/1000</f>
        <v>0</v>
      </c>
      <c r="BE36" s="1">
        <f>SUM(BE4:BE35)/1000</f>
        <v>0</v>
      </c>
      <c r="BF36" s="1">
        <f>SUM(BF4:BF35)/1000</f>
        <v>0</v>
      </c>
    </row>
    <row r="37" spans="1:58">
      <c r="B37" s="115" t="s">
        <v>68</v>
      </c>
      <c r="C37" s="116" t="str">
        <f>IF(C36=0,"",AVERAGE(C4:C35))</f>
        <v/>
      </c>
      <c r="D37" s="116" t="str">
        <f>IF(D36=0,"",AVERAGE(D4:D35))</f>
        <v/>
      </c>
      <c r="E37" s="116" t="str">
        <f>IF(E36=0,"",AVERAGE(E4:E35))</f>
        <v/>
      </c>
      <c r="F37" s="116" t="str">
        <f>IF(F36=0,"",AVERAGE(F4:F35))</f>
        <v/>
      </c>
      <c r="G37" s="116" t="str">
        <f>IF(G36=0,"",AVERAGE(G4:G35))</f>
        <v/>
      </c>
      <c r="H37" s="116" t="str">
        <f>IF(H36=0,"",AVERAGE(H4:H35))</f>
        <v/>
      </c>
      <c r="I37" s="116" t="str">
        <f>IF(I36=0,"",AVERAGE(I4:I35))</f>
        <v/>
      </c>
      <c r="J37" s="116" t="str">
        <f>IF(J36=0,"",AVERAGE(J4:J35))</f>
        <v/>
      </c>
      <c r="K37" s="116" t="str">
        <f>IF(K36=0,"",AVERAGE(K4:K35))</f>
        <v/>
      </c>
      <c r="L37" s="116"/>
      <c r="M37" s="116"/>
      <c r="N37" s="116" t="str">
        <f>IF(N36=0,"",AVERAGE(N4:N35))</f>
        <v/>
      </c>
      <c r="O37" s="116" t="str">
        <f>IF(O36=0,"",AVERAGE(O4:O35))</f>
        <v/>
      </c>
      <c r="P37" s="116" t="str">
        <f>IF(P36=0,"",AVERAGE(P4:P35))</f>
        <v/>
      </c>
      <c r="Q37" s="116" t="str">
        <f>IF(Q36=0,"",AVERAGE(Q4:Q35))</f>
        <v/>
      </c>
      <c r="R37" s="116" t="str">
        <f>IF(R36=0,"",AVERAGE(R4:R35))</f>
        <v/>
      </c>
      <c r="S37" s="116" t="str">
        <f>IF(S36=0,"",AVERAGE(S4:S35))</f>
        <v/>
      </c>
      <c r="T37" s="116" t="str">
        <f>IF(T36=0,"",AVERAGE(T4:T35))</f>
        <v/>
      </c>
      <c r="U37" s="116" t="str">
        <f>IF(U36=0,"",AVERAGE(U4:U35))</f>
        <v/>
      </c>
      <c r="V37" s="116" t="str">
        <f>IF(V36=0,"",AVERAGE(V4:V35))</f>
        <v/>
      </c>
      <c r="W37" s="116" t="str">
        <f>IF(W36=0,"",AVERAGE(W4:W35))</f>
        <v/>
      </c>
      <c r="X37" s="116" t="str">
        <f>IF(X36=0,"",AVERAGE(X4:X35))</f>
        <v/>
      </c>
      <c r="Y37" s="116" t="str">
        <f>IF(Y36=0,"",AVERAGE(Y4:Y35))</f>
        <v/>
      </c>
      <c r="Z37" s="116" t="str">
        <f>IF(Z36=0,"",AVERAGE(Z4:Z35))</f>
        <v/>
      </c>
      <c r="AA37" s="116" t="str">
        <f>IF(AA36=0,"",AVERAGE(AA4:AA35))</f>
        <v/>
      </c>
      <c r="AB37" s="116" t="str">
        <f>IF(AB36=0,"",AVERAGE(AB4:AB35))</f>
        <v/>
      </c>
      <c r="AC37" s="116" t="str">
        <f>IF(AC36=0,"",AVERAGE(AC4:AC35))</f>
        <v/>
      </c>
      <c r="AE37" s="7"/>
      <c r="AG37" s="119"/>
      <c r="AJ37" s="6"/>
      <c r="AK37" s="6"/>
      <c r="AL37" s="6"/>
      <c r="AM37" s="115" t="s">
        <v>68</v>
      </c>
      <c r="AN37" s="121" t="str">
        <f>IF(AN36=0,"",AVERAGE(AN4:AN35))</f>
        <v/>
      </c>
      <c r="AO37" s="121" t="str">
        <f>IF(AO36=0,"",AVERAGE(AO4:AO35))</f>
        <v/>
      </c>
      <c r="AP37" s="121" t="str">
        <f>IF(AP36=0,"",AVERAGE(AP4:AP35))</f>
        <v/>
      </c>
      <c r="AQ37" s="122" t="str">
        <f>IF(AQ36="","",AVERAGE(AQ4:AQ35))</f>
        <v/>
      </c>
      <c r="AR37" s="122" t="str">
        <f>IF(AR36="","",AVERAGE(AR4:AR35))</f>
        <v/>
      </c>
      <c r="AS37" s="121" t="str">
        <f>IF(AS36="","",AVERAGE(AS4:AS35))</f>
        <v/>
      </c>
      <c r="AT37" s="123" t="str">
        <f>IF(AT36="","",AVERAGE(AT4:AT35))</f>
        <v/>
      </c>
      <c r="AU37" s="121" t="str">
        <f>IF(AU36="","",AVERAGE(AU4:AU35))</f>
        <v/>
      </c>
      <c r="AV37" s="122" t="str">
        <f>IF(AV36="","",AVERAGE(AV4:AV35))</f>
        <v/>
      </c>
      <c r="AW37" s="122"/>
      <c r="AX37" s="122"/>
      <c r="AY37" s="122"/>
      <c r="AZ37" s="122"/>
      <c r="BA37" s="122"/>
    </row>
    <row r="38" spans="1:58" customHeight="1" ht="23.85">
      <c r="B38" s="115" t="s">
        <v>69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C38" s="125"/>
      <c r="AD38" s="697" t="s">
        <v>70</v>
      </c>
      <c r="AE38" s="697"/>
      <c r="AF38" s="6"/>
      <c r="AG38" s="119"/>
      <c r="AH38" s="6"/>
      <c r="AI38" s="6"/>
      <c r="AJ38" s="6"/>
      <c r="AK38" s="6"/>
      <c r="AL38" s="6"/>
      <c r="AM38" s="6"/>
      <c r="AN38" s="121"/>
      <c r="AO38" s="121"/>
      <c r="AP38" s="121"/>
      <c r="AQ38" s="121"/>
      <c r="AR38" s="116"/>
      <c r="AS38" s="123"/>
      <c r="AT38" s="123"/>
      <c r="AU38" s="121"/>
    </row>
    <row r="39" spans="1:58">
      <c r="B39" s="115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25"/>
      <c r="AE39" s="697" t="s">
        <v>71</v>
      </c>
      <c r="AF39" s="697"/>
      <c r="AG39" s="119"/>
      <c r="AH39" s="127"/>
      <c r="AI39" s="127"/>
      <c r="AJ39" s="6"/>
      <c r="AK39" s="6"/>
      <c r="AL39" s="6"/>
      <c r="AM39" s="6"/>
      <c r="AN39" s="121"/>
      <c r="AO39" s="121"/>
      <c r="AP39" s="121"/>
      <c r="AQ39" s="121"/>
      <c r="AR39" s="121"/>
      <c r="AS39" s="116"/>
      <c r="AT39" s="123"/>
      <c r="AU39" s="116"/>
      <c r="AV39" s="121"/>
    </row>
    <row r="40" spans="1:58">
      <c r="A40" s="137"/>
      <c r="B40" s="499" t="s">
        <v>67</v>
      </c>
      <c r="C40" s="476">
        <f>SUM(C4:C35)</f>
        <v>0</v>
      </c>
      <c r="D40" s="476">
        <f>SUM(D4:D35)</f>
        <v>0</v>
      </c>
      <c r="E40" s="476">
        <f>SUM(E4:E35)</f>
        <v>0</v>
      </c>
      <c r="F40" s="476">
        <f>SUM(F4:F35)</f>
        <v>0</v>
      </c>
      <c r="G40" s="476">
        <f>SUM(G4:G35)</f>
        <v>0</v>
      </c>
      <c r="H40" s="476">
        <f>SUM(H4:H35)</f>
        <v>0</v>
      </c>
      <c r="I40" s="476">
        <f>SUM(I4:I35)</f>
        <v>0</v>
      </c>
      <c r="J40" s="476">
        <f>SUM(J4:J35)</f>
        <v>0</v>
      </c>
      <c r="K40" s="476">
        <f>SUM(K4:K35)</f>
        <v>0</v>
      </c>
      <c r="L40" s="476">
        <f>SUM(L4:L35)</f>
        <v>0</v>
      </c>
      <c r="M40" s="476">
        <f>SUM(M4:M35)</f>
        <v>0</v>
      </c>
      <c r="N40" s="476">
        <f>SUM(N4:N35)</f>
        <v>0</v>
      </c>
      <c r="O40" s="476">
        <f>SUM(O4:O35)</f>
        <v>0</v>
      </c>
      <c r="P40" s="476">
        <f>SUM(P4:P35)</f>
        <v>0</v>
      </c>
      <c r="Q40" s="476">
        <f>SUM(Q4:Q35)</f>
        <v>0</v>
      </c>
      <c r="R40" s="476">
        <f>SUM(R4:R35)</f>
        <v>0</v>
      </c>
      <c r="S40" s="476">
        <f>SUM(S4:S35)</f>
        <v>0</v>
      </c>
      <c r="T40" s="476">
        <f>SUM(T4:T35)</f>
        <v>0</v>
      </c>
      <c r="U40" s="476">
        <f>SUM(U4:U35)</f>
        <v>0</v>
      </c>
      <c r="V40" s="476">
        <f>SUM(V4:V35)</f>
        <v>0</v>
      </c>
      <c r="W40" s="476">
        <f>SUM(W4:W35)</f>
        <v>0</v>
      </c>
      <c r="X40" s="476">
        <f>SUM(X4:X35)</f>
        <v>0</v>
      </c>
      <c r="Y40" s="476">
        <f>SUM(Y4:Y35)</f>
        <v>0</v>
      </c>
      <c r="Z40" s="476">
        <f>SUM(Z4:Z35)</f>
        <v>0</v>
      </c>
      <c r="AA40" s="476">
        <f>SUM(AA4:AA35)</f>
        <v>0</v>
      </c>
      <c r="AB40" s="476">
        <f>SUM(AB4:AB35)</f>
        <v>0</v>
      </c>
      <c r="AC40" s="476">
        <f>SUM(AC4:AC35)</f>
        <v>0</v>
      </c>
      <c r="AD40" s="534">
        <f>AD36/1000</f>
        <v>0</v>
      </c>
      <c r="AE40" s="6"/>
      <c r="AF40" s="6"/>
      <c r="AG40" s="119"/>
      <c r="AH40" s="6"/>
      <c r="AI40" s="6"/>
      <c r="AJ40" s="6"/>
      <c r="AK40" s="6"/>
      <c r="AL40" s="115"/>
      <c r="AM40" s="115"/>
      <c r="AN40" s="121"/>
      <c r="AO40" s="121"/>
      <c r="AP40" s="121"/>
      <c r="AQ40" s="116"/>
      <c r="AR40" s="123"/>
      <c r="AS40" s="116"/>
      <c r="AT40" s="128"/>
    </row>
    <row r="41" spans="1:58"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4"/>
      <c r="AB41" s="7"/>
      <c r="AC41" s="6"/>
      <c r="AD41" s="6"/>
      <c r="AE41" s="115"/>
      <c r="AF41" s="121"/>
      <c r="AG41" s="129"/>
      <c r="AH41" s="121"/>
      <c r="AI41" s="121"/>
      <c r="AJ41" s="121"/>
      <c r="AK41" s="121"/>
      <c r="AL41" s="121"/>
      <c r="AM41" s="121"/>
      <c r="AN41" s="116"/>
      <c r="AO41" s="121"/>
    </row>
    <row r="42" spans="1:58">
      <c r="A42" s="130" t="s">
        <v>72</v>
      </c>
      <c r="B42" s="226"/>
      <c r="C42" s="131"/>
      <c r="D42" s="75"/>
      <c r="E42" s="75"/>
      <c r="F42" s="75"/>
      <c r="G42" s="75"/>
      <c r="H42" s="75"/>
      <c r="I42" s="72"/>
      <c r="J42" s="71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249"/>
      <c r="V42" s="71"/>
      <c r="W42" s="75"/>
      <c r="X42" s="79"/>
      <c r="Y42" s="79"/>
      <c r="Z42" s="79"/>
      <c r="AA42" s="79"/>
      <c r="AB42" s="79"/>
      <c r="AC42" s="85"/>
      <c r="AD42" s="55">
        <f>(Z42+AA42)*25.8</f>
        <v>0</v>
      </c>
      <c r="AE42" s="55">
        <f>Z42</f>
        <v>0</v>
      </c>
      <c r="AF42" s="56" t="str">
        <f>IF(B42="","",((AE42*25)/AD42))</f>
        <v/>
      </c>
      <c r="AG42" s="57" t="str">
        <f>IF(B42="","",((Z42)*25)/AD42)</f>
        <v/>
      </c>
      <c r="AH42" s="57" t="str">
        <f>IF(B42="","",(X42*25)/AD42)</f>
        <v/>
      </c>
      <c r="AI42" s="57" t="str">
        <f>IF(B42="","",(Y42*25)/AD42)</f>
        <v/>
      </c>
      <c r="AJ42" s="57" t="str">
        <f>IF(B42="","",(AA42*25)/AD42)</f>
        <v/>
      </c>
      <c r="AK42" s="58" t="str">
        <f>IF(B42="","",(AB42*40)/AD42)</f>
        <v/>
      </c>
      <c r="AL42" s="58" t="str">
        <f>IF(B42="","",(AC42*50)/AD42)</f>
        <v/>
      </c>
      <c r="AM42" s="59" t="str">
        <f>IF(B42="","",B42)</f>
        <v/>
      </c>
      <c r="AN42" s="81"/>
      <c r="AO42" s="94"/>
      <c r="AP42" s="83"/>
      <c r="AQ42" s="63" t="str">
        <f>IF(AN42="","",AN42/AO42)</f>
        <v/>
      </c>
      <c r="AR42" s="64" t="str">
        <f>IF(AN42="","",(AD42/AN42)/1000)</f>
        <v/>
      </c>
      <c r="AS42" s="64" t="str">
        <f>IF(AN42="","",AR42*24)</f>
        <v/>
      </c>
      <c r="AT42" s="65" t="str">
        <f>IF(AN42="","",(AD42/1000)*100%/AS42)</f>
        <v/>
      </c>
      <c r="AU42" s="64" t="str">
        <f>IF(AN42="","",(AE42/AN42))</f>
        <v/>
      </c>
      <c r="AV42" s="66" t="str">
        <f>IF(AN42="","",(AD42/AO42)/1000)</f>
        <v/>
      </c>
      <c r="AW42" s="389"/>
      <c r="AX42" s="390"/>
      <c r="AY42" s="390"/>
      <c r="AZ42" s="391"/>
      <c r="BA42" s="391"/>
      <c r="BB42" s="392"/>
      <c r="BC42" s="368"/>
      <c r="BD42" s="368"/>
      <c r="BE42" s="368"/>
      <c r="BF42" s="393"/>
    </row>
    <row r="43" spans="1:58">
      <c r="A43" s="130" t="s">
        <v>73</v>
      </c>
      <c r="B43" s="68"/>
      <c r="C43" s="131"/>
      <c r="D43" s="75"/>
      <c r="E43" s="75"/>
      <c r="F43" s="75"/>
      <c r="G43" s="75"/>
      <c r="H43" s="75"/>
      <c r="I43" s="72"/>
      <c r="J43" s="71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249"/>
      <c r="V43" s="71"/>
      <c r="W43" s="75"/>
      <c r="X43" s="79"/>
      <c r="Y43" s="79"/>
      <c r="Z43" s="79"/>
      <c r="AA43" s="79"/>
      <c r="AB43" s="79"/>
      <c r="AC43" s="85"/>
      <c r="AD43" s="55">
        <f>(Z43*25)+(AA43*25)+(AB43*40)+(AC43*50)</f>
        <v>0</v>
      </c>
      <c r="AE43" s="55" t="str">
        <f>IF(B43="","",C43+E43+G43+K43+N43+O43+Q43+R43+((D43+H43)/4)+((F43+I43+J43+T43+Z43)/2))</f>
        <v/>
      </c>
      <c r="AF43" s="56" t="str">
        <f>IF(B43="","",((AE43*50)/AD43))</f>
        <v/>
      </c>
      <c r="AG43" s="57" t="str">
        <f>IF(B43="","",((Z43)*25)/AD43)</f>
        <v/>
      </c>
      <c r="AH43" s="57" t="str">
        <f>IF(B43="","",(X43*25)/AD43)</f>
        <v/>
      </c>
      <c r="AI43" s="57" t="str">
        <f>IF(B43="","",(Y43*25)/AD43)</f>
        <v/>
      </c>
      <c r="AJ43" s="57" t="str">
        <f>IF(B43="","",(AA43*25)/AD43)</f>
        <v/>
      </c>
      <c r="AK43" s="58" t="str">
        <f>IF(B43="","",(AB43*40)/AD43)</f>
        <v/>
      </c>
      <c r="AL43" s="58" t="str">
        <f>IF(B43="","",(AC43*50)/AD43)</f>
        <v/>
      </c>
      <c r="AM43" s="59" t="str">
        <f>IF(B43="","",B43)</f>
        <v/>
      </c>
      <c r="AN43" s="81"/>
      <c r="AO43" s="94"/>
      <c r="AP43" s="83"/>
      <c r="AQ43" s="63" t="str">
        <f>IF(AN43="","",AN43/AO43)</f>
        <v/>
      </c>
      <c r="AR43" s="64" t="str">
        <f>IF(AN43="","",(AD43/AN43)/1000)</f>
        <v/>
      </c>
      <c r="AS43" s="64" t="str">
        <f>IF(AN43="","",AR43*24)</f>
        <v/>
      </c>
      <c r="AT43" s="65" t="str">
        <f>IF(AN43="","",(AD43/1000)*100%/AS43)</f>
        <v/>
      </c>
      <c r="AU43" s="64" t="str">
        <f>IF(AN43="","",(AE43/AN43))</f>
        <v/>
      </c>
      <c r="AV43" s="66" t="str">
        <f>IF(AN43="","",(AD43/AO43)/1000)</f>
        <v/>
      </c>
      <c r="AW43" s="394"/>
      <c r="AX43" s="92"/>
      <c r="AY43" s="92"/>
      <c r="AZ43" s="93"/>
      <c r="BA43" s="93"/>
      <c r="BB43" s="350"/>
      <c r="BC43" s="351"/>
      <c r="BD43" s="351"/>
      <c r="BE43" s="351"/>
      <c r="BF43" s="395"/>
    </row>
    <row r="44" spans="1:58">
      <c r="A44" s="130" t="s">
        <v>74</v>
      </c>
      <c r="B44" s="68"/>
      <c r="C44" s="131"/>
      <c r="D44" s="75"/>
      <c r="E44" s="75"/>
      <c r="F44" s="75"/>
      <c r="G44" s="75"/>
      <c r="H44" s="75"/>
      <c r="I44" s="72"/>
      <c r="J44" s="71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249"/>
      <c r="V44" s="71"/>
      <c r="W44" s="75"/>
      <c r="X44" s="79"/>
      <c r="Y44" s="79"/>
      <c r="Z44" s="79"/>
      <c r="AA44" s="79"/>
      <c r="AB44" s="79"/>
      <c r="AC44" s="85"/>
      <c r="AD44" s="55">
        <f>Z44*25</f>
        <v>0</v>
      </c>
      <c r="AE44" s="55" t="str">
        <f>IF(B44="","",C44+E44+G44+K44+N44+O44+Q44+R44+((D44+H44)/4)+((F44+I44+J44+T44)/2))</f>
        <v/>
      </c>
      <c r="AF44" s="56" t="str">
        <f>IF(B44="","",((AE44*50)/AD44))</f>
        <v/>
      </c>
      <c r="AG44" s="57" t="str">
        <f>IF(B44="","",((Z44)*25)/AD44)</f>
        <v/>
      </c>
      <c r="AH44" s="57" t="str">
        <f>IF(B44="","",(X44*25)/AD44)</f>
        <v/>
      </c>
      <c r="AI44" s="57" t="str">
        <f>IF(B44="","",(Y44*25)/AD44)</f>
        <v/>
      </c>
      <c r="AJ44" s="57" t="str">
        <f>IF(B44="","",(AA44*25)/AD44)</f>
        <v/>
      </c>
      <c r="AK44" s="58" t="str">
        <f>IF(B44="","",(AB44*40)/AD44)</f>
        <v/>
      </c>
      <c r="AL44" s="58" t="str">
        <f>IF(B44="","",(AC44*50)/AD44)</f>
        <v/>
      </c>
      <c r="AM44" s="59" t="str">
        <f>IF(B44="","",B44)</f>
        <v/>
      </c>
      <c r="AN44" s="81"/>
      <c r="AO44" s="94"/>
      <c r="AP44" s="83"/>
      <c r="AQ44" s="63" t="str">
        <f>IF(AN44="","",AN44/AO44)</f>
        <v/>
      </c>
      <c r="AR44" s="64" t="str">
        <f>IF(AN44="","",(AD44/AN44)/1000)</f>
        <v/>
      </c>
      <c r="AS44" s="64" t="str">
        <f>IF(AN44="","",AR44*24)</f>
        <v/>
      </c>
      <c r="AT44" s="65" t="str">
        <f>IF(AN44="","",(AD44/1000)*100%/AS44)</f>
        <v/>
      </c>
      <c r="AU44" s="64" t="str">
        <f>IF(AN44="","",(AE44/AN44))</f>
        <v/>
      </c>
      <c r="AV44" s="66" t="str">
        <f>IF(AN44="","",(AD44/AO44)/1000)</f>
        <v/>
      </c>
      <c r="AW44" s="394"/>
      <c r="AX44" s="92"/>
      <c r="AY44" s="92"/>
      <c r="AZ44" s="93"/>
      <c r="BA44" s="93"/>
      <c r="BB44" s="350"/>
      <c r="BC44" s="351"/>
      <c r="BD44" s="351"/>
      <c r="BE44" s="351"/>
      <c r="BF44" s="395"/>
    </row>
    <row r="45" spans="1:58">
      <c r="A45" s="130" t="s">
        <v>75</v>
      </c>
      <c r="B45" s="68"/>
      <c r="C45" s="131"/>
      <c r="D45" s="75"/>
      <c r="E45" s="75"/>
      <c r="F45" s="75"/>
      <c r="G45" s="75"/>
      <c r="H45" s="75"/>
      <c r="I45" s="72"/>
      <c r="J45" s="71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249"/>
      <c r="V45" s="71"/>
      <c r="W45" s="75"/>
      <c r="X45" s="79"/>
      <c r="Y45" s="79"/>
      <c r="Z45" s="79"/>
      <c r="AA45" s="79"/>
      <c r="AB45" s="79"/>
      <c r="AC45" s="85"/>
      <c r="AD45" s="55">
        <f>(Z45+AA45)*25.275</f>
        <v>0</v>
      </c>
      <c r="AE45" s="55" t="str">
        <f>IF(B45="","",C45+E45+G45+K45+N45+O45+Q45+R45+((D45+H45)/4)+((F45+I45+J45+T45)/2))</f>
        <v/>
      </c>
      <c r="AF45" s="56" t="str">
        <f>IF(B45="","",((AE45*50)/AD45))</f>
        <v/>
      </c>
      <c r="AG45" s="57" t="str">
        <f>IF(B45="","",((Z45)*25)/AD45)</f>
        <v/>
      </c>
      <c r="AH45" s="57" t="str">
        <f>IF(B45="","",(X45*25)/AD45)</f>
        <v/>
      </c>
      <c r="AI45" s="57" t="str">
        <f>IF(B45="","",(Y45*25)/AD45)</f>
        <v/>
      </c>
      <c r="AJ45" s="57" t="str">
        <f>IF(B45="","",(AA45*25)/AD45)</f>
        <v/>
      </c>
      <c r="AK45" s="58" t="str">
        <f>IF(B45="","",(AB45*40)/AD45)</f>
        <v/>
      </c>
      <c r="AL45" s="58" t="str">
        <f>IF(B45="","",(AC45*50)/AD45)</f>
        <v/>
      </c>
      <c r="AM45" s="59" t="str">
        <f>IF(B45="","",B45)</f>
        <v/>
      </c>
      <c r="AN45" s="81"/>
      <c r="AO45" s="94"/>
      <c r="AP45" s="83"/>
      <c r="AQ45" s="63" t="str">
        <f>IF(AN45="","",AN45/AO45)</f>
        <v/>
      </c>
      <c r="AR45" s="64" t="str">
        <f>IF(AN45="","",(AD45/AN45)/1000)</f>
        <v/>
      </c>
      <c r="AS45" s="64" t="str">
        <f>IF(AN45="","",AR45*24)</f>
        <v/>
      </c>
      <c r="AT45" s="65" t="str">
        <f>IF(AN45="","",(AD45/1000)*100%/AS45)</f>
        <v/>
      </c>
      <c r="AU45" s="64" t="str">
        <f>IF(AN45="","",(AE45/AN45))</f>
        <v/>
      </c>
      <c r="AV45" s="66" t="str">
        <f>IF(AN45="","",(AD45/AO45)/1000)</f>
        <v/>
      </c>
      <c r="AW45" s="396"/>
      <c r="AX45" s="231"/>
      <c r="AY45" s="231"/>
      <c r="AZ45" s="232"/>
      <c r="BA45" s="232"/>
      <c r="BB45" s="397"/>
      <c r="BC45" s="398"/>
      <c r="BD45" s="398"/>
      <c r="BE45" s="398"/>
      <c r="BF45" s="399"/>
    </row>
    <row r="46" spans="1:58">
      <c r="B46" s="115"/>
      <c r="C46" s="116"/>
      <c r="D46" s="116"/>
      <c r="E46" s="116"/>
      <c r="F46" s="116"/>
      <c r="G46" s="116"/>
      <c r="H46" s="116"/>
      <c r="O46" s="116"/>
      <c r="P46" s="116"/>
      <c r="Q46" s="116"/>
      <c r="R46" s="116"/>
      <c r="S46" s="116"/>
      <c r="T46" s="116"/>
      <c r="U46" s="116"/>
      <c r="V46" s="116"/>
      <c r="W46" s="7"/>
      <c r="X46" s="7"/>
      <c r="AB46" s="6"/>
      <c r="AC46" s="6"/>
      <c r="AD46" s="55">
        <f>SUM(AD42:AD45)</f>
        <v>0</v>
      </c>
      <c r="AE46" s="121"/>
      <c r="AF46" s="121"/>
      <c r="AG46" s="121"/>
      <c r="AH46" s="116"/>
      <c r="AI46" s="123"/>
      <c r="AJ46" s="123"/>
      <c r="AK46" s="116"/>
      <c r="AL46" s="121"/>
      <c r="AX46" s="1">
        <f>AX42/1000</f>
        <v>0</v>
      </c>
    </row>
    <row r="47" spans="1:58">
      <c r="B47" s="115"/>
      <c r="C47" s="116"/>
      <c r="D47" s="116"/>
      <c r="E47" s="116"/>
      <c r="F47" s="116"/>
      <c r="G47" s="116"/>
      <c r="H47" s="116"/>
      <c r="I47" s="116"/>
      <c r="Q47" s="116"/>
      <c r="R47" s="116"/>
      <c r="S47" s="116"/>
      <c r="T47" s="116"/>
      <c r="U47" s="116"/>
      <c r="V47" s="116"/>
      <c r="W47" s="116"/>
      <c r="X47" s="7"/>
      <c r="Y47" s="7"/>
      <c r="AC47" s="6"/>
      <c r="AD47" s="697" t="s">
        <v>70</v>
      </c>
      <c r="AE47" s="697"/>
      <c r="AF47" s="121"/>
      <c r="AG47" s="121"/>
      <c r="AH47" s="121"/>
      <c r="AI47" s="116"/>
      <c r="AJ47" s="123"/>
      <c r="AK47" s="123"/>
      <c r="AL47" s="116"/>
      <c r="AM47" s="121"/>
    </row>
    <row r="48" spans="1:58">
      <c r="B48" s="115"/>
      <c r="C48" s="116"/>
      <c r="D48" s="116"/>
      <c r="E48" s="116"/>
      <c r="F48" s="116"/>
      <c r="G48" s="116"/>
      <c r="H48" s="116"/>
      <c r="I48" s="117">
        <v>3.6</v>
      </c>
      <c r="J48" s="116"/>
      <c r="K48" s="516"/>
      <c r="L48" s="516"/>
      <c r="M48" s="516"/>
      <c r="N48" s="5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7"/>
      <c r="Z48" s="7"/>
      <c r="AD48" s="126">
        <f>AD46/1000</f>
        <v>0</v>
      </c>
      <c r="AE48" s="697" t="s">
        <v>71</v>
      </c>
      <c r="AF48" s="697"/>
      <c r="AG48" s="121"/>
      <c r="AH48" s="121"/>
      <c r="AI48" s="121"/>
      <c r="AJ48" s="116"/>
      <c r="AK48" s="123"/>
      <c r="AL48" s="123"/>
      <c r="AM48" s="116"/>
      <c r="AN48" s="121"/>
    </row>
    <row r="49" spans="1:58" customHeight="1" ht="13.9">
      <c r="A49" s="676" t="s">
        <v>76</v>
      </c>
      <c r="B49" s="677"/>
      <c r="C49" s="678" t="s">
        <v>77</v>
      </c>
      <c r="D49" s="133"/>
      <c r="F49" s="655" t="s">
        <v>78</v>
      </c>
      <c r="G49" s="656"/>
      <c r="H49" s="657"/>
      <c r="I49" s="355" t="s">
        <v>79</v>
      </c>
      <c r="J49" s="136"/>
      <c r="K49" s="679" t="s">
        <v>80</v>
      </c>
      <c r="L49" s="679"/>
      <c r="M49" s="680"/>
      <c r="N49" s="515" t="s">
        <v>81</v>
      </c>
      <c r="O49" s="688" t="s">
        <v>82</v>
      </c>
      <c r="P49" s="689"/>
      <c r="Q49" s="690"/>
      <c r="R49" s="688" t="s">
        <v>83</v>
      </c>
      <c r="S49" s="689"/>
      <c r="T49" s="689"/>
      <c r="U49" s="690"/>
      <c r="V49" s="500" t="s">
        <v>84</v>
      </c>
      <c r="W49" s="488"/>
      <c r="X49" s="501"/>
      <c r="AB49" s="247"/>
      <c r="AG49" s="6"/>
      <c r="AH49" s="6"/>
      <c r="AI49" s="121"/>
      <c r="AJ49" s="121"/>
      <c r="AK49" s="116"/>
      <c r="AL49" s="123"/>
      <c r="AM49" s="123"/>
      <c r="AN49" s="116"/>
      <c r="AO49" s="121"/>
    </row>
    <row r="50" spans="1:58" customHeight="1" ht="15">
      <c r="A50" s="369" t="s">
        <v>85</v>
      </c>
      <c r="B50" s="482">
        <f>AD40+AD48</f>
        <v>0</v>
      </c>
      <c r="C50" s="678"/>
      <c r="E50" s="137"/>
      <c r="F50" s="662" t="s">
        <v>86</v>
      </c>
      <c r="G50" s="663"/>
      <c r="H50" s="325">
        <f>IF(G53="",0,G56/G53)</f>
        <v>0</v>
      </c>
      <c r="I50" s="138">
        <f>IF(I53="",0,I56/I53)</f>
        <v>0</v>
      </c>
      <c r="J50" s="136"/>
      <c r="K50" s="681"/>
      <c r="L50" s="681"/>
      <c r="M50" s="141" t="e">
        <f>IF($V$50="",0,K50/$V$55)</f>
        <v>#DIV/0!</v>
      </c>
      <c r="N50" s="489"/>
      <c r="O50" s="695"/>
      <c r="P50" s="696"/>
      <c r="Q50" s="141" t="e">
        <f>IF($V$50="",0,O50/$V$55)</f>
        <v>#DIV/0!</v>
      </c>
      <c r="R50" s="140" t="str">
        <f>D80</f>
        <v>CWRS</v>
      </c>
      <c r="S50" s="721">
        <f>(B82*D82)+(B85*D85)+(B86*D86)+(B87*D87)+(B89*D89)+(B92*D92)+(B94*D94)+(B95*D95)+(B98*D98)+(B99*D99)+(B100*D100)+(B102*D102)+(B103*D103)+(B108*D108)+(B111*D111)+(B83*D83)+(B104*D104)+(B84*D84)+(B91*D91)+(B115*D115)+(B106*D106)+(B105*D105)+(B113*D113)+(B110*D110)+(B88*D88)+(B90*D90)+(B96*D96)+(B97*D97)+(B107*D107)</f>
        <v>0</v>
      </c>
      <c r="T50" s="721"/>
      <c r="U50" s="486">
        <f>IF($S$55=0,0,S50/$S$55)</f>
        <v>0</v>
      </c>
      <c r="V50" s="695">
        <f>K50+O50-S50</f>
        <v>0</v>
      </c>
      <c r="W50" s="696"/>
      <c r="X50" s="484" t="e">
        <f>IF($V$50="",0,V50/$V$55)</f>
        <v>#DIV/0!</v>
      </c>
      <c r="AB50" s="157"/>
      <c r="AJ50" s="121"/>
      <c r="AK50" s="116"/>
      <c r="AL50" s="123"/>
      <c r="AM50" s="123"/>
      <c r="AN50" s="116"/>
      <c r="AO50" s="121"/>
    </row>
    <row r="51" spans="1:58" customHeight="1" ht="15">
      <c r="A51" s="326" t="s">
        <v>87</v>
      </c>
      <c r="B51" s="318">
        <f>AE36</f>
        <v>0</v>
      </c>
      <c r="C51" s="377">
        <f>B50/(B60*120)</f>
        <v>-0</v>
      </c>
      <c r="E51" s="137"/>
      <c r="F51" s="662" t="s">
        <v>88</v>
      </c>
      <c r="G51" s="663"/>
      <c r="H51" s="318">
        <f>IF(G53="",0,G53/B50)</f>
        <v>0</v>
      </c>
      <c r="I51" s="272"/>
      <c r="J51" s="136"/>
      <c r="K51" s="685"/>
      <c r="L51" s="685"/>
      <c r="M51" s="141" t="e">
        <f>IF($V$51="",0,K51/$V$55)</f>
        <v>#DIV/0!</v>
      </c>
      <c r="N51" s="489"/>
      <c r="O51" s="687"/>
      <c r="P51" s="681"/>
      <c r="Q51" s="141" t="e">
        <f>IF($V$51="",0,O51/$V$55)</f>
        <v>#DIV/0!</v>
      </c>
      <c r="R51" s="140" t="str">
        <f>IF(E80="","",E80)</f>
        <v>CPS</v>
      </c>
      <c r="S51" s="720">
        <f>(B82*E82)+(B85*E85)+(B86*E86)+(B87*E87)+(B89*E89)+(B92*E92)+(B94*E94)+(B95*E95)+(B98*E98)+(B99*E99)+(B100*E100)+(B102*E102)+(B103*E103)+(B108*E108)+(B113*E113)+(B105*E105)+(B111*E111)+(B104*E104)+(B83*E83)+(B84*E84)+(B91*E91)+(B106*E106)+(B115*E115)+(B116*E116)+(B110*E110)+(B101*E101)+(B88*E88)+(B90*E90)+(B97*E97)+(B107*E107+B96*E96)</f>
        <v>0</v>
      </c>
      <c r="T51" s="720"/>
      <c r="U51" s="486">
        <f>IF($S$55=0,0,S51/$S$55)</f>
        <v>0</v>
      </c>
      <c r="V51" s="687">
        <f>K51+O51-S51</f>
        <v>0</v>
      </c>
      <c r="W51" s="681"/>
      <c r="X51" s="141" t="e">
        <f>IF($V$51="",0,V51/$V$55)</f>
        <v>#DIV/0!</v>
      </c>
      <c r="AJ51" s="121"/>
      <c r="AK51" s="116"/>
      <c r="AL51" s="123"/>
      <c r="AM51" s="123"/>
      <c r="AN51" s="116"/>
      <c r="AO51" s="121"/>
    </row>
    <row r="52" spans="1:58" customHeight="1" ht="15">
      <c r="A52" s="326" t="s">
        <v>89</v>
      </c>
      <c r="B52" s="318">
        <f>(B51*50)/1000</f>
        <v>0</v>
      </c>
      <c r="E52" s="120"/>
      <c r="F52" s="662" t="s">
        <v>90</v>
      </c>
      <c r="G52" s="663"/>
      <c r="H52" s="318">
        <f>IF(G53="",0,G53/((B51*50)/1000))</f>
        <v>0</v>
      </c>
      <c r="I52" s="272"/>
      <c r="J52" s="136"/>
      <c r="K52" s="685"/>
      <c r="L52" s="685"/>
      <c r="M52" s="141" t="e">
        <f>IF($V$50="",0,K52/$V$55)</f>
        <v>#DIV/0!</v>
      </c>
      <c r="N52" s="489"/>
      <c r="O52" s="687"/>
      <c r="P52" s="681"/>
      <c r="Q52" s="141" t="e">
        <f>IF($V$50="",0,O52/$V$55)</f>
        <v>#DIV/0!</v>
      </c>
      <c r="R52" s="148" t="s">
        <v>91</v>
      </c>
      <c r="S52" s="720">
        <f>(B82*G82)+(B85*G85)+(B86*G86)+(B87*G87)+(B89*G89)+(B92*G92)+(B94*G94)+(B95*G95)+(B98*G98)+(B99*G99)+(B100*G100)+(B102*G102)+(B103*G103)+(B108*G108)+(B113*G113)+(B109*G109)+(B116*G116)+(B114*G114)+(B115*G115)+(B83*G83)+(B84*G84)+(B104*G104)+(B106*G106)+(B96*G96)+(B97*G97)+(B90*G90)+(B88*G88)+(B105*G105)+(B91*G91)+(B110*G110)</f>
        <v>0</v>
      </c>
      <c r="T52" s="720"/>
      <c r="U52" s="486">
        <f>IF($S$55=0,0,S52/$S$55)</f>
        <v>0</v>
      </c>
      <c r="V52" s="687">
        <f>K52+O52-S52</f>
        <v>0</v>
      </c>
      <c r="W52" s="681"/>
      <c r="X52" s="141" t="e">
        <f>IF($V$50="",0,V52/$V$55)</f>
        <v>#DIV/0!</v>
      </c>
      <c r="AJ52" s="121"/>
      <c r="AK52" s="116"/>
      <c r="AL52" s="123"/>
      <c r="AM52" s="123"/>
      <c r="AN52" s="116"/>
      <c r="AO52" s="121"/>
    </row>
    <row r="53" spans="1:58" customHeight="1" ht="15">
      <c r="A53" s="326" t="s">
        <v>92</v>
      </c>
      <c r="B53" s="580">
        <f>IF(AF36="",0,AF36)</f>
        <v>0</v>
      </c>
      <c r="E53" s="144"/>
      <c r="F53" s="326" t="s">
        <v>93</v>
      </c>
      <c r="G53" s="693"/>
      <c r="H53" s="694"/>
      <c r="I53" s="353"/>
      <c r="J53" s="136"/>
      <c r="K53" s="686">
        <v>0</v>
      </c>
      <c r="L53" s="686"/>
      <c r="M53" s="141" t="e">
        <f>IF($V$50="",0,L53/$V$55)</f>
        <v>#DIV/0!</v>
      </c>
      <c r="N53" s="490"/>
      <c r="O53" s="687"/>
      <c r="P53" s="681"/>
      <c r="Q53" s="141" t="e">
        <f>IF($V$50="",0,O53/$V$55)</f>
        <v>#DIV/0!</v>
      </c>
      <c r="R53" s="140" t="s">
        <v>94</v>
      </c>
      <c r="S53" s="720">
        <f>(B82*F82)+(B85*F85)+(B86*F86)+(B87*F87)+(B89*F89)+(B92*F92)+(B94*F94)+(B95*F95)+(B98*F98)+(B99*F99)+(B100*F100)+(B102*F102)+(B103*F103)+(B108*F108)+(B113*F113)+(B115*F115)+(B111*F111)+(B109*F109)+(B105*F105)+(B116*F116)+(B101*F101)+(B88*F88)+(B90*F90)+(B91*F91)+(B106*F106)+(B107*F107)+(B96*F96)</f>
        <v>0</v>
      </c>
      <c r="T53" s="720"/>
      <c r="U53" s="486">
        <f>IF($S$55=0,0,S53/$S$55)</f>
        <v>0</v>
      </c>
      <c r="V53" s="687">
        <f>L53+O53-S53</f>
        <v>0</v>
      </c>
      <c r="W53" s="681"/>
      <c r="X53" s="141" t="e">
        <f>IF($V$50="",0,V53/$V$55)</f>
        <v>#DIV/0!</v>
      </c>
      <c r="AG53" s="6"/>
      <c r="AH53" s="6"/>
      <c r="AI53" s="121"/>
      <c r="AJ53" s="121"/>
      <c r="AK53" s="116"/>
      <c r="AL53" s="123"/>
      <c r="AM53" s="123"/>
      <c r="AN53" s="116"/>
      <c r="AO53" s="121"/>
    </row>
    <row r="54" spans="1:58" customHeight="1" ht="15">
      <c r="A54" s="326" t="s">
        <v>95</v>
      </c>
      <c r="B54" s="319">
        <f>AN36</f>
        <v>0</v>
      </c>
      <c r="E54" s="146"/>
      <c r="F54" s="326" t="s">
        <v>96</v>
      </c>
      <c r="G54" s="682"/>
      <c r="H54" s="683"/>
      <c r="I54" s="684"/>
      <c r="J54" s="136"/>
      <c r="K54" s="686">
        <v>0</v>
      </c>
      <c r="L54" s="686"/>
      <c r="M54" s="141" t="e">
        <f>IF($V$50="",0,L54/$V$55)</f>
        <v>#DIV/0!</v>
      </c>
      <c r="N54" s="489"/>
      <c r="O54" s="691">
        <v>0</v>
      </c>
      <c r="P54" s="692"/>
      <c r="Q54" s="141" t="e">
        <f>IF($V$50="",0,O54/$V$55)</f>
        <v>#DIV/0!</v>
      </c>
      <c r="R54" s="480" t="s">
        <v>97</v>
      </c>
      <c r="S54" s="719">
        <f>IF(AD43="",0,AD43)</f>
        <v>0</v>
      </c>
      <c r="T54" s="719"/>
      <c r="U54" s="141">
        <f>IF($S$55=0,0,S54/$S$55)</f>
        <v>0</v>
      </c>
      <c r="V54" s="691">
        <f>L54+O54-S54</f>
        <v>0</v>
      </c>
      <c r="W54" s="692"/>
      <c r="X54" s="141" t="e">
        <f>IF($V$50="",0,V54/$V$55)</f>
        <v>#DIV/0!</v>
      </c>
      <c r="AC54" s="421"/>
      <c r="AF54" s="6"/>
      <c r="AG54" s="6"/>
      <c r="AH54" s="6"/>
      <c r="AJ54" s="147"/>
      <c r="AK54" s="147"/>
      <c r="AL54" s="6"/>
      <c r="AM54" s="6"/>
      <c r="AN54" s="147"/>
      <c r="AO54" s="147"/>
    </row>
    <row r="55" spans="1:58" customHeight="1" ht="15">
      <c r="A55" s="326" t="s">
        <v>98</v>
      </c>
      <c r="B55" s="320">
        <f>IF(B50=0,0,AP36/AN36)</f>
        <v>0</v>
      </c>
      <c r="E55" s="146"/>
      <c r="F55" s="326" t="s">
        <v>99</v>
      </c>
      <c r="G55" s="660"/>
      <c r="H55" s="661"/>
      <c r="I55" s="149"/>
      <c r="J55" s="136"/>
      <c r="K55" s="671">
        <f>SUM(K50:K54)</f>
        <v>0</v>
      </c>
      <c r="L55" s="670"/>
      <c r="M55" s="481"/>
      <c r="N55" s="487">
        <f>SUM(N50:N54)</f>
        <v>0</v>
      </c>
      <c r="O55" s="671">
        <f>SUM(O50:O54)</f>
        <v>0</v>
      </c>
      <c r="P55" s="670"/>
      <c r="Q55" s="481"/>
      <c r="R55" s="150"/>
      <c r="S55" s="670">
        <f>SUM(S50:S54)</f>
        <v>0</v>
      </c>
      <c r="T55" s="670"/>
      <c r="U55" s="479"/>
      <c r="V55" s="671">
        <f>SUM(V50:V54)</f>
        <v>0</v>
      </c>
      <c r="W55" s="670"/>
      <c r="X55" s="481"/>
      <c r="AH55" s="6"/>
      <c r="AJ55" s="147"/>
      <c r="AK55" s="147"/>
      <c r="AL55" s="6"/>
      <c r="AM55" s="6"/>
      <c r="AN55" s="147"/>
      <c r="AO55" s="147"/>
    </row>
    <row r="56" spans="1:58" customHeight="1" ht="13.9">
      <c r="A56" s="326" t="s">
        <v>100</v>
      </c>
      <c r="B56" s="321" t="str">
        <f>AT37</f>
        <v/>
      </c>
      <c r="E56" s="146"/>
      <c r="F56" s="326" t="s">
        <v>101</v>
      </c>
      <c r="G56" s="672">
        <v>77284230</v>
      </c>
      <c r="H56" s="673"/>
      <c r="I56" s="153">
        <v>2803509</v>
      </c>
      <c r="K56" s="216"/>
      <c r="L56" s="216"/>
      <c r="M56" s="216"/>
      <c r="N56" s="216"/>
      <c r="O56" s="375"/>
      <c r="P56" s="517"/>
      <c r="Q56" s="517"/>
      <c r="AH56" s="6"/>
      <c r="AJ56" s="147"/>
      <c r="AK56" s="147"/>
      <c r="AL56" s="6"/>
      <c r="AM56" s="6"/>
      <c r="AN56" s="147"/>
      <c r="AO56" s="147"/>
    </row>
    <row r="57" spans="1:58" customHeight="1" ht="13.9">
      <c r="A57" s="326" t="s">
        <v>102</v>
      </c>
      <c r="B57" s="580" t="str">
        <f>+AT36</f>
        <v/>
      </c>
      <c r="E57" s="137"/>
      <c r="F57" s="662" t="s">
        <v>103</v>
      </c>
      <c r="G57" s="663"/>
      <c r="H57" s="327"/>
      <c r="I57" s="155"/>
      <c r="K57" s="665" t="s">
        <v>104</v>
      </c>
      <c r="L57" s="666"/>
      <c r="M57" s="666"/>
      <c r="N57" s="666"/>
      <c r="O57" s="666"/>
      <c r="P57" s="518"/>
      <c r="Q57" s="246"/>
      <c r="X57" s="4"/>
      <c r="AD57" s="4"/>
      <c r="AH57" s="6"/>
      <c r="AJ57" s="147"/>
      <c r="AK57" s="147"/>
      <c r="AL57" s="6"/>
      <c r="AM57" s="6"/>
      <c r="AN57" s="147"/>
      <c r="AO57" s="147"/>
    </row>
    <row r="58" spans="1:58" customHeight="1" ht="13.9">
      <c r="A58" s="326" t="s">
        <v>105</v>
      </c>
      <c r="B58" s="322">
        <f>IF(AS36="",0,AS36)</f>
        <v>0</v>
      </c>
      <c r="E58" s="137"/>
      <c r="F58" s="326"/>
      <c r="G58" s="216"/>
      <c r="H58" s="323"/>
      <c r="K58" s="326" t="s">
        <v>106</v>
      </c>
      <c r="L58" s="216"/>
      <c r="M58" s="332">
        <f>AX36</f>
        <v>0</v>
      </c>
      <c r="N58" s="332"/>
      <c r="O58" s="216" t="s">
        <v>107</v>
      </c>
      <c r="P58" s="140"/>
      <c r="S58" s="156"/>
      <c r="V58" s="142"/>
      <c r="X58" s="4"/>
      <c r="AB58" s="157"/>
      <c r="AD58" s="4"/>
      <c r="AH58" s="6"/>
      <c r="AJ58" s="147"/>
      <c r="AK58" s="147"/>
      <c r="AL58" s="6"/>
      <c r="AM58" s="6"/>
      <c r="AN58" s="147"/>
      <c r="AO58" s="147"/>
    </row>
    <row r="59" spans="1:58" customHeight="1" ht="13.9">
      <c r="A59" s="326" t="s">
        <v>108</v>
      </c>
      <c r="B59" s="322">
        <f>IF(AU36="",0,AU36)</f>
        <v>0</v>
      </c>
      <c r="E59" s="137"/>
      <c r="F59" s="328" t="s">
        <v>109</v>
      </c>
      <c r="G59" s="329"/>
      <c r="H59" s="330" t="s">
        <v>110</v>
      </c>
      <c r="K59" s="326" t="s">
        <v>111</v>
      </c>
      <c r="L59" s="216"/>
      <c r="M59" s="332">
        <f>AY36</f>
        <v>0</v>
      </c>
      <c r="N59" s="332"/>
      <c r="O59" s="323" t="s">
        <v>107</v>
      </c>
      <c r="S59" s="156"/>
      <c r="W59" s="156"/>
      <c r="AC59" s="247"/>
      <c r="AD59" s="157"/>
      <c r="AE59" s="157"/>
      <c r="AF59" s="157"/>
      <c r="AG59" s="6"/>
      <c r="AJ59" s="147"/>
      <c r="AK59" s="6"/>
      <c r="AL59" s="147"/>
      <c r="AM59" s="147"/>
      <c r="AN59" s="147"/>
    </row>
    <row r="60" spans="1:58" customHeight="1" ht="13.9">
      <c r="A60" s="326" t="s">
        <v>112</v>
      </c>
      <c r="B60" s="323">
        <f>31-COUNTBLANK(A4:A35)</f>
        <v>-1</v>
      </c>
      <c r="F60" s="331" t="s">
        <v>113</v>
      </c>
      <c r="G60" s="664" t="e">
        <f>G59/(B50*1000)</f>
        <v>#DIV/0!</v>
      </c>
      <c r="H60" s="664"/>
      <c r="I60" s="376"/>
      <c r="J60" s="136"/>
      <c r="K60" s="418" t="s">
        <v>92</v>
      </c>
      <c r="L60" s="483"/>
      <c r="M60" s="419" t="e">
        <f>M59/M58</f>
        <v>#DIV/0!</v>
      </c>
      <c r="N60" s="419"/>
      <c r="O60" s="420"/>
      <c r="S60" s="145"/>
      <c r="T60" s="665" t="s">
        <v>114</v>
      </c>
      <c r="U60" s="666"/>
      <c r="V60" s="667"/>
      <c r="X60" s="4"/>
      <c r="Y60" s="472" t="s">
        <v>115</v>
      </c>
      <c r="Z60" s="273" t="s">
        <v>169</v>
      </c>
      <c r="AA60" s="273">
        <v>900</v>
      </c>
      <c r="AB60" s="273" t="s">
        <v>117</v>
      </c>
      <c r="AC60" s="273">
        <v>7200</v>
      </c>
      <c r="AD60" s="273">
        <v>4200</v>
      </c>
      <c r="AE60" s="273">
        <v>8530</v>
      </c>
      <c r="AF60" s="157"/>
      <c r="AG60" s="6"/>
      <c r="AJ60" s="147"/>
      <c r="AK60" s="6"/>
      <c r="AL60" s="147"/>
      <c r="AM60" s="147"/>
      <c r="AN60" s="147"/>
    </row>
    <row r="61" spans="1:58" customHeight="1" ht="13.9">
      <c r="A61" s="370" t="s">
        <v>118</v>
      </c>
      <c r="B61" s="324">
        <f>AD40+AD48</f>
        <v>0</v>
      </c>
      <c r="G61" s="156" t="s">
        <v>119</v>
      </c>
      <c r="O61" s="4"/>
      <c r="P61" s="4"/>
      <c r="T61" s="354" t="s">
        <v>120</v>
      </c>
      <c r="U61" s="668"/>
      <c r="V61" s="669"/>
      <c r="X61" s="165" t="str">
        <f>C82</f>
        <v>Extrapan
 50</v>
      </c>
      <c r="Y61" s="531"/>
      <c r="Z61" s="531"/>
      <c r="AA61" s="531"/>
      <c r="AB61" s="531"/>
      <c r="AC61" s="531"/>
      <c r="AD61" s="531"/>
      <c r="AE61" s="531"/>
      <c r="AG61" s="147"/>
      <c r="AH61" s="147"/>
      <c r="AI61" s="6"/>
      <c r="AJ61" s="6"/>
      <c r="AK61" s="147"/>
      <c r="AL61" s="147"/>
      <c r="AM61" s="147"/>
    </row>
    <row r="62" spans="1:58" customHeight="1" ht="14.45">
      <c r="A62" s="259" t="s">
        <v>121</v>
      </c>
      <c r="B62" s="477">
        <f>B50/B67</f>
        <v>0</v>
      </c>
      <c r="E62" s="136"/>
      <c r="F62" s="655" t="s">
        <v>122</v>
      </c>
      <c r="G62" s="656"/>
      <c r="H62" s="657"/>
      <c r="K62" s="655" t="s">
        <v>123</v>
      </c>
      <c r="L62" s="656"/>
      <c r="M62" s="656"/>
      <c r="N62" s="656"/>
      <c r="O62" s="656"/>
      <c r="P62" s="519"/>
      <c r="Q62" s="133"/>
      <c r="R62" s="162"/>
      <c r="S62" s="162"/>
      <c r="T62" s="354" t="s">
        <v>124</v>
      </c>
      <c r="U62" s="658">
        <f>AZ4</f>
        <v>0</v>
      </c>
      <c r="V62" s="659"/>
      <c r="W62" s="162"/>
      <c r="X62" s="165" t="str">
        <f>C85</f>
        <v>Extrapan
25</v>
      </c>
      <c r="Y62" s="532"/>
      <c r="Z62" s="532"/>
      <c r="AA62" s="532"/>
      <c r="AB62" s="532"/>
      <c r="AC62" s="532"/>
      <c r="AD62" s="532"/>
      <c r="AE62" s="532"/>
      <c r="AG62" s="147"/>
      <c r="AH62" s="147"/>
      <c r="AI62" s="6"/>
      <c r="AJ62" s="6"/>
      <c r="AK62" s="147"/>
      <c r="AL62" s="147"/>
      <c r="AM62" s="147"/>
    </row>
    <row r="63" spans="1:58" customHeight="1" ht="14.45">
      <c r="A63" s="256" t="s">
        <v>125</v>
      </c>
      <c r="B63" s="502" t="e">
        <f>B75/B50</f>
        <v>#DIV/0!</v>
      </c>
      <c r="F63" s="632" t="s">
        <v>126</v>
      </c>
      <c r="G63" s="633"/>
      <c r="H63" s="268"/>
      <c r="I63" s="140"/>
      <c r="J63" s="136"/>
      <c r="K63" s="1" t="s">
        <v>127</v>
      </c>
      <c r="O63" s="520">
        <v>662</v>
      </c>
      <c r="R63" s="162"/>
      <c r="S63" s="162"/>
      <c r="T63" s="162"/>
      <c r="U63" s="162"/>
      <c r="V63" s="162"/>
      <c r="W63" s="162"/>
      <c r="X63" s="165" t="str">
        <f>C86</f>
        <v>Extrapan
10</v>
      </c>
      <c r="Y63" s="532"/>
      <c r="Z63" s="532"/>
      <c r="AA63" s="532"/>
      <c r="AB63" s="532"/>
      <c r="AC63" s="532"/>
      <c r="AD63" s="532"/>
      <c r="AE63" s="532"/>
      <c r="AG63" s="147"/>
      <c r="AH63" s="147"/>
      <c r="AI63" s="6"/>
      <c r="AJ63" s="6"/>
      <c r="AK63" s="147"/>
      <c r="AL63" s="147"/>
      <c r="AM63" s="147"/>
    </row>
    <row r="64" spans="1:58" customHeight="1" ht="14.45">
      <c r="A64" s="258" t="s">
        <v>128</v>
      </c>
      <c r="B64" s="503" t="e">
        <f>B76/B50</f>
        <v>#DIV/0!</v>
      </c>
      <c r="F64" s="140" t="s">
        <v>129</v>
      </c>
      <c r="H64" s="474">
        <f>(H63*1)*2</f>
        <v>0</v>
      </c>
      <c r="I64" s="140"/>
      <c r="K64" s="140" t="s">
        <v>129</v>
      </c>
      <c r="O64" s="474">
        <f>O63/30</f>
        <v>22.066666666666666</v>
      </c>
      <c r="T64" s="634" t="s">
        <v>130</v>
      </c>
      <c r="U64" s="635"/>
      <c r="V64" s="636"/>
      <c r="X64" s="165" t="str">
        <f>C87</f>
        <v>Artesanal 
50</v>
      </c>
      <c r="Y64" s="531"/>
      <c r="Z64" s="531"/>
      <c r="AA64" s="531"/>
      <c r="AB64" s="531"/>
      <c r="AC64" s="531"/>
      <c r="AD64" s="531"/>
      <c r="AE64" s="531"/>
      <c r="AG64" s="147"/>
      <c r="AH64" s="147"/>
      <c r="AI64" s="6"/>
      <c r="AJ64" s="6"/>
      <c r="AK64" s="147"/>
      <c r="AL64" s="147"/>
      <c r="AM64" s="147"/>
    </row>
    <row r="65" spans="1:58">
      <c r="F65" s="637" t="s">
        <v>131</v>
      </c>
      <c r="G65" s="638"/>
      <c r="H65" s="639"/>
      <c r="I65" s="140"/>
      <c r="J65" s="136"/>
      <c r="K65" s="1" t="s">
        <v>132</v>
      </c>
      <c r="P65" s="140"/>
      <c r="T65" s="417" t="s">
        <v>133</v>
      </c>
      <c r="U65" s="732"/>
      <c r="V65" s="733"/>
      <c r="X65" s="165" t="str">
        <f>C89</f>
        <v>Artesanal
25</v>
      </c>
      <c r="Y65" s="532"/>
      <c r="Z65" s="532"/>
      <c r="AA65" s="532"/>
      <c r="AB65" s="532"/>
      <c r="AC65" s="532"/>
      <c r="AD65" s="532"/>
      <c r="AE65" s="532"/>
      <c r="AG65" s="147"/>
      <c r="AH65" s="147"/>
      <c r="AI65" s="6"/>
      <c r="AJ65" s="6"/>
      <c r="AK65" s="147"/>
      <c r="AL65" s="147"/>
      <c r="AM65" s="147"/>
    </row>
    <row r="66" spans="1:58" customHeight="1" ht="14.45">
      <c r="A66" s="371" t="s">
        <v>134</v>
      </c>
      <c r="B66" s="373"/>
      <c r="F66" s="630" t="s">
        <v>91</v>
      </c>
      <c r="G66" s="642"/>
      <c r="H66" s="270"/>
      <c r="I66" s="140"/>
      <c r="K66" s="159" t="s">
        <v>94</v>
      </c>
      <c r="L66" s="158"/>
      <c r="M66" s="158"/>
      <c r="N66" s="158"/>
      <c r="O66" s="478"/>
      <c r="P66" s="524"/>
      <c r="T66" s="417" t="s">
        <v>135</v>
      </c>
      <c r="U66" s="651"/>
      <c r="V66" s="652"/>
      <c r="X66" s="165" t="str">
        <f>C92</f>
        <v>Natural 
50</v>
      </c>
      <c r="Y66" s="532"/>
      <c r="Z66" s="532"/>
      <c r="AA66" s="532"/>
      <c r="AB66" s="532"/>
      <c r="AC66" s="532"/>
      <c r="AD66" s="532"/>
      <c r="AE66" s="532"/>
      <c r="AG66" s="147"/>
      <c r="AH66" s="147"/>
      <c r="AI66" s="147"/>
      <c r="AJ66" s="147"/>
      <c r="AK66" s="6"/>
      <c r="AL66" s="6"/>
      <c r="AM66" s="147"/>
      <c r="AN66" s="147"/>
    </row>
    <row r="67" spans="1:58" customHeight="1" ht="14.45">
      <c r="A67" s="255" t="s">
        <v>136</v>
      </c>
      <c r="B67" s="264">
        <v>24</v>
      </c>
      <c r="F67" s="140" t="s">
        <v>137</v>
      </c>
      <c r="G67" s="475"/>
      <c r="H67" s="267">
        <f>H64*G67</f>
        <v>0</v>
      </c>
      <c r="K67" s="140" t="s">
        <v>137</v>
      </c>
      <c r="L67" s="475">
        <v>100</v>
      </c>
      <c r="M67" s="367">
        <f>(O64*L67)</f>
        <v>2206.66666666666652</v>
      </c>
      <c r="P67" s="524"/>
      <c r="Q67" s="521"/>
      <c r="T67" s="417" t="s">
        <v>94</v>
      </c>
      <c r="U67" s="730"/>
      <c r="V67" s="731"/>
      <c r="X67" s="165" t="str">
        <f>C99</f>
        <v>Harina Tortas y Ponques</v>
      </c>
      <c r="Y67" s="531"/>
      <c r="Z67" s="531"/>
      <c r="AA67" s="531"/>
      <c r="AB67" s="531"/>
      <c r="AC67" s="531"/>
      <c r="AD67" s="531"/>
      <c r="AE67" s="531"/>
      <c r="AG67" s="147"/>
      <c r="AH67" s="147"/>
      <c r="AI67" s="6"/>
      <c r="AJ67" s="6"/>
      <c r="AK67" s="147"/>
      <c r="AL67" s="147"/>
      <c r="AM67" s="147"/>
    </row>
    <row r="68" spans="1:58" customHeight="1" ht="14.45">
      <c r="A68" s="255" t="s">
        <v>138</v>
      </c>
      <c r="B68" s="265">
        <v>28760</v>
      </c>
      <c r="F68" s="148" t="s">
        <v>139</v>
      </c>
      <c r="G68" s="649">
        <f>(G67*436*1.7321*0.96)/1000</f>
        <v>0</v>
      </c>
      <c r="H68" s="650">
        <f>(H67*436*1.7321*0.96)/1000</f>
        <v>0</v>
      </c>
      <c r="K68" s="148" t="s">
        <v>139</v>
      </c>
      <c r="L68" s="271">
        <f>(L67*436*1.7321*0.96)/1000</f>
        <v>72.4987776</v>
      </c>
      <c r="M68" s="156"/>
      <c r="O68" s="525"/>
      <c r="P68" s="522"/>
      <c r="T68" s="354" t="s">
        <v>140</v>
      </c>
      <c r="U68" s="651"/>
      <c r="V68" s="652"/>
      <c r="X68" s="165" t="str">
        <f>C100</f>
        <v>Harina Galeras Ligera</v>
      </c>
      <c r="Y68" s="532"/>
      <c r="Z68" s="532"/>
      <c r="AA68" s="532"/>
      <c r="AB68" s="532"/>
      <c r="AC68" s="532"/>
      <c r="AD68" s="532"/>
      <c r="AE68" s="532"/>
      <c r="AG68" s="147"/>
      <c r="AH68" s="147"/>
      <c r="AI68" s="147"/>
      <c r="AJ68" s="147"/>
      <c r="AK68" s="6"/>
      <c r="AL68" s="6"/>
      <c r="AM68" s="147"/>
      <c r="AN68" s="147"/>
    </row>
    <row r="69" spans="1:58">
      <c r="A69" s="156" t="s">
        <v>142</v>
      </c>
      <c r="B69" s="424">
        <v>36087</v>
      </c>
      <c r="F69" s="140" t="s">
        <v>143</v>
      </c>
      <c r="G69" s="653">
        <f>G68*H63</f>
        <v>0</v>
      </c>
      <c r="H69" s="639"/>
      <c r="K69" s="140" t="s">
        <v>143</v>
      </c>
      <c r="M69" s="653">
        <f>L68*O64</f>
        <v>1599.80635903999996</v>
      </c>
      <c r="N69" s="653"/>
      <c r="O69" s="654"/>
      <c r="X69" s="165" t="str">
        <f>C103</f>
        <v>Harina de alta proteina x 1
G</v>
      </c>
      <c r="Y69" s="532"/>
      <c r="Z69" s="532"/>
      <c r="AA69" s="532"/>
      <c r="AB69" s="532"/>
      <c r="AC69" s="532"/>
      <c r="AD69" s="532"/>
      <c r="AE69" s="532"/>
      <c r="AG69" s="147"/>
      <c r="AH69" s="147"/>
      <c r="AI69" s="147"/>
      <c r="AJ69" s="147"/>
      <c r="AK69" s="6"/>
      <c r="AL69" s="6"/>
      <c r="AM69" s="147"/>
      <c r="AN69" s="147"/>
    </row>
    <row r="70" spans="1:58" customHeight="1" ht="14.45">
      <c r="A70" s="257" t="s">
        <v>144</v>
      </c>
      <c r="B70" s="266">
        <f>+B51/B68</f>
        <v>0</v>
      </c>
      <c r="F70" s="632" t="s">
        <v>86</v>
      </c>
      <c r="G70" s="633"/>
      <c r="H70" s="269">
        <f>G69*H50</f>
        <v>0</v>
      </c>
      <c r="K70" s="140" t="s">
        <v>86</v>
      </c>
      <c r="M70" s="352">
        <f>M69*H50</f>
        <v>0</v>
      </c>
      <c r="O70" s="136"/>
      <c r="P70" s="523"/>
      <c r="Q70" s="523"/>
      <c r="T70" s="374" t="s">
        <v>145</v>
      </c>
      <c r="U70" s="374"/>
      <c r="V70" s="374"/>
      <c r="X70" s="165" t="s">
        <v>67</v>
      </c>
      <c r="Y70" s="533"/>
      <c r="Z70" s="533"/>
      <c r="AA70" s="533"/>
      <c r="AB70" s="533"/>
      <c r="AC70" s="533"/>
      <c r="AD70" s="533"/>
      <c r="AE70" s="533"/>
      <c r="AG70" s="6"/>
      <c r="AI70" s="147"/>
      <c r="AJ70" s="147"/>
      <c r="AK70" s="147"/>
      <c r="AL70" s="147"/>
      <c r="AM70" s="147"/>
      <c r="AN70" s="6"/>
      <c r="AO70" s="147"/>
      <c r="AP70" s="147"/>
    </row>
    <row r="71" spans="1:58" customHeight="1" ht="22.5">
      <c r="A71" s="257" t="s">
        <v>146</v>
      </c>
      <c r="B71" s="266">
        <f>+B51/B69</f>
        <v>0</v>
      </c>
      <c r="F71" s="159"/>
      <c r="G71" s="158"/>
      <c r="H71" s="151"/>
      <c r="K71" s="159"/>
      <c r="L71" s="158"/>
      <c r="M71" s="158"/>
      <c r="N71" s="158"/>
      <c r="O71" s="151"/>
      <c r="T71" s="253" t="s">
        <v>147</v>
      </c>
      <c r="U71" s="254"/>
      <c r="V71" s="645">
        <f>AP36*(U71+U72)</f>
        <v>0</v>
      </c>
      <c r="X71" s="202" t="s">
        <v>141</v>
      </c>
      <c r="Y71" s="203"/>
      <c r="Z71" s="203"/>
      <c r="AA71" s="203"/>
      <c r="AB71" s="203"/>
      <c r="AC71" s="203"/>
      <c r="AE71" s="6"/>
      <c r="AG71" s="6"/>
      <c r="AI71" s="147"/>
      <c r="AJ71" s="147"/>
      <c r="AK71" s="147"/>
      <c r="AL71" s="147"/>
      <c r="AM71" s="147"/>
      <c r="AN71" s="6"/>
      <c r="AO71" s="147"/>
      <c r="AP71" s="147"/>
    </row>
    <row r="72" spans="1:58">
      <c r="T72" s="253" t="s">
        <v>151</v>
      </c>
      <c r="U72" s="254"/>
      <c r="V72" s="646"/>
      <c r="X72" s="202"/>
      <c r="Y72" s="245"/>
      <c r="Z72" s="245"/>
      <c r="AA72" s="245"/>
      <c r="AB72" s="245"/>
      <c r="AC72" s="245"/>
      <c r="AE72" s="6"/>
      <c r="AG72" s="6"/>
      <c r="AI72" s="147"/>
      <c r="AJ72" s="147"/>
      <c r="AK72" s="147"/>
      <c r="AL72" s="147"/>
      <c r="AM72" s="147"/>
      <c r="AN72" s="6"/>
      <c r="AO72" s="147"/>
      <c r="AP72" s="147"/>
    </row>
    <row r="73" spans="1:58">
      <c r="AE73" s="6"/>
      <c r="AG73" s="6"/>
      <c r="AI73" s="147"/>
      <c r="AJ73" s="147"/>
      <c r="AK73" s="147"/>
      <c r="AL73" s="147"/>
      <c r="AM73" s="147"/>
      <c r="AN73" s="6"/>
      <c r="AO73" s="147"/>
      <c r="AP73" s="147"/>
    </row>
    <row r="74" spans="1:58" customHeight="1" ht="14.45">
      <c r="A74" s="371" t="s">
        <v>154</v>
      </c>
      <c r="B74" s="372"/>
      <c r="C74" s="140"/>
      <c r="Y74" s="156" t="s">
        <v>148</v>
      </c>
      <c r="Z74" s="1" t="s">
        <v>149</v>
      </c>
      <c r="AA74" s="1" t="s">
        <v>150</v>
      </c>
      <c r="AE74" s="6"/>
      <c r="AG74" s="6"/>
      <c r="AI74" s="147"/>
      <c r="AJ74" s="147"/>
      <c r="AK74" s="147"/>
      <c r="AL74" s="147"/>
      <c r="AM74" s="147"/>
      <c r="AN74" s="6"/>
      <c r="AO74" s="147"/>
      <c r="AP74" s="147"/>
    </row>
    <row r="75" spans="1:58" customHeight="1" ht="14.45">
      <c r="A75" s="260" t="s">
        <v>155</v>
      </c>
      <c r="B75" s="262">
        <v>64062235</v>
      </c>
      <c r="Y75" s="209" t="s">
        <v>152</v>
      </c>
      <c r="Z75" s="7">
        <v>12.5</v>
      </c>
      <c r="AA75" s="7">
        <v>13.5</v>
      </c>
      <c r="AB75" s="7"/>
      <c r="AC75" s="1" t="s">
        <v>152</v>
      </c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8" customHeight="1" ht="14.45">
      <c r="A76" s="261" t="s">
        <v>156</v>
      </c>
      <c r="B76" s="263">
        <v>7837432</v>
      </c>
      <c r="Y76" s="209" t="s">
        <v>67</v>
      </c>
      <c r="Z76" s="212">
        <f>SUM(A82+A85+A86+A87+A89+A92+A94+A98+A100+A102+A103+A108+A105+A110+A113+A115+A109+A83+A84+A90+A88+A91+A96+A97+A104+A106+A111)*Z75</f>
        <v>0</v>
      </c>
      <c r="AA76" s="212">
        <f>(A95+A99)*AA75</f>
        <v>0</v>
      </c>
      <c r="AB76" s="240"/>
      <c r="AC76" s="156" t="s">
        <v>153</v>
      </c>
      <c r="AE76" s="206"/>
      <c r="AK76" s="147"/>
      <c r="AL76" s="147"/>
      <c r="AM76" s="147"/>
      <c r="AN76" s="6"/>
      <c r="AO76" s="147"/>
      <c r="AP76" s="147"/>
    </row>
    <row r="77" spans="1:58">
      <c r="Y77" s="202" t="s">
        <v>141</v>
      </c>
      <c r="Z77" s="142"/>
      <c r="AA77" s="142"/>
      <c r="AB77" s="142"/>
      <c r="AC77" s="156" t="s">
        <v>153</v>
      </c>
      <c r="AE77" s="206"/>
      <c r="AK77" s="147"/>
      <c r="AL77" s="147"/>
      <c r="AM77" s="147"/>
      <c r="AN77" s="6"/>
      <c r="AO77" s="147"/>
      <c r="AP77" s="147"/>
      <c r="AQ77" s="147"/>
      <c r="AR77" s="147"/>
    </row>
    <row r="78" spans="1:58">
      <c r="X78" s="169"/>
      <c r="AK78" s="147"/>
      <c r="AL78" s="147"/>
      <c r="AM78" s="147"/>
      <c r="AN78" s="6"/>
      <c r="AO78" s="147"/>
      <c r="AP78" s="147"/>
      <c r="AQ78" s="147"/>
      <c r="AR78" s="147"/>
    </row>
    <row r="79" spans="1:58">
      <c r="N79" s="4"/>
      <c r="X79" s="169"/>
      <c r="AE79" s="6"/>
      <c r="AK79" s="147"/>
      <c r="AL79" s="147"/>
      <c r="AM79" s="147"/>
      <c r="AN79" s="6"/>
      <c r="AO79" s="147"/>
      <c r="AP79" s="147"/>
      <c r="AQ79" s="147"/>
      <c r="AR79" s="147"/>
    </row>
    <row r="80" spans="1:58" customHeight="1" ht="16.35">
      <c r="A80" s="170"/>
      <c r="C80" s="171"/>
      <c r="D80" s="423" t="s">
        <v>157</v>
      </c>
      <c r="E80" s="423" t="s">
        <v>158</v>
      </c>
      <c r="F80" s="423" t="s">
        <v>94</v>
      </c>
      <c r="G80" s="423" t="s">
        <v>91</v>
      </c>
      <c r="AE80" s="6"/>
      <c r="AK80" s="147"/>
      <c r="AL80" s="147"/>
      <c r="AM80" s="147"/>
    </row>
    <row r="81" spans="1:58" customHeight="1" ht="16.35">
      <c r="A81" s="356" t="s">
        <v>45</v>
      </c>
      <c r="B81" s="472" t="s">
        <v>159</v>
      </c>
      <c r="C81" s="176" t="s">
        <v>160</v>
      </c>
      <c r="D81" s="178" t="s">
        <v>161</v>
      </c>
      <c r="E81" s="178" t="s">
        <v>161</v>
      </c>
      <c r="F81" s="178" t="s">
        <v>161</v>
      </c>
      <c r="G81" s="178" t="s">
        <v>161</v>
      </c>
      <c r="AE81" s="6"/>
      <c r="AK81" s="147"/>
      <c r="AL81" s="147"/>
      <c r="AM81" s="147"/>
    </row>
    <row r="82" spans="1:58" customHeight="1" ht="16.35">
      <c r="A82" s="139">
        <f>C36</f>
        <v>0</v>
      </c>
      <c r="B82" s="139">
        <f>IF(A82=0,0,((A82*50)/$B$53))</f>
        <v>0</v>
      </c>
      <c r="C82" s="180" t="s">
        <v>16</v>
      </c>
      <c r="D82" s="569">
        <v>0.8</v>
      </c>
      <c r="E82" s="570">
        <v>0.2</v>
      </c>
      <c r="F82" s="571"/>
      <c r="G82" s="572"/>
      <c r="Z82" s="213"/>
      <c r="AA82" s="213"/>
      <c r="AB82" s="213"/>
      <c r="AC82" s="213"/>
      <c r="AD82" s="213"/>
      <c r="AE82" s="6"/>
      <c r="AK82" s="147"/>
      <c r="AL82" s="147"/>
      <c r="AM82" s="147"/>
    </row>
    <row r="83" spans="1:58" customHeight="1" ht="16.35">
      <c r="A83" s="139">
        <f>C38</f>
        <v>0</v>
      </c>
      <c r="B83" s="139">
        <f>IF(A83=0,0,((A83*50)/$B$53))</f>
        <v>0</v>
      </c>
      <c r="C83" s="180" t="s">
        <v>16</v>
      </c>
      <c r="D83" s="573"/>
      <c r="E83" s="186"/>
      <c r="F83" s="462"/>
      <c r="G83" s="574"/>
      <c r="Z83" s="213"/>
      <c r="AA83" s="213"/>
      <c r="AB83" s="213"/>
      <c r="AC83" s="213"/>
      <c r="AD83" s="213"/>
      <c r="AE83" s="6"/>
      <c r="AK83" s="147"/>
      <c r="AL83" s="147"/>
      <c r="AM83" s="147"/>
    </row>
    <row r="84" spans="1:58" customHeight="1" ht="16.35">
      <c r="A84" s="139">
        <f>C39</f>
        <v>0</v>
      </c>
      <c r="B84" s="139">
        <f>IF(A84=0,0,((A84*50)/$B$53))</f>
        <v>0</v>
      </c>
      <c r="C84" s="180" t="s">
        <v>16</v>
      </c>
      <c r="D84" s="575">
        <v>0.8</v>
      </c>
      <c r="E84" s="382">
        <v>0.2</v>
      </c>
      <c r="F84" s="382"/>
      <c r="G84" s="574"/>
      <c r="Z84" s="213"/>
      <c r="AA84" s="213"/>
      <c r="AB84" s="213"/>
      <c r="AC84" s="213"/>
      <c r="AD84" s="213"/>
      <c r="AE84" s="6"/>
      <c r="AK84" s="147"/>
      <c r="AL84" s="147"/>
      <c r="AM84" s="147"/>
    </row>
    <row r="85" spans="1:58" customHeight="1" ht="16.35">
      <c r="A85" s="139">
        <f>D36/2</f>
        <v>0</v>
      </c>
      <c r="B85" s="139">
        <f>IF(A85=0,0,((A85*50)/$B$53))</f>
        <v>0</v>
      </c>
      <c r="C85" s="180" t="str">
        <f>D3</f>
        <v>Extrapan
25</v>
      </c>
      <c r="D85" s="573">
        <v>0.8</v>
      </c>
      <c r="E85" s="186">
        <v>0.2</v>
      </c>
      <c r="F85" s="186"/>
      <c r="G85" s="576"/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8" customHeight="1" ht="16.35">
      <c r="A86" s="139">
        <f>E36/5</f>
        <v>0</v>
      </c>
      <c r="B86" s="139">
        <f>IF(A86=0,0,((A86*50)/$B$53))</f>
        <v>0</v>
      </c>
      <c r="C86" s="189" t="str">
        <f>E3</f>
        <v>Extrapan
10</v>
      </c>
      <c r="D86" s="573">
        <v>0.8</v>
      </c>
      <c r="E86" s="186">
        <v>0.2</v>
      </c>
      <c r="F86" s="186"/>
      <c r="G86" s="576"/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8" customHeight="1" ht="16.35">
      <c r="A87" s="139">
        <f>F36</f>
        <v>0</v>
      </c>
      <c r="B87" s="139">
        <f>IF(A87=0,0,((A87*50)/$B$53))</f>
        <v>0</v>
      </c>
      <c r="C87" s="189" t="str">
        <f>F3</f>
        <v>Artesanal 
50</v>
      </c>
      <c r="D87" s="573">
        <v>0.6</v>
      </c>
      <c r="E87" s="186">
        <v>0.15</v>
      </c>
      <c r="F87" s="186">
        <v>0.25</v>
      </c>
      <c r="G87" s="576"/>
      <c r="J87" s="137"/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8" customHeight="1" ht="16.35">
      <c r="A88" s="139">
        <f>F38</f>
        <v>0</v>
      </c>
      <c r="B88" s="139">
        <f>IF(A88=0,0,((A88*50)/$B$53))</f>
        <v>0</v>
      </c>
      <c r="C88" s="568" t="str">
        <f>C87</f>
        <v>Artesanal 
50</v>
      </c>
      <c r="D88" s="573"/>
      <c r="E88" s="186"/>
      <c r="F88" s="186"/>
      <c r="G88" s="576"/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8" customHeight="1" ht="16.35">
      <c r="A89" s="139">
        <f>G36/2</f>
        <v>0</v>
      </c>
      <c r="B89" s="139">
        <f>IF(A89=0,0,((A89*50)/$B$53))</f>
        <v>0</v>
      </c>
      <c r="C89" s="190" t="str">
        <f>G3</f>
        <v>Artesanal
25</v>
      </c>
      <c r="D89" s="573">
        <v>0.6</v>
      </c>
      <c r="E89" s="186">
        <v>0.15</v>
      </c>
      <c r="F89" s="186">
        <v>0.25</v>
      </c>
      <c r="G89" s="576"/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8" customHeight="1" ht="16.35">
      <c r="A90" s="139">
        <f>G38/2</f>
        <v>0</v>
      </c>
      <c r="B90" s="139">
        <f>IF(A90=0,0,((A90*50)/$B$53))</f>
        <v>0</v>
      </c>
      <c r="C90" s="190" t="str">
        <f>C89</f>
        <v>Artesanal
25</v>
      </c>
      <c r="D90" s="573"/>
      <c r="E90" s="186"/>
      <c r="F90" s="186"/>
      <c r="G90" s="576"/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8" customHeight="1" ht="16.35">
      <c r="A91" s="139">
        <f>H36</f>
        <v>0</v>
      </c>
      <c r="B91" s="139">
        <f>IF(A91=0,0,((A91*50)/$B$53))</f>
        <v>0</v>
      </c>
      <c r="C91" s="180" t="str">
        <f>H3</f>
        <v>Natural 
50</v>
      </c>
      <c r="D91" s="573">
        <v>0.7</v>
      </c>
      <c r="E91" s="186">
        <v>0.07</v>
      </c>
      <c r="F91" s="186">
        <v>0.23</v>
      </c>
      <c r="G91" s="576"/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8" customHeight="1" ht="16.35">
      <c r="A92" s="139">
        <f>H38</f>
        <v>0</v>
      </c>
      <c r="B92" s="139">
        <f>IF(A92=0,0,((A92*50)/$B$53))</f>
        <v>0</v>
      </c>
      <c r="C92" s="180" t="str">
        <f>H3</f>
        <v>Natural 
50</v>
      </c>
      <c r="D92" s="577"/>
      <c r="E92" s="578"/>
      <c r="F92" s="578"/>
      <c r="G92" s="579"/>
      <c r="V92" s="124"/>
      <c r="W92" s="124"/>
      <c r="Z92" s="6"/>
      <c r="AA92" s="6"/>
      <c r="AB92" s="6"/>
      <c r="AC92" s="6"/>
      <c r="AD92" s="6"/>
      <c r="AE92" s="6"/>
      <c r="AH92" s="147"/>
      <c r="AI92" s="147"/>
      <c r="AJ92" s="147"/>
    </row>
    <row r="93" spans="1:58" customHeight="1" ht="16.35">
      <c r="A93" s="139"/>
      <c r="B93" s="139">
        <f>IF(A93=0,0,((A93*50)/$B$53))</f>
        <v>0</v>
      </c>
      <c r="C93" s="548"/>
      <c r="D93" s="200"/>
      <c r="E93" s="200"/>
      <c r="F93" s="201"/>
      <c r="G93" s="201"/>
      <c r="V93" s="245"/>
      <c r="W93" s="245"/>
      <c r="Y93" s="213"/>
      <c r="Z93" s="6"/>
      <c r="AA93" s="6"/>
      <c r="AB93" s="6"/>
      <c r="AC93" s="6"/>
      <c r="AD93" s="6"/>
      <c r="AE93" s="6"/>
      <c r="AH93" s="147"/>
      <c r="AI93" s="147"/>
      <c r="AJ93" s="147"/>
    </row>
    <row r="94" spans="1:58" customHeight="1" ht="15.6">
      <c r="A94" s="139">
        <f>I36/2</f>
        <v>0</v>
      </c>
      <c r="B94" s="139">
        <f>IF(A94=0,0,((A94*50)/$B$53))</f>
        <v>0</v>
      </c>
      <c r="C94" s="379" t="str">
        <f>I3</f>
        <v>Fuerte
25</v>
      </c>
      <c r="D94" s="463">
        <v>0.57</v>
      </c>
      <c r="E94" s="182">
        <v>0.13</v>
      </c>
      <c r="F94" s="182">
        <v>0.3</v>
      </c>
      <c r="G94" s="506"/>
      <c r="Y94" s="213"/>
      <c r="Z94" s="6"/>
      <c r="AA94" s="6"/>
      <c r="AB94" s="6"/>
      <c r="AC94" s="6"/>
      <c r="AD94" s="6"/>
      <c r="AE94" s="6"/>
      <c r="AH94" s="147"/>
      <c r="AI94" s="147"/>
      <c r="AJ94" s="147"/>
    </row>
    <row r="95" spans="1:58" customHeight="1" ht="16.35">
      <c r="A95" s="139">
        <f>J36/2</f>
        <v>0</v>
      </c>
      <c r="B95" s="139">
        <f>IF(A95=0,0,((A95*50)/$B$53))</f>
        <v>0</v>
      </c>
      <c r="C95" s="448" t="str">
        <f>J3</f>
        <v>Fuerte exp
25</v>
      </c>
      <c r="D95" s="462">
        <v>0.57</v>
      </c>
      <c r="E95" s="186">
        <v>0.13</v>
      </c>
      <c r="F95" s="382">
        <v>0.3</v>
      </c>
      <c r="G95" s="504"/>
      <c r="Y95" s="213"/>
      <c r="Z95" s="6"/>
      <c r="AA95" s="6"/>
      <c r="AB95" s="6"/>
      <c r="AC95" s="6"/>
      <c r="AD95" s="6"/>
      <c r="AE95" s="6"/>
      <c r="AH95" s="147"/>
      <c r="AI95" s="147"/>
      <c r="AJ95" s="147"/>
    </row>
    <row r="96" spans="1:58" customHeight="1" ht="16.35">
      <c r="A96" s="139">
        <f>I38/2</f>
        <v>0</v>
      </c>
      <c r="B96" s="139">
        <f>IF(A96=0,0,((A96*50)/$B$53))</f>
        <v>0</v>
      </c>
      <c r="C96" s="379" t="str">
        <f>I3</f>
        <v>Fuerte
25</v>
      </c>
      <c r="D96" s="462"/>
      <c r="E96" s="186"/>
      <c r="F96" s="382"/>
      <c r="G96" s="504"/>
      <c r="Y96" s="213"/>
      <c r="Z96" s="6"/>
      <c r="AA96" s="6"/>
      <c r="AB96" s="6"/>
      <c r="AC96" s="6"/>
      <c r="AD96" s="6"/>
      <c r="AE96" s="6"/>
      <c r="AH96" s="147"/>
      <c r="AI96" s="147"/>
      <c r="AJ96" s="147"/>
    </row>
    <row r="97" spans="1:58" customHeight="1" ht="16.35">
      <c r="A97" s="139">
        <f>I39/2</f>
        <v>0</v>
      </c>
      <c r="B97" s="139">
        <f>IF(A97=0,0,((A97*50)/$B$53))</f>
        <v>0</v>
      </c>
      <c r="C97" s="379" t="str">
        <f>C96</f>
        <v>Fuerte
25</v>
      </c>
      <c r="D97" s="462"/>
      <c r="E97" s="186"/>
      <c r="F97" s="382"/>
      <c r="G97" s="504"/>
      <c r="Y97" s="213"/>
      <c r="Z97" s="6"/>
      <c r="AA97" s="6"/>
      <c r="AB97" s="6"/>
      <c r="AC97" s="6"/>
      <c r="AD97" s="6"/>
      <c r="AE97" s="6"/>
      <c r="AH97" s="147"/>
      <c r="AI97" s="147"/>
      <c r="AJ97" s="147"/>
    </row>
    <row r="98" spans="1:58" customHeight="1" ht="16.35">
      <c r="A98" s="139">
        <f>K36</f>
        <v>0</v>
      </c>
      <c r="B98" s="139">
        <f>IF(A98=0,0,((A98*50)/$B$53))</f>
        <v>0</v>
      </c>
      <c r="C98" s="379" t="str">
        <f>K3</f>
        <v>Exclusiva
50</v>
      </c>
      <c r="D98" s="462">
        <v>0.62</v>
      </c>
      <c r="E98" s="186">
        <v>0.13</v>
      </c>
      <c r="F98" s="382">
        <v>0.25</v>
      </c>
      <c r="G98" s="504"/>
      <c r="Y98" s="213"/>
      <c r="Z98" s="6"/>
      <c r="AA98" s="6"/>
      <c r="AB98" s="6"/>
      <c r="AC98" s="6"/>
      <c r="AD98" s="6"/>
      <c r="AE98" s="6"/>
      <c r="AH98" s="147"/>
      <c r="AI98" s="147"/>
      <c r="AJ98" s="147"/>
    </row>
    <row r="99" spans="1:58" customHeight="1" ht="26.85">
      <c r="A99" s="139">
        <f>N36</f>
        <v>0</v>
      </c>
      <c r="B99" s="139">
        <f>IF(A99=0,0,((A99*50)/$B$53))</f>
        <v>0</v>
      </c>
      <c r="C99" s="449" t="str">
        <f>N3</f>
        <v>Harina Tortas y Ponques</v>
      </c>
      <c r="D99" s="462"/>
      <c r="E99" s="186"/>
      <c r="F99" s="186"/>
      <c r="G99" s="504"/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8" customHeight="1" ht="29.25">
      <c r="A100" s="139">
        <f>O36</f>
        <v>0</v>
      </c>
      <c r="B100" s="139">
        <f>IF(A100=0,0,((A100*50)/$B$53))</f>
        <v>0</v>
      </c>
      <c r="C100" s="449" t="str">
        <f>O3</f>
        <v>Harina Galeras Ligera</v>
      </c>
      <c r="D100" s="462"/>
      <c r="E100" s="186"/>
      <c r="F100" s="508"/>
      <c r="G100" s="188"/>
      <c r="H100" s="214"/>
      <c r="I100" s="214"/>
      <c r="J100" s="214"/>
      <c r="K100" s="156"/>
      <c r="L100" s="156"/>
      <c r="M100" s="156"/>
      <c r="N100" s="156"/>
      <c r="O100" s="202"/>
      <c r="P100" s="202"/>
      <c r="Q100" s="214"/>
      <c r="R100" s="214"/>
      <c r="S100" s="214"/>
      <c r="T100" s="156"/>
      <c r="U100" s="156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8" customHeight="1" ht="29.25">
      <c r="A101" s="139">
        <f>O38</f>
        <v>0</v>
      </c>
      <c r="B101" s="139">
        <f>IF(A101=0,0,((A101*50)/$B$53))</f>
        <v>0</v>
      </c>
      <c r="C101" s="449" t="str">
        <f>C100</f>
        <v>Harina Galeras Ligera</v>
      </c>
      <c r="D101" s="462"/>
      <c r="E101" s="186"/>
      <c r="F101" s="186"/>
      <c r="G101" s="504"/>
      <c r="H101" s="214"/>
      <c r="I101" s="214"/>
      <c r="J101" s="214"/>
      <c r="K101" s="156"/>
      <c r="L101" s="156"/>
      <c r="M101" s="156"/>
      <c r="N101" s="156"/>
      <c r="O101" s="202"/>
      <c r="P101" s="202"/>
      <c r="Q101" s="214"/>
      <c r="R101" s="214"/>
      <c r="S101" s="214"/>
      <c r="T101" s="156"/>
      <c r="U101" s="156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8" customHeight="1" ht="17.1">
      <c r="A102" s="139">
        <f>Q36</f>
        <v>0</v>
      </c>
      <c r="B102" s="139">
        <f>IF(A102=0,0,((A102*50)/$B$53))</f>
        <v>0</v>
      </c>
      <c r="C102" s="379" t="str">
        <f>Q3</f>
        <v>ESPECIAL
50</v>
      </c>
      <c r="D102" s="462"/>
      <c r="E102" s="186"/>
      <c r="F102" s="186"/>
      <c r="G102" s="505"/>
      <c r="X102" s="213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8" customHeight="1" ht="31.5">
      <c r="A103" s="139">
        <f>R36/50</f>
        <v>0</v>
      </c>
      <c r="B103" s="139">
        <f>IF(A103=0,0,((A103*50)/$B$53))</f>
        <v>0</v>
      </c>
      <c r="C103" s="449" t="str">
        <f>R3</f>
        <v>Harina de alta proteina x 1
G</v>
      </c>
      <c r="D103" s="462">
        <v>1</v>
      </c>
      <c r="E103" s="186"/>
      <c r="F103" s="186"/>
      <c r="G103" s="505"/>
      <c r="X103" s="213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8" customHeight="1" ht="16.35">
      <c r="A104" s="139">
        <f>R38/50</f>
        <v>0</v>
      </c>
      <c r="B104" s="139">
        <f>IF(A104=0,0,((A104*50)/$B$53))</f>
        <v>0</v>
      </c>
      <c r="C104" s="379" t="s">
        <v>170</v>
      </c>
      <c r="D104" s="381"/>
      <c r="E104" s="230"/>
      <c r="F104" s="230"/>
      <c r="G104" s="505"/>
      <c r="X104" s="213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8" customHeight="1" ht="27.6">
      <c r="A105" s="139">
        <f>S36/50</f>
        <v>0</v>
      </c>
      <c r="B105" s="139">
        <f>IF(A105=0,0,((A105*50)/$B$53))</f>
        <v>0</v>
      </c>
      <c r="C105" s="449" t="str">
        <f>S3</f>
        <v>Harina de baja proteina x 1</v>
      </c>
      <c r="D105" s="381"/>
      <c r="E105" s="230"/>
      <c r="F105" s="230">
        <v>1</v>
      </c>
      <c r="G105" s="505"/>
      <c r="X105" s="213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8" customHeight="1" ht="16.35">
      <c r="A106" s="139">
        <f>S38/50</f>
        <v>0</v>
      </c>
      <c r="B106" s="139">
        <f>IF(A106=0,0,((A106*50)/$B$53))</f>
        <v>0</v>
      </c>
      <c r="C106" s="449" t="s">
        <v>171</v>
      </c>
      <c r="D106" s="381"/>
      <c r="E106" s="230"/>
      <c r="F106" s="230"/>
      <c r="G106" s="507"/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8" customHeight="1" ht="16.35">
      <c r="A107" s="139">
        <f>S39/50</f>
        <v>0</v>
      </c>
      <c r="B107" s="139">
        <f>IF(A107=0,0,((A107*50)/$B$53))</f>
        <v>0</v>
      </c>
      <c r="C107" s="449" t="s">
        <v>171</v>
      </c>
      <c r="D107" s="381"/>
      <c r="E107" s="230"/>
      <c r="F107" s="230"/>
      <c r="G107" s="507"/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8" customHeight="1" ht="24">
      <c r="A108" s="139">
        <f>T36/50</f>
        <v>0</v>
      </c>
      <c r="B108" s="139">
        <f>IF(A108=0,0,((A108*50)/$B$53))</f>
        <v>0</v>
      </c>
      <c r="C108" s="449" t="str">
        <f>T3</f>
        <v>ARTESANAL X 1
G</v>
      </c>
      <c r="D108" s="462">
        <v>0.61</v>
      </c>
      <c r="E108" s="186"/>
      <c r="F108" s="186">
        <v>0.39</v>
      </c>
      <c r="G108" s="505"/>
      <c r="X108" s="213"/>
      <c r="Y108" s="213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8" customHeight="1" ht="22.5">
      <c r="A109" s="139">
        <f>T38/50</f>
        <v>0</v>
      </c>
      <c r="B109" s="139">
        <f>IF(A109=0,0,((A109*50)/$B$53))</f>
        <v>0</v>
      </c>
      <c r="C109" s="449" t="str">
        <f>T3</f>
        <v>ARTESANAL X 1
G</v>
      </c>
      <c r="D109" s="462"/>
      <c r="E109" s="186"/>
      <c r="F109" s="186"/>
      <c r="G109" s="505"/>
      <c r="X109" s="213"/>
      <c r="Y109" s="213"/>
      <c r="Z109" s="6"/>
      <c r="AA109" s="6"/>
      <c r="AB109" s="6"/>
      <c r="AC109" s="6"/>
      <c r="AD109" s="6"/>
      <c r="AE109" s="6"/>
      <c r="AH109" s="147"/>
      <c r="AI109" s="147"/>
      <c r="AJ109" s="147"/>
    </row>
    <row r="110" spans="1:58" customHeight="1" ht="16.35">
      <c r="A110" s="139">
        <f>P36/2</f>
        <v>0</v>
      </c>
      <c r="B110" s="139">
        <f>IF(A110=0,0,((A110*50)/$B$53))</f>
        <v>0</v>
      </c>
      <c r="C110" s="379" t="str">
        <f>P3</f>
        <v>H. Manitova </v>
      </c>
      <c r="D110" s="470"/>
      <c r="E110" s="186"/>
      <c r="F110" s="186"/>
      <c r="G110" s="507"/>
      <c r="X110" s="213"/>
      <c r="Y110" s="213"/>
      <c r="Z110" s="6"/>
      <c r="AA110" s="6"/>
      <c r="AB110" s="6"/>
      <c r="AC110" s="6"/>
      <c r="AD110" s="6"/>
      <c r="AE110" s="6"/>
      <c r="AH110" s="147"/>
      <c r="AI110" s="147"/>
      <c r="AJ110" s="147"/>
    </row>
    <row r="111" spans="1:58" customHeight="1" ht="16.35">
      <c r="A111" s="139">
        <f>U36/2</f>
        <v>0</v>
      </c>
      <c r="B111" s="139">
        <f>IF(A111=0,0,((A111*50)/$B$53))</f>
        <v>0</v>
      </c>
      <c r="C111" s="379" t="str">
        <f>U3</f>
        <v>H. espcial x 25
</v>
      </c>
      <c r="D111" s="378"/>
      <c r="E111" s="251">
        <v>0.14</v>
      </c>
      <c r="F111" s="509">
        <v>0.86</v>
      </c>
      <c r="G111" s="510"/>
      <c r="X111" s="213"/>
      <c r="Y111" s="213"/>
      <c r="Z111" s="6"/>
      <c r="AA111" s="6"/>
      <c r="AB111" s="6"/>
      <c r="AC111" s="6"/>
      <c r="AD111" s="6"/>
      <c r="AE111" s="6"/>
      <c r="AH111" s="147"/>
      <c r="AI111" s="147"/>
      <c r="AJ111" s="147"/>
    </row>
    <row r="112" spans="1:58" customHeight="1" ht="16.35">
      <c r="A112" s="139"/>
      <c r="B112" s="139"/>
      <c r="C112" s="216"/>
      <c r="D112" s="4"/>
      <c r="E112" s="4"/>
      <c r="F112" s="4"/>
      <c r="G112" s="464"/>
      <c r="X112" s="213"/>
      <c r="Y112" s="213"/>
      <c r="Z112" s="6"/>
      <c r="AA112" s="6"/>
      <c r="AB112" s="6"/>
      <c r="AC112" s="6"/>
      <c r="AD112" s="6"/>
      <c r="AE112" s="6"/>
      <c r="AH112" s="147"/>
      <c r="AI112" s="147"/>
      <c r="AJ112" s="147"/>
    </row>
    <row r="113" spans="1:58" customHeight="1" ht="16.35">
      <c r="A113" s="139">
        <f>Z42/2</f>
        <v>0</v>
      </c>
      <c r="B113" s="139">
        <f>IF(A113=0,0,((A113*51.6)))</f>
        <v>0</v>
      </c>
      <c r="C113" s="217" t="str">
        <f>A42</f>
        <v>Grano entero</v>
      </c>
      <c r="D113" s="182"/>
      <c r="E113" s="182"/>
      <c r="F113" s="512"/>
      <c r="G113" s="511"/>
      <c r="X113" s="213"/>
      <c r="Y113" s="213"/>
      <c r="Z113" s="6"/>
      <c r="AA113" s="6"/>
      <c r="AB113" s="6"/>
      <c r="AC113" s="6"/>
      <c r="AD113" s="6"/>
      <c r="AE113" s="6"/>
      <c r="AH113" s="147"/>
      <c r="AI113" s="147"/>
      <c r="AJ113" s="147"/>
    </row>
    <row r="114" spans="1:58" customHeight="1" ht="16.35">
      <c r="A114" s="139">
        <f>Z43/2</f>
        <v>0</v>
      </c>
      <c r="B114" s="139">
        <f>IF(A114=0,0,((A114*50)))</f>
        <v>0</v>
      </c>
      <c r="C114" s="379" t="str">
        <f>A43</f>
        <v>Bio Convercion </v>
      </c>
      <c r="D114" s="462"/>
      <c r="E114" s="366"/>
      <c r="F114" s="186"/>
      <c r="G114" s="505"/>
      <c r="X114" s="213"/>
      <c r="Y114" s="213"/>
      <c r="Z114" s="6"/>
      <c r="AA114" s="6"/>
      <c r="AB114" s="6"/>
      <c r="AC114" s="6"/>
      <c r="AD114" s="6"/>
      <c r="AE114" s="6"/>
      <c r="AH114" s="147"/>
      <c r="AI114" s="147"/>
      <c r="AJ114" s="147"/>
    </row>
    <row r="115" spans="1:58" customHeight="1" ht="16.35">
      <c r="A115" s="139">
        <f>Z45/2</f>
        <v>0</v>
      </c>
      <c r="B115" s="139">
        <f>IF(A115=0,0,((A115*50.55)))</f>
        <v>0</v>
      </c>
      <c r="C115" s="380" t="str">
        <f>A45</f>
        <v>Trigo entero </v>
      </c>
      <c r="D115" s="470"/>
      <c r="E115" s="230"/>
      <c r="F115" s="366"/>
      <c r="G115" s="513"/>
      <c r="X115" s="213"/>
      <c r="Y115" s="213"/>
      <c r="Z115" s="6"/>
      <c r="AA115" s="6"/>
      <c r="AB115" s="6"/>
      <c r="AC115" s="6"/>
      <c r="AD115" s="6"/>
      <c r="AE115" s="6"/>
      <c r="AH115" s="147"/>
      <c r="AI115" s="147"/>
      <c r="AJ115" s="147"/>
    </row>
    <row r="116" spans="1:58" customHeight="1" ht="16.35">
      <c r="A116" s="139">
        <f>AA45/2</f>
        <v>0</v>
      </c>
      <c r="B116" s="139">
        <f>IF(A116=0,0,((A116*52)))</f>
        <v>0</v>
      </c>
      <c r="C116" s="380" t="str">
        <f>C115</f>
        <v>Trigo entero </v>
      </c>
      <c r="D116" s="378"/>
      <c r="E116" s="192"/>
      <c r="F116" s="192"/>
      <c r="G116" s="514"/>
      <c r="X116" s="213"/>
      <c r="Y116" s="213"/>
      <c r="Z116" s="6"/>
      <c r="AA116" s="6"/>
      <c r="AB116" s="6"/>
      <c r="AC116" s="6"/>
      <c r="AD116" s="6"/>
      <c r="AE116" s="6"/>
      <c r="AH116" s="147"/>
      <c r="AI116" s="147"/>
      <c r="AJ116" s="147"/>
    </row>
    <row r="117" spans="1:58" customHeight="1" ht="13.5">
      <c r="B117" s="139">
        <f>SUM(B82:B116)</f>
        <v>0</v>
      </c>
      <c r="X117" s="213"/>
      <c r="Y117" s="386"/>
      <c r="Z117" s="6"/>
      <c r="AA117" s="6"/>
      <c r="AB117" s="6"/>
      <c r="AC117" s="6"/>
      <c r="AD117" s="6"/>
      <c r="AE117" s="6"/>
      <c r="AH117" s="147"/>
      <c r="AI117" s="147"/>
      <c r="AJ117" s="147"/>
      <c r="AO117" s="147"/>
      <c r="AP117" s="147"/>
    </row>
    <row r="118" spans="1:58" customHeight="1" ht="12.75">
      <c r="X118" s="213"/>
      <c r="Y118" s="4"/>
      <c r="Z118" s="4"/>
      <c r="AB118" s="384"/>
      <c r="AC118" s="385"/>
      <c r="AD118" s="4"/>
      <c r="AE118" s="213"/>
      <c r="AF118" s="213"/>
      <c r="AG118" s="6"/>
      <c r="AH118" s="6"/>
      <c r="AI118" s="6"/>
      <c r="AJ118" s="6"/>
      <c r="AK118" s="6"/>
      <c r="AL118" s="6"/>
      <c r="AM118" s="6"/>
      <c r="AP118" s="147"/>
      <c r="AQ118" s="147"/>
      <c r="AV118" s="147"/>
      <c r="AW118" s="147"/>
    </row>
    <row r="119" spans="1:58">
      <c r="X119" s="213"/>
      <c r="Y119" s="4"/>
      <c r="Z119" s="4"/>
      <c r="AB119" s="4"/>
      <c r="AE119" s="213"/>
      <c r="AF119" s="473"/>
      <c r="AG119" s="6"/>
      <c r="AH119" s="6"/>
      <c r="AI119" s="6"/>
      <c r="AJ119" s="6"/>
      <c r="AK119" s="6"/>
      <c r="AL119" s="6"/>
      <c r="AM119" s="6"/>
      <c r="AP119" s="147"/>
      <c r="AQ119" s="147"/>
      <c r="AV119" s="147"/>
      <c r="AW119" s="147"/>
    </row>
    <row r="120" spans="1:58">
      <c r="X120" s="213"/>
      <c r="Y120" s="213"/>
      <c r="Z120" s="4"/>
      <c r="AA120" s="4"/>
      <c r="AC120" s="4"/>
      <c r="AF120" s="213"/>
      <c r="AG120" s="213"/>
      <c r="AH120" s="6"/>
      <c r="AI120" s="6"/>
      <c r="AJ120" s="6"/>
      <c r="AK120" s="6"/>
      <c r="AL120" s="6"/>
      <c r="AM120" s="6"/>
      <c r="AN120" s="6"/>
      <c r="AQ120" s="147"/>
      <c r="AR120" s="147"/>
      <c r="AW120" s="147"/>
      <c r="AX120" s="147"/>
    </row>
    <row r="121" spans="1:58">
      <c r="X121" s="213"/>
      <c r="Z121" s="4"/>
      <c r="AA121" s="4"/>
      <c r="AC121" s="4"/>
      <c r="AF121" s="213"/>
      <c r="AG121" s="213"/>
      <c r="AH121" s="6"/>
      <c r="AI121" s="6"/>
      <c r="AJ121" s="6"/>
      <c r="AK121" s="6"/>
      <c r="AL121" s="6"/>
      <c r="AM121" s="6"/>
      <c r="AN121" s="6"/>
      <c r="AQ121" s="147"/>
      <c r="AR121" s="147"/>
      <c r="AW121" s="147"/>
      <c r="AX121" s="147"/>
    </row>
    <row r="122" spans="1:58">
      <c r="N122" s="4"/>
      <c r="X122" s="213"/>
      <c r="AA122" s="4"/>
      <c r="AC122" s="4"/>
      <c r="AF122" s="213"/>
      <c r="AG122" s="213"/>
      <c r="AH122" s="6"/>
      <c r="AI122" s="6"/>
      <c r="AJ122" s="6"/>
      <c r="AK122" s="6"/>
      <c r="AL122" s="6"/>
      <c r="AM122" s="6"/>
      <c r="AN122" s="6"/>
      <c r="AQ122" s="147"/>
      <c r="AR122" s="147"/>
      <c r="AW122" s="147"/>
      <c r="AX122" s="147"/>
    </row>
    <row r="123" spans="1:58">
      <c r="N123" s="4"/>
      <c r="X123" s="213"/>
      <c r="Z123" s="6"/>
      <c r="AA123" s="6"/>
      <c r="AB123" s="6"/>
      <c r="AC123" s="6"/>
      <c r="AD123" s="6"/>
      <c r="AE123" s="6"/>
      <c r="AH123" s="147"/>
      <c r="AI123" s="147"/>
      <c r="AJ123" s="147"/>
      <c r="AO123" s="147"/>
      <c r="AP123" s="147"/>
    </row>
    <row r="124" spans="1:58">
      <c r="N124" s="4"/>
      <c r="X124" s="213"/>
      <c r="Z124" s="6"/>
      <c r="AA124" s="6"/>
      <c r="AB124" s="6"/>
      <c r="AC124" s="6"/>
      <c r="AD124" s="6"/>
      <c r="AE124" s="6"/>
      <c r="AH124" s="147"/>
      <c r="AI124" s="147"/>
      <c r="AJ124" s="147"/>
      <c r="AO124" s="147"/>
      <c r="AP124" s="147"/>
    </row>
    <row r="125" spans="1:58">
      <c r="N125" s="4"/>
      <c r="X125" s="213"/>
      <c r="AD125" s="6"/>
      <c r="AE125" s="6"/>
      <c r="AH125" s="147"/>
      <c r="AI125" s="147"/>
      <c r="AJ125" s="147"/>
      <c r="AO125" s="147"/>
      <c r="AP125" s="147"/>
    </row>
    <row r="126" spans="1:58">
      <c r="N126" s="4"/>
      <c r="X126" s="4"/>
    </row>
    <row r="127" spans="1:58">
      <c r="N127" s="4"/>
      <c r="X127" s="4"/>
    </row>
    <row r="128" spans="1:58">
      <c r="N128" s="4"/>
    </row>
    <row r="129" spans="1:58">
      <c r="N129" s="4"/>
      <c r="W129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57"/>
    <protectedRange name="Repaso y reproceso_2" sqref="V42:W45"/>
    <protectedRange name="Produccion Harinas_2" sqref="C42:U45"/>
    <protectedRange name="Produccion otros productos_2" sqref="X42:AC45"/>
    <protectedRange name="Datos basculas_2" sqref="AW42:BB45"/>
    <protectedRange name="Horas_2" sqref="AN42:AP45"/>
    <protectedRange name="Fecha_2" sqref="B42:B45"/>
    <protectedRange name="Produccion Harinas" sqref="T5:U8 D5:R8 C9:U35"/>
    <protectedRange name="Datos energia" sqref="H544 G55:H56"/>
    <protectedRange name="Formulas trigo" sqref="H87:J98 D93:F93 H82:J85 D112:F116 H102:J116"/>
    <protectedRange name="Produccion otros productos" sqref="X5:Z8 Z4 AC15 X9:AC13 AB16:AC35 X14:AA35 AB14:AC14"/>
    <protectedRange name="Formulas vitamina" sqref="Z75:AB75"/>
    <protectedRange name="Datos basculas" sqref="AW4:BB35"/>
    <protectedRange name="Horas" sqref="AN4:AP35"/>
    <protectedRange name="Datos Nomina" sqref="O56:Q56"/>
    <protectedRange name="Fecha" sqref="B24:B35"/>
    <protectedRange name="Trigos" sqref="D80:E80 H80:M80"/>
    <protectedRange name="Formulas trigo_3" sqref="H99:J99"/>
    <protectedRange name="Formulas trigo_5" sqref="H100:J101"/>
    <protectedRange name="Datos basculas_4_2_1_2" sqref="BD4:BE5 BC4:BC7"/>
    <protectedRange name="Datos energia_2" sqref="G54:H54"/>
    <protectedRange name="Repaso y reproceso_3" sqref="V4:W4"/>
    <protectedRange name="Produccion Harinas_4" sqref="D4:Q4"/>
    <protectedRange name="Produccion otros productos_3" sqref="X4:Y4"/>
    <protectedRange name="Produccion Harinas_3_1" sqref="R4 T4:U4"/>
    <protectedRange name="Formulas trigo_1" sqref="G82:G85 G112:G116 G87:G93 G108:G109"/>
    <protectedRange name="Formulas trigo_1_2_6_1" sqref="G86"/>
    <protectedRange name="Produccion Harinas_3" sqref="C4:C8"/>
    <protectedRange name="Produccion Harinas_6" sqref="S4:S8"/>
    <protectedRange name="Produccion otros productos_4" sqref="AA4:AC8"/>
    <protectedRange name="Datos energia_1" sqref="G53:H53"/>
    <protectedRange name="Fecha_1" sqref="B4:B23"/>
    <protectedRange name="Formulas trigo_2" sqref="F82:F85 D87:F92 D108:F109"/>
    <protectedRange name="Formulas trigo_1_3_1" sqref="D82:D85"/>
    <protectedRange name="Formulas trigo_1_8_1" sqref="E86"/>
    <protectedRange name="Formulas trigo_1_2_6_2" sqref="F86"/>
    <protectedRange name="Formulas trigo_4" sqref="D102:F107 D96:F97 D110:F111"/>
    <protectedRange name="Formulas trigo_1_4_1" sqref="E99"/>
    <protectedRange name="Formulas trigo_1_2_2_2" sqref="F99"/>
    <protectedRange name="Formulas trigo_1_3_2_1" sqref="D99"/>
    <protectedRange name="Formulas trigo_1_6_1" sqref="E100:E101"/>
    <protectedRange name="Formulas trigo_1_2_4_2" sqref="F100:F101"/>
    <protectedRange name="Formulas trigo_1_3_4_1" sqref="D100:D101"/>
    <protectedRange name="Formulas trigo_1_1" sqref="G94:G101 G104:G107 G110:G111"/>
    <protectedRange name="Formulas trigo_1_2_2_1_1" sqref="G102"/>
    <protectedRange name="Formulas trigo_1_2_4_1_1" sqref="G103"/>
    <protectedRange name="Formulas trigo_2_1" sqref="D98:F98"/>
    <protectedRange name="Formulas trigo_4_1" sqref="D94:F95"/>
  </protectedRanges>
  <mergeCells>
    <mergeCell ref="B1:W1"/>
    <mergeCell ref="AH1:AM1"/>
    <mergeCell ref="AN1:AX1"/>
    <mergeCell ref="B2:Q2"/>
    <mergeCell ref="R2:T2"/>
    <mergeCell ref="V2:W2"/>
    <mergeCell ref="X2:Z2"/>
    <mergeCell ref="AA2:AC2"/>
    <mergeCell ref="AF2:AM2"/>
    <mergeCell ref="AN2:AP2"/>
    <mergeCell ref="AE48:AF48"/>
    <mergeCell ref="AQ2:AU2"/>
    <mergeCell ref="AW2:BF2"/>
    <mergeCell ref="AW4:AW33"/>
    <mergeCell ref="AX4:AX33"/>
    <mergeCell ref="AY4:AY33"/>
    <mergeCell ref="AZ4:AZ33"/>
    <mergeCell ref="BA4:BA33"/>
    <mergeCell ref="BB4:BB33"/>
    <mergeCell ref="BC4:BC33"/>
    <mergeCell ref="BD4:BD33"/>
    <mergeCell ref="BE4:BE33"/>
    <mergeCell ref="BF4:BF33"/>
    <mergeCell ref="AD38:AE38"/>
    <mergeCell ref="AE39:AF39"/>
    <mergeCell ref="AD47:AE47"/>
    <mergeCell ref="R49:U49"/>
    <mergeCell ref="F50:G50"/>
    <mergeCell ref="K50:L50"/>
    <mergeCell ref="O50:P50"/>
    <mergeCell ref="S50:T50"/>
    <mergeCell ref="A49:B49"/>
    <mergeCell ref="C49:C50"/>
    <mergeCell ref="F49:H49"/>
    <mergeCell ref="K49:M49"/>
    <mergeCell ref="O49:Q49"/>
    <mergeCell ref="V50:W50"/>
    <mergeCell ref="F51:G51"/>
    <mergeCell ref="K51:L51"/>
    <mergeCell ref="O51:P51"/>
    <mergeCell ref="S51:T51"/>
    <mergeCell ref="V51:W51"/>
    <mergeCell ref="G53:H53"/>
    <mergeCell ref="K53:L53"/>
    <mergeCell ref="O53:P53"/>
    <mergeCell ref="S53:T53"/>
    <mergeCell ref="V53:W53"/>
    <mergeCell ref="F52:G52"/>
    <mergeCell ref="K52:L52"/>
    <mergeCell ref="O52:P52"/>
    <mergeCell ref="S52:T52"/>
    <mergeCell ref="V52:W52"/>
    <mergeCell ref="G55:H55"/>
    <mergeCell ref="K55:L55"/>
    <mergeCell ref="O55:P55"/>
    <mergeCell ref="S55:T55"/>
    <mergeCell ref="V55:W55"/>
    <mergeCell ref="G54:I54"/>
    <mergeCell ref="K54:L54"/>
    <mergeCell ref="O54:P54"/>
    <mergeCell ref="S54:T54"/>
    <mergeCell ref="V54:W54"/>
    <mergeCell ref="F65:H65"/>
    <mergeCell ref="U65:V65"/>
    <mergeCell ref="G56:H56"/>
    <mergeCell ref="F57:G57"/>
    <mergeCell ref="K57:O57"/>
    <mergeCell ref="G60:H60"/>
    <mergeCell ref="T60:V60"/>
    <mergeCell ref="U61:V61"/>
    <mergeCell ref="F62:H62"/>
    <mergeCell ref="K62:O62"/>
    <mergeCell ref="U62:V62"/>
    <mergeCell ref="F63:G63"/>
    <mergeCell ref="T64:V64"/>
    <mergeCell ref="F70:G70"/>
    <mergeCell ref="V71:V72"/>
    <mergeCell ref="F66:G66"/>
    <mergeCell ref="U66:V66"/>
    <mergeCell ref="U67:V67"/>
    <mergeCell ref="G68:H68"/>
    <mergeCell ref="U68:V68"/>
    <mergeCell ref="G69:H69"/>
    <mergeCell ref="M69:O69"/>
  </mergeCells>
  <conditionalFormatting sqref="I55">
    <cfRule type="cellIs" dxfId="0" priority="4" operator="lessThan" stopIfTrue="1">
      <formula>0.935</formula>
    </cfRule>
  </conditionalFormatting>
  <conditionalFormatting sqref="AF3">
    <cfRule type="cellIs" dxfId="1" priority="3" operator="lessThan" stopIfTrue="1">
      <formula>0.76</formula>
    </cfRule>
  </conditionalFormatting>
  <conditionalFormatting sqref="AF4:AF35">
    <cfRule type="cellIs" dxfId="2" priority="5" operator="lessThan" stopIfTrue="1">
      <formula>0.765</formula>
    </cfRule>
  </conditionalFormatting>
  <conditionalFormatting sqref="AF36 AE76:AE77 AE79:AE91 Z92:AC117 AG118:AI119 AK118:AK119 AH120:AI122 AK120:AL122 Z123:AC124">
    <cfRule type="cellIs" dxfId="1" priority="6" operator="lessThan" stopIfTrue="1">
      <formula>0.76</formula>
    </cfRule>
  </conditionalFormatting>
  <conditionalFormatting sqref="AF42:AF45">
    <cfRule type="cellIs" dxfId="2" priority="1" operator="lessThan" stopIfTrue="1">
      <formula>0.765</formula>
    </cfRule>
  </conditionalFormatting>
  <conditionalFormatting sqref="AH1:AI1 AJ118:AJ122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  <legacyDrawing r:id="rId_comments_vml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29"/>
  <sheetViews>
    <sheetView tabSelected="0" workbookViewId="0" showGridLines="true" showRowColHeaders="1">
      <selection activeCell="A1" sqref="A1"/>
    </sheetView>
  </sheetViews>
  <sheetFormatPr defaultRowHeight="14.4" defaultColWidth="14.42578125" outlineLevelRow="0" outlineLevelCol="0"/>
  <cols>
    <col min="1" max="1" width="11.5703125" customWidth="true" style="1"/>
    <col min="2" max="2" width="16.5703125" customWidth="true" style="1"/>
    <col min="3" max="3" width="13.42578125" customWidth="true" style="1"/>
    <col min="4" max="4" width="10.570312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3.42578125" customWidth="true" style="1"/>
    <col min="10" max="10" width="12.28515625" customWidth="true" style="1"/>
    <col min="11" max="11" width="11.42578125" customWidth="true" style="1"/>
    <col min="12" max="12" width="10.7109375" customWidth="true" style="1"/>
    <col min="13" max="13" width="8.28515625" customWidth="true" style="1"/>
    <col min="14" max="14" width="12.28515625" customWidth="true" style="1"/>
    <col min="15" max="15" width="12" customWidth="true" style="1"/>
    <col min="16" max="16" width="12" customWidth="true" style="1"/>
    <col min="17" max="17" width="10.28515625" customWidth="true" style="1"/>
    <col min="18" max="18" width="13.42578125" customWidth="true" style="1"/>
    <col min="19" max="19" width="10.5703125" customWidth="true" style="1"/>
    <col min="20" max="20" width="12.28515625" customWidth="true" style="1"/>
    <col min="21" max="21" width="11.42578125" customWidth="true" style="1"/>
    <col min="22" max="22" width="8.28515625" customWidth="true" style="1"/>
    <col min="23" max="23" width="10.28515625" customWidth="true" style="1"/>
    <col min="24" max="24" width="13.42578125" customWidth="true" style="1"/>
    <col min="25" max="25" width="9.42578125" customWidth="true" style="1"/>
    <col min="26" max="26" width="7.5703125" customWidth="true" style="1"/>
    <col min="27" max="27" width="9.5703125" customWidth="true" style="1"/>
    <col min="28" max="28" width="9.5703125" customWidth="true" style="1"/>
    <col min="29" max="29" width="11.7109375" customWidth="true" style="1"/>
    <col min="30" max="30" width="10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0.5703125" customWidth="true" style="1"/>
    <col min="51" max="51" width="11.42578125" customWidth="true" style="1"/>
    <col min="52" max="52" width="8.28515625" customWidth="true" style="1"/>
    <col min="53" max="53" width="12" customWidth="true" style="1"/>
    <col min="54" max="54" width="12" customWidth="true" style="1"/>
    <col min="55" max="55" width="12" customWidth="true" style="1"/>
    <col min="56" max="56" width="14.42578125" style="1"/>
  </cols>
  <sheetData>
    <row r="1" spans="1:58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8" customHeight="1" ht="18.75">
      <c r="B2" s="701" t="s">
        <v>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2"/>
      <c r="Q2" s="703"/>
      <c r="R2" s="704" t="s">
        <v>4</v>
      </c>
      <c r="S2" s="705"/>
      <c r="T2" s="706"/>
      <c r="U2" s="416" t="s">
        <v>5</v>
      </c>
      <c r="V2" s="704" t="s">
        <v>6</v>
      </c>
      <c r="W2" s="707"/>
      <c r="X2" s="708" t="s">
        <v>7</v>
      </c>
      <c r="Y2" s="708"/>
      <c r="Z2" s="708"/>
      <c r="AA2" s="709" t="s">
        <v>8</v>
      </c>
      <c r="AB2" s="709"/>
      <c r="AC2" s="709"/>
      <c r="AD2" s="6"/>
      <c r="AE2" s="6"/>
      <c r="AF2" s="710" t="s">
        <v>9</v>
      </c>
      <c r="AG2" s="710"/>
      <c r="AH2" s="710"/>
      <c r="AI2" s="710"/>
      <c r="AJ2" s="710"/>
      <c r="AK2" s="710"/>
      <c r="AL2" s="710"/>
      <c r="AM2" s="710"/>
      <c r="AN2" s="711" t="s">
        <v>10</v>
      </c>
      <c r="AO2" s="711"/>
      <c r="AP2" s="711"/>
      <c r="AQ2" s="712" t="s">
        <v>11</v>
      </c>
      <c r="AR2" s="712"/>
      <c r="AS2" s="712"/>
      <c r="AT2" s="712"/>
      <c r="AU2" s="712"/>
      <c r="AV2" s="471" t="s">
        <v>12</v>
      </c>
      <c r="AW2" s="712" t="s">
        <v>13</v>
      </c>
      <c r="AX2" s="712"/>
      <c r="AY2" s="712"/>
      <c r="AZ2" s="712"/>
      <c r="BA2" s="712"/>
      <c r="BB2" s="712"/>
      <c r="BC2" s="712"/>
      <c r="BD2" s="712"/>
      <c r="BE2" s="712"/>
      <c r="BF2" s="712"/>
    </row>
    <row r="3" spans="1:58" customHeight="1" ht="53.25" s="40" customFormat="1">
      <c r="A3" s="8" t="s">
        <v>14</v>
      </c>
      <c r="B3" s="333" t="s">
        <v>15</v>
      </c>
      <c r="C3" s="566" t="s">
        <v>16</v>
      </c>
      <c r="D3" s="567" t="s">
        <v>17</v>
      </c>
      <c r="E3" s="549" t="s">
        <v>18</v>
      </c>
      <c r="F3" s="550" t="s">
        <v>19</v>
      </c>
      <c r="G3" s="551" t="s">
        <v>20</v>
      </c>
      <c r="H3" s="552" t="s">
        <v>21</v>
      </c>
      <c r="I3" s="553" t="s">
        <v>22</v>
      </c>
      <c r="J3" s="553" t="s">
        <v>23</v>
      </c>
      <c r="K3" s="554" t="s">
        <v>24</v>
      </c>
      <c r="L3" s="554" t="s">
        <v>25</v>
      </c>
      <c r="M3" s="555" t="s">
        <v>26</v>
      </c>
      <c r="N3" s="553" t="s">
        <v>27</v>
      </c>
      <c r="O3" s="553" t="s">
        <v>28</v>
      </c>
      <c r="P3" s="556" t="s">
        <v>29</v>
      </c>
      <c r="Q3" s="557" t="s">
        <v>30</v>
      </c>
      <c r="R3" s="409" t="s">
        <v>31</v>
      </c>
      <c r="S3" s="284" t="s">
        <v>32</v>
      </c>
      <c r="T3" s="559" t="s">
        <v>33</v>
      </c>
      <c r="U3" s="558" t="s">
        <v>34</v>
      </c>
      <c r="V3" s="405" t="s">
        <v>35</v>
      </c>
      <c r="W3" s="562" t="s">
        <v>36</v>
      </c>
      <c r="X3" s="560" t="s">
        <v>37</v>
      </c>
      <c r="Y3" s="561" t="s">
        <v>38</v>
      </c>
      <c r="Z3" s="565" t="s">
        <v>39</v>
      </c>
      <c r="AA3" s="563" t="s">
        <v>40</v>
      </c>
      <c r="AB3" s="334" t="s">
        <v>41</v>
      </c>
      <c r="AC3" s="564" t="s">
        <v>42</v>
      </c>
      <c r="AD3" s="27" t="s">
        <v>43</v>
      </c>
      <c r="AE3" s="27" t="s">
        <v>44</v>
      </c>
      <c r="AF3" s="335" t="s">
        <v>45</v>
      </c>
      <c r="AG3" s="336" t="s">
        <v>46</v>
      </c>
      <c r="AH3" s="337" t="str">
        <f>X3</f>
        <v>Germen 
25</v>
      </c>
      <c r="AI3" s="338" t="s">
        <v>47</v>
      </c>
      <c r="AJ3" s="337" t="str">
        <f>AA3</f>
        <v>Salvado 
25</v>
      </c>
      <c r="AK3" s="339" t="str">
        <f>AB3</f>
        <v>Mogolla 
40</v>
      </c>
      <c r="AL3" s="339" t="str">
        <f>AC3</f>
        <v>Segunda  
50</v>
      </c>
      <c r="AM3" s="340" t="str">
        <f>B3</f>
        <v>Fecha</v>
      </c>
      <c r="AN3" s="341" t="s">
        <v>48</v>
      </c>
      <c r="AO3" s="342" t="s">
        <v>49</v>
      </c>
      <c r="AP3" s="342" t="s">
        <v>50</v>
      </c>
      <c r="AQ3" s="343" t="s">
        <v>51</v>
      </c>
      <c r="AR3" s="344" t="s">
        <v>52</v>
      </c>
      <c r="AS3" s="344" t="s">
        <v>53</v>
      </c>
      <c r="AT3" s="344" t="s">
        <v>54</v>
      </c>
      <c r="AU3" s="344" t="s">
        <v>55</v>
      </c>
      <c r="AV3" s="343" t="s">
        <v>56</v>
      </c>
      <c r="AW3" s="345" t="s">
        <v>57</v>
      </c>
      <c r="AX3" s="345" t="s">
        <v>58</v>
      </c>
      <c r="AY3" s="345" t="s">
        <v>59</v>
      </c>
      <c r="AZ3" s="345" t="s">
        <v>60</v>
      </c>
      <c r="BA3" s="346" t="s">
        <v>61</v>
      </c>
      <c r="BB3" s="346" t="s">
        <v>62</v>
      </c>
      <c r="BC3" s="347" t="s">
        <v>63</v>
      </c>
      <c r="BD3" s="345" t="s">
        <v>64</v>
      </c>
      <c r="BE3" s="348" t="s">
        <v>65</v>
      </c>
      <c r="BF3" s="349" t="s">
        <v>66</v>
      </c>
    </row>
    <row r="4" spans="1:58" customHeight="1" ht="13.9">
      <c r="A4" s="485" t="str">
        <f>IF(B4="","",1)</f>
        <v/>
      </c>
      <c r="B4" s="42"/>
      <c r="C4" s="43"/>
      <c r="D4" s="526"/>
      <c r="E4" s="527"/>
      <c r="F4" s="241"/>
      <c r="G4" s="528"/>
      <c r="H4" s="44"/>
      <c r="I4" s="48"/>
      <c r="J4" s="48"/>
      <c r="K4" s="44"/>
      <c r="L4" s="493"/>
      <c r="M4" s="493"/>
      <c r="N4" s="244"/>
      <c r="O4" s="244"/>
      <c r="P4" s="465"/>
      <c r="Q4" s="529"/>
      <c r="R4" s="497"/>
      <c r="S4" s="275"/>
      <c r="T4" s="241"/>
      <c r="U4" s="450"/>
      <c r="V4" s="406"/>
      <c r="W4" s="241"/>
      <c r="X4" s="451"/>
      <c r="Y4" s="52"/>
      <c r="Z4" s="530"/>
      <c r="AA4" s="280"/>
      <c r="AB4" s="53"/>
      <c r="AC4" s="54"/>
      <c r="AD4" s="55" t="str">
        <f>IF(B4="","",(((C4+F4+H4+K4+Q4+N4+O4)*50))+((E4*10))+(((I4+J4+D4+G4+L4+M4+U4)*25)+(X4*25)+(Y4*25)+(Z4*25)+(AA4*25)+(AB4*40)+(AC4*50)+(R4*1)+(S4*1)+(T4*1)))</f>
        <v/>
      </c>
      <c r="AE4" s="55" t="str">
        <f>IF(B4="","",C4+F4+H4+K4+Q4+N4+O4+((I4+J4+D4+G4)/2)+(R4/50)+(S4/50)+(T4/50)+(U4/2)+(E4/5))</f>
        <v/>
      </c>
      <c r="AF4" s="56" t="str">
        <f>IF(B4="","",((AE4*50)/AD4))</f>
        <v/>
      </c>
      <c r="AG4" s="57" t="str">
        <f>IF(C4="","",((Z4)*25)/AD4)</f>
        <v/>
      </c>
      <c r="AH4" s="57" t="str">
        <f>IF(B4="","",(X4*25)/AD4)</f>
        <v/>
      </c>
      <c r="AI4" s="57" t="str">
        <f>IF(B4="","",(Y4*25)/AD4)</f>
        <v/>
      </c>
      <c r="AJ4" s="57" t="str">
        <f>IF(B4="","",(AA4*25)/AD4)</f>
        <v/>
      </c>
      <c r="AK4" s="58" t="str">
        <f>IF(B4="","",(AB4*40)/AD4)</f>
        <v/>
      </c>
      <c r="AL4" s="58" t="str">
        <f>IF(B4="","",(AC4*50)/AD4)</f>
        <v/>
      </c>
      <c r="AM4" s="59" t="str">
        <f>IF(B4="","",B4)</f>
        <v/>
      </c>
      <c r="AN4" s="235"/>
      <c r="AO4" s="61"/>
      <c r="AP4" s="236"/>
      <c r="AQ4" s="63" t="str">
        <f>IF(AN4="","",AN4/AO4)</f>
        <v/>
      </c>
      <c r="AR4" s="64" t="str">
        <f>IF(AN4="","",(AD4/AN4)/1000)</f>
        <v/>
      </c>
      <c r="AS4" s="64" t="str">
        <f>IF(AN4="","",AR4*24)</f>
        <v/>
      </c>
      <c r="AT4" s="65" t="str">
        <f>IF(AN4="","",(AD4/1000)*100%/AS4)</f>
        <v/>
      </c>
      <c r="AU4" s="64" t="str">
        <f>IF(AN4="","",(AE4/AN4))</f>
        <v/>
      </c>
      <c r="AV4" s="229" t="str">
        <f>IF(AN4="","",(AD4/AO4)/1000)</f>
        <v/>
      </c>
      <c r="AW4" s="713"/>
      <c r="AX4" s="713"/>
      <c r="AY4" s="713"/>
      <c r="AZ4" s="722"/>
      <c r="BA4" s="713"/>
      <c r="BB4" s="724"/>
      <c r="BC4" s="726"/>
      <c r="BD4" s="726"/>
      <c r="BE4" s="726"/>
      <c r="BF4" s="728"/>
    </row>
    <row r="5" spans="1:58" customHeight="1" ht="13.9">
      <c r="A5" s="485" t="str">
        <f>IF(B5="","",2)</f>
        <v/>
      </c>
      <c r="B5" s="68"/>
      <c r="C5" s="69"/>
      <c r="D5" s="70"/>
      <c r="E5" s="76"/>
      <c r="F5" s="70"/>
      <c r="G5" s="76"/>
      <c r="H5" s="70"/>
      <c r="I5" s="75"/>
      <c r="J5" s="75"/>
      <c r="K5" s="70"/>
      <c r="L5" s="494"/>
      <c r="M5" s="494"/>
      <c r="N5" s="76"/>
      <c r="O5" s="248"/>
      <c r="P5" s="466"/>
      <c r="Q5" s="412"/>
      <c r="R5" s="410"/>
      <c r="S5" s="277"/>
      <c r="T5" s="401"/>
      <c r="U5" s="407"/>
      <c r="V5" s="249"/>
      <c r="W5" s="401"/>
      <c r="X5" s="278"/>
      <c r="Y5" s="78"/>
      <c r="Z5" s="403"/>
      <c r="AA5" s="281"/>
      <c r="AB5" s="79"/>
      <c r="AC5" s="80"/>
      <c r="AD5" s="55" t="str">
        <f>IF(B5="","",(((C5+F5+H5+K5+Q5+N5+O5)*50))+((E5*10))+(((I5+J5+D5+G5+L5+M5+U5)*25)+(X5*25)+(Y5*25)+(Z5*25)+(AA5*25)+(AB5*40)+(AC5*50)+(R5*1)+(S5*1)+(T5*1)))</f>
        <v/>
      </c>
      <c r="AE5" s="55" t="str">
        <f>IF(B5="","",C5+F5+H5+K5+Q5+N5+O5+((I5+J5+D5+G5+U5)/2)+(R5/50)+(S5/50)+(T5/50)+(E5/5))</f>
        <v/>
      </c>
      <c r="AF5" s="56" t="str">
        <f>IF(B5="","",((AE5*50)/AD5))</f>
        <v/>
      </c>
      <c r="AG5" s="57" t="str">
        <f>IF(C5="","",((Z5)*25)/AD5)</f>
        <v/>
      </c>
      <c r="AH5" s="57" t="str">
        <f>IF(B5="","",(X5*25)/AD5)</f>
        <v/>
      </c>
      <c r="AI5" s="57" t="str">
        <f>IF(B5="","",(Y5*25)/AD5)</f>
        <v/>
      </c>
      <c r="AJ5" s="57" t="str">
        <f>IF(B5="","",(AA5*25)/AD5)</f>
        <v/>
      </c>
      <c r="AK5" s="58" t="str">
        <f>IF(B5="","",(AB5*40)/AD5)</f>
        <v/>
      </c>
      <c r="AL5" s="58" t="str">
        <f>IF(B5="","",(AC5*50)/AD5)</f>
        <v/>
      </c>
      <c r="AM5" s="59" t="str">
        <f>IF(B5="","",B5)</f>
        <v/>
      </c>
      <c r="AN5" s="233"/>
      <c r="AO5" s="82"/>
      <c r="AP5" s="234"/>
      <c r="AQ5" s="63" t="str">
        <f>IF(AN5="","",AN5/AO5)</f>
        <v/>
      </c>
      <c r="AR5" s="64" t="str">
        <f>IF(AN5="","",(AD5/AN5)/1000)</f>
        <v/>
      </c>
      <c r="AS5" s="64" t="str">
        <f>IF(AN5="","",AR5*24)</f>
        <v/>
      </c>
      <c r="AT5" s="65" t="str">
        <f>IF(AN5="","",(AD5/1000)*100%/AS5)</f>
        <v/>
      </c>
      <c r="AU5" s="64" t="str">
        <f>IF(AN5="","",(AE5/AN5))</f>
        <v/>
      </c>
      <c r="AV5" s="229" t="str">
        <f>IF(AN5="","",(AD5/AO5)/1000)</f>
        <v/>
      </c>
      <c r="AW5" s="714"/>
      <c r="AX5" s="714"/>
      <c r="AY5" s="714"/>
      <c r="AZ5" s="723"/>
      <c r="BA5" s="714"/>
      <c r="BB5" s="725"/>
      <c r="BC5" s="727"/>
      <c r="BD5" s="727"/>
      <c r="BE5" s="727"/>
      <c r="BF5" s="729"/>
    </row>
    <row r="6" spans="1:58" customHeight="1" ht="13.9">
      <c r="A6" s="485" t="str">
        <f>IF(B6="","",3)</f>
        <v/>
      </c>
      <c r="B6" s="68"/>
      <c r="C6" s="69"/>
      <c r="D6" s="70"/>
      <c r="E6" s="76"/>
      <c r="F6" s="70"/>
      <c r="G6" s="76"/>
      <c r="H6" s="70"/>
      <c r="I6" s="491"/>
      <c r="J6" s="491"/>
      <c r="K6" s="70"/>
      <c r="L6" s="494"/>
      <c r="M6" s="494"/>
      <c r="N6" s="76"/>
      <c r="O6" s="76"/>
      <c r="P6" s="467"/>
      <c r="Q6" s="412"/>
      <c r="R6" s="410"/>
      <c r="S6" s="276"/>
      <c r="T6" s="401"/>
      <c r="U6" s="407"/>
      <c r="V6" s="249"/>
      <c r="W6" s="401"/>
      <c r="X6" s="278"/>
      <c r="Y6" s="78"/>
      <c r="Z6" s="403"/>
      <c r="AA6" s="281"/>
      <c r="AB6" s="79"/>
      <c r="AC6" s="85"/>
      <c r="AD6" s="55" t="str">
        <f>IF(B6="","",(((C6+F6+H6+K6+Q6+N6+O6)*50))+((E6*10))+(((I6+J6+D6+G6+L6+M6+U6)*25)+(X6*25)+(Y6*25)+(Z6*25)+(AA6*25)+(AB6*40)+(AC6*50)+(R6*1)+(S6*1)+(T6*1)))</f>
        <v/>
      </c>
      <c r="AE6" s="55" t="str">
        <f>IF(B6="","",C6+F6+H6+K6+Q6+N6+O6+((I6+J6+D6+G6+U6)/2)+(R6/50)+(S6/50)+(T6/50)+(E6/5))</f>
        <v/>
      </c>
      <c r="AF6" s="56" t="str">
        <f>IF(B6="","",((AE6*50)/AD6))</f>
        <v/>
      </c>
      <c r="AG6" s="57" t="str">
        <f>IF(C6="","",((Z6)*25)/AD6)</f>
        <v/>
      </c>
      <c r="AH6" s="57" t="str">
        <f>IF(B6="","",(X6*25)/AD6)</f>
        <v/>
      </c>
      <c r="AI6" s="57" t="str">
        <f>IF(B6="","",(Y6*25)/AD6)</f>
        <v/>
      </c>
      <c r="AJ6" s="57" t="str">
        <f>IF(B6="","",(AA6*25)/AD6)</f>
        <v/>
      </c>
      <c r="AK6" s="58" t="str">
        <f>IF(B6="","",(AB6*40)/AD6)</f>
        <v/>
      </c>
      <c r="AL6" s="58" t="str">
        <f>IF(B6="","",(AC6*50)/AD6)</f>
        <v/>
      </c>
      <c r="AM6" s="59" t="str">
        <f>IF(B6="","",B6)</f>
        <v/>
      </c>
      <c r="AN6" s="233"/>
      <c r="AO6" s="82"/>
      <c r="AP6" s="234"/>
      <c r="AQ6" s="63" t="str">
        <f>IF(AN6="","",AN6/AO6)</f>
        <v/>
      </c>
      <c r="AR6" s="64" t="str">
        <f>IF(AN6="","",(AD6/AN6)/1000)</f>
        <v/>
      </c>
      <c r="AS6" s="64" t="str">
        <f>IF(AN6="","",AR6*24)</f>
        <v/>
      </c>
      <c r="AT6" s="65" t="str">
        <f>IF(AN6="","",(AD6/1000)*100%/AS6)</f>
        <v/>
      </c>
      <c r="AU6" s="64" t="str">
        <f>IF(AN6="","",(AE6/AN6))</f>
        <v/>
      </c>
      <c r="AV6" s="229" t="str">
        <f>IF(AN6="","",(AD6/AO6)/1000)</f>
        <v/>
      </c>
      <c r="AW6" s="714"/>
      <c r="AX6" s="714"/>
      <c r="AY6" s="714"/>
      <c r="AZ6" s="723"/>
      <c r="BA6" s="714"/>
      <c r="BB6" s="725"/>
      <c r="BC6" s="727"/>
      <c r="BD6" s="727"/>
      <c r="BE6" s="727"/>
      <c r="BF6" s="729"/>
    </row>
    <row r="7" spans="1:58" customHeight="1" ht="13.9">
      <c r="A7" s="485" t="str">
        <f>IF(B7="","",4)</f>
        <v/>
      </c>
      <c r="B7" s="68"/>
      <c r="C7" s="69"/>
      <c r="D7" s="70"/>
      <c r="E7" s="76"/>
      <c r="F7" s="70"/>
      <c r="G7" s="76"/>
      <c r="H7" s="70"/>
      <c r="I7" s="414"/>
      <c r="J7" s="414"/>
      <c r="K7" s="70"/>
      <c r="L7" s="494"/>
      <c r="M7" s="494"/>
      <c r="N7" s="76"/>
      <c r="O7" s="76"/>
      <c r="P7" s="467"/>
      <c r="Q7" s="412"/>
      <c r="R7" s="410"/>
      <c r="S7" s="274"/>
      <c r="T7" s="401"/>
      <c r="U7" s="407"/>
      <c r="V7" s="249"/>
      <c r="W7" s="401"/>
      <c r="X7" s="278"/>
      <c r="Y7" s="78"/>
      <c r="Z7" s="403"/>
      <c r="AA7" s="281"/>
      <c r="AB7" s="79"/>
      <c r="AC7" s="85"/>
      <c r="AD7" s="55" t="str">
        <f>IF(B7="","",(((C7+F7+H7+K7+Q7+N7+O7)*50))+((E7*10))+(((I7+J7+D7+G7+L7+M7+U7)*25)+(X7*25)+(Y7*25)+(Z7*25)+(AA7*25)+(AB7*40)+(AC7*50)+(R7*1)+(S7*1)+(T7*1)))</f>
        <v/>
      </c>
      <c r="AE7" s="55" t="str">
        <f>IF(B7="","",C7+F7+H7+K7+Q7+N7+O7+((I7+J7+D7+G7+U7)/2)+(R7/50)+(S7/50)+(T7/50)+(E7/5))</f>
        <v/>
      </c>
      <c r="AF7" s="56" t="str">
        <f>IF(B7="","",((AE7*50)/AD7))</f>
        <v/>
      </c>
      <c r="AG7" s="57" t="str">
        <f>IF(C7="","",((Z7)*25)/AD7)</f>
        <v/>
      </c>
      <c r="AH7" s="57" t="str">
        <f>IF(B7="","",(X7*25)/AD7)</f>
        <v/>
      </c>
      <c r="AI7" s="57" t="str">
        <f>IF(B7="","",(Y7*25)/AD7)</f>
        <v/>
      </c>
      <c r="AJ7" s="57" t="str">
        <f>IF(B7="","",(AA7*25)/AD7)</f>
        <v/>
      </c>
      <c r="AK7" s="58" t="str">
        <f>IF(B7="","",(AB7*40)/AD7)</f>
        <v/>
      </c>
      <c r="AL7" s="58" t="str">
        <f>IF(B7="","",(AC7*50)/AD7)</f>
        <v/>
      </c>
      <c r="AM7" s="59" t="str">
        <f>IF(B7="","",B7)</f>
        <v/>
      </c>
      <c r="AN7" s="233"/>
      <c r="AO7" s="82"/>
      <c r="AP7" s="234"/>
      <c r="AQ7" s="63" t="str">
        <f>IF(AN7="","",AN7/AO7)</f>
        <v/>
      </c>
      <c r="AR7" s="64" t="str">
        <f>IF(AN7="","",(AD7/AN7)/1000)</f>
        <v/>
      </c>
      <c r="AS7" s="64" t="str">
        <f>IF(AN7="","",AR7*24)</f>
        <v/>
      </c>
      <c r="AT7" s="65" t="str">
        <f>IF(AN7="","",(AD7/1000)*100%/AS7)</f>
        <v/>
      </c>
      <c r="AU7" s="64" t="str">
        <f>IF(AN7="","",(AE7/AN7))</f>
        <v/>
      </c>
      <c r="AV7" s="229" t="str">
        <f>IF(AN7="","",(AD7/AO7)/1000)</f>
        <v/>
      </c>
      <c r="AW7" s="714"/>
      <c r="AX7" s="714"/>
      <c r="AY7" s="714"/>
      <c r="AZ7" s="723"/>
      <c r="BA7" s="714"/>
      <c r="BB7" s="725"/>
      <c r="BC7" s="727"/>
      <c r="BD7" s="727"/>
      <c r="BE7" s="727"/>
      <c r="BF7" s="729"/>
    </row>
    <row r="8" spans="1:58" customHeight="1" ht="13.9">
      <c r="A8" s="485" t="str">
        <f>IF(B8="","",5)</f>
        <v/>
      </c>
      <c r="B8" s="68"/>
      <c r="C8" s="69"/>
      <c r="D8" s="70"/>
      <c r="E8" s="76"/>
      <c r="F8" s="70"/>
      <c r="G8" s="76"/>
      <c r="H8" s="70"/>
      <c r="I8" s="491"/>
      <c r="J8" s="491"/>
      <c r="K8" s="70"/>
      <c r="L8" s="494"/>
      <c r="M8" s="494"/>
      <c r="N8" s="76"/>
      <c r="O8" s="76"/>
      <c r="P8" s="467"/>
      <c r="Q8" s="412"/>
      <c r="R8" s="422"/>
      <c r="S8" s="274"/>
      <c r="T8" s="401"/>
      <c r="U8" s="407"/>
      <c r="V8" s="249"/>
      <c r="W8" s="401"/>
      <c r="X8" s="278"/>
      <c r="Y8" s="78"/>
      <c r="Z8" s="403"/>
      <c r="AA8" s="281"/>
      <c r="AB8" s="79"/>
      <c r="AC8" s="85"/>
      <c r="AD8" s="55" t="str">
        <f>IF(B8="","",(((C8+F8+H8+K8+Q8+N8+O8)*50))+((E8*10))+(((I8+J8+D8+G8+L8+M8+U8)*25)+(X8*25)+(Y8*25)+(Z8*25)+(AA8*25)+(AB8*40)+(AC8*50)+(R8*1)+(S8*1)+(T8*1)))</f>
        <v/>
      </c>
      <c r="AE8" s="55" t="str">
        <f>IF(B8="","",C8+F8+H8+K8+Q8+N8+O8+((I8+J8+D8+G8+U8)/2)+(R8/50)+(S8/50)+(T8/50)+(E8/5))</f>
        <v/>
      </c>
      <c r="AF8" s="56" t="str">
        <f>IF(B8="","",((AE8*50)/AD8))</f>
        <v/>
      </c>
      <c r="AG8" s="252" t="str">
        <f>IF(C8="","",((Z8)*25)/AD8)</f>
        <v/>
      </c>
      <c r="AH8" s="57" t="str">
        <f>IF(B8="","",(X8*25)/AD8)</f>
        <v/>
      </c>
      <c r="AI8" s="57" t="str">
        <f>IF(B8="","",(Y8*25)/AD8)</f>
        <v/>
      </c>
      <c r="AJ8" s="57" t="str">
        <f>IF(B8="","",(AA8*25)/AD8)</f>
        <v/>
      </c>
      <c r="AK8" s="58" t="str">
        <f>IF(B8="","",(AB8*40)/AD8)</f>
        <v/>
      </c>
      <c r="AL8" s="58" t="str">
        <f>IF(B8="","",(AC8*50)/AD8)</f>
        <v/>
      </c>
      <c r="AM8" s="59" t="str">
        <f>IF(B8="","",B8)</f>
        <v/>
      </c>
      <c r="AN8" s="233"/>
      <c r="AO8" s="82"/>
      <c r="AP8" s="234"/>
      <c r="AQ8" s="63" t="str">
        <f>IF(AN8="","",AN8/AO8)</f>
        <v/>
      </c>
      <c r="AR8" s="64" t="str">
        <f>IF(AN8="","",(AD8/AN8)/1000)</f>
        <v/>
      </c>
      <c r="AS8" s="64" t="str">
        <f>IF(AN8="","",AR8*24)</f>
        <v/>
      </c>
      <c r="AT8" s="65" t="str">
        <f>IF(AN8="","",(AD8/1000)*100%/AS8)</f>
        <v/>
      </c>
      <c r="AU8" s="64" t="str">
        <f>IF(AN8="","",(AE8/AN8))</f>
        <v/>
      </c>
      <c r="AV8" s="229" t="str">
        <f>IF(AN8="","",(AD8/AO8)/1000)</f>
        <v/>
      </c>
      <c r="AW8" s="714"/>
      <c r="AX8" s="714"/>
      <c r="AY8" s="714"/>
      <c r="AZ8" s="723"/>
      <c r="BA8" s="714"/>
      <c r="BB8" s="725"/>
      <c r="BC8" s="727"/>
      <c r="BD8" s="727"/>
      <c r="BE8" s="727"/>
      <c r="BF8" s="729"/>
    </row>
    <row r="9" spans="1:58" customHeight="1" ht="15">
      <c r="A9" s="485" t="str">
        <f>IF(B9="","",6)</f>
        <v/>
      </c>
      <c r="B9" s="68"/>
      <c r="C9" s="69"/>
      <c r="D9" s="70"/>
      <c r="E9" s="76"/>
      <c r="F9" s="70"/>
      <c r="G9" s="76"/>
      <c r="H9" s="70"/>
      <c r="I9" s="491"/>
      <c r="J9" s="491"/>
      <c r="K9" s="70"/>
      <c r="L9" s="494"/>
      <c r="M9" s="494"/>
      <c r="N9" s="76"/>
      <c r="O9" s="76"/>
      <c r="P9" s="467"/>
      <c r="Q9" s="412"/>
      <c r="R9" s="410"/>
      <c r="S9" s="242"/>
      <c r="T9" s="401"/>
      <c r="U9" s="407"/>
      <c r="V9" s="249"/>
      <c r="W9" s="401"/>
      <c r="X9" s="278"/>
      <c r="Y9" s="78"/>
      <c r="Z9" s="403"/>
      <c r="AA9" s="281"/>
      <c r="AB9" s="79"/>
      <c r="AC9" s="85"/>
      <c r="AD9" s="55" t="str">
        <f>IF(B9="","",(((C9+F9+H9+K9+Q9+N9+O9)*50))+((E9*10))+(((I9+J9+D9+G9+L9+M9+U9)*25)+(X9*25)+(Y9*25)+(Z9*25)+(AA9*25)+(AB9*40)+(AC9*50)+(R9*1)+(S9*1)+(T9*1)))</f>
        <v/>
      </c>
      <c r="AE9" s="55" t="str">
        <f>IF(B9="","",C9+F9+H9+K9+Q9+N9+O9+((I9+J9+D9+G9+U9)/2)+(R9/50)+(S9/50)+(T9/50)+(E9/5))</f>
        <v/>
      </c>
      <c r="AF9" s="56" t="str">
        <f>IF(B9="","",((AE9*50)/AD9))</f>
        <v/>
      </c>
      <c r="AG9" s="57" t="str">
        <f>IF(C9="","",((Z9)*25)/AD9)</f>
        <v/>
      </c>
      <c r="AH9" s="57" t="str">
        <f>IF(B9="","",(X9*25)/AD9)</f>
        <v/>
      </c>
      <c r="AI9" s="57" t="str">
        <f>IF(B9="","",(Y9*25)/AD9)</f>
        <v/>
      </c>
      <c r="AJ9" s="57" t="str">
        <f>IF(B9="","",(AA9*25)/AD9)</f>
        <v/>
      </c>
      <c r="AK9" s="58" t="str">
        <f>IF(B9="","",(AB9*40)/AD9)</f>
        <v/>
      </c>
      <c r="AL9" s="58" t="str">
        <f>IF(B9="","",(AC9*50)/AD9)</f>
        <v/>
      </c>
      <c r="AM9" s="59" t="str">
        <f>IF(B9="","",B9)</f>
        <v/>
      </c>
      <c r="AN9" s="233"/>
      <c r="AO9" s="82"/>
      <c r="AP9" s="234"/>
      <c r="AQ9" s="63" t="str">
        <f>IF(AN9="","",AN9/AO9)</f>
        <v/>
      </c>
      <c r="AR9" s="64" t="str">
        <f>IF(AN9="","",(AD9/AN9)/1000)</f>
        <v/>
      </c>
      <c r="AS9" s="64" t="str">
        <f>IF(AN9="","",AR9*24)</f>
        <v/>
      </c>
      <c r="AT9" s="65" t="str">
        <f>IF(AN9="","",(AD9/1000)*100%/AS9)</f>
        <v/>
      </c>
      <c r="AU9" s="64" t="str">
        <f>IF(AN9="","",(AE9/AN9))</f>
        <v/>
      </c>
      <c r="AV9" s="229" t="str">
        <f>IF(AN9="","",(AD9/AO9)/1000)</f>
        <v/>
      </c>
      <c r="AW9" s="714"/>
      <c r="AX9" s="714"/>
      <c r="AY9" s="714"/>
      <c r="AZ9" s="723"/>
      <c r="BA9" s="714"/>
      <c r="BB9" s="725"/>
      <c r="BC9" s="727"/>
      <c r="BD9" s="727"/>
      <c r="BE9" s="727"/>
      <c r="BF9" s="729"/>
    </row>
    <row r="10" spans="1:58" customHeight="1" ht="13.9">
      <c r="A10" s="485" t="str">
        <f>IF(B10="","",7)</f>
        <v/>
      </c>
      <c r="B10" s="68"/>
      <c r="C10" s="69"/>
      <c r="D10" s="70"/>
      <c r="E10" s="76"/>
      <c r="F10" s="70"/>
      <c r="G10" s="76"/>
      <c r="H10" s="70"/>
      <c r="I10" s="491"/>
      <c r="J10" s="491"/>
      <c r="K10" s="70"/>
      <c r="L10" s="494"/>
      <c r="M10" s="494"/>
      <c r="N10" s="76"/>
      <c r="O10" s="76"/>
      <c r="P10" s="467"/>
      <c r="Q10" s="412"/>
      <c r="R10" s="410"/>
      <c r="S10" s="242"/>
      <c r="T10" s="401"/>
      <c r="U10" s="407"/>
      <c r="V10" s="249"/>
      <c r="W10" s="401"/>
      <c r="X10" s="278"/>
      <c r="Y10" s="78"/>
      <c r="Z10" s="403"/>
      <c r="AA10" s="281"/>
      <c r="AB10" s="79"/>
      <c r="AC10" s="85"/>
      <c r="AD10" s="55" t="str">
        <f>IF(B10="","",(((C10+F10+H10+K10+Q10+N10+O10)*50))+((E10*10))+(((I10+J10+D10+G10+L10+M10+U10)*25)+(X10*25)+(Y10*25)+(Z10*25)+(AA10*25)+(AB10*40)+(AC10*50)+(R10*1)+(S10*1)+(T10*1)))</f>
        <v/>
      </c>
      <c r="AE10" s="55" t="str">
        <f>IF(B10="","",C10+F10+H10+K10+Q10+N10+O10+((I10+J10+D10+G10+U10)/2)+(R10/50)+(S10/50)+(T10/50)+(E10/5))</f>
        <v/>
      </c>
      <c r="AF10" s="56" t="str">
        <f>IF(B10="","",((AE10*50)/AD10))</f>
        <v/>
      </c>
      <c r="AG10" s="57" t="str">
        <f>IF(C10="","",((Z10)*25)/AD10)</f>
        <v/>
      </c>
      <c r="AH10" s="57" t="str">
        <f>IF(B10="","",(X10*25)/AD10)</f>
        <v/>
      </c>
      <c r="AI10" s="57" t="str">
        <f>IF(B10="","",(Y10*25)/AD10)</f>
        <v/>
      </c>
      <c r="AJ10" s="57" t="str">
        <f>IF(B10="","",(AA10*25)/AD10)</f>
        <v/>
      </c>
      <c r="AK10" s="58" t="str">
        <f>IF(B10="","",(AB10*40)/AD10)</f>
        <v/>
      </c>
      <c r="AL10" s="58" t="str">
        <f>IF(B10="","",(AC10*50)/AD10)</f>
        <v/>
      </c>
      <c r="AM10" s="59" t="str">
        <f>IF(B10="","",B10)</f>
        <v/>
      </c>
      <c r="AN10" s="233"/>
      <c r="AO10" s="82"/>
      <c r="AP10" s="234"/>
      <c r="AQ10" s="63" t="str">
        <f>IF(AN10="","",AN10/AO10)</f>
        <v/>
      </c>
      <c r="AR10" s="64" t="str">
        <f>IF(AN10="","",(AD10/AN10)/1000)</f>
        <v/>
      </c>
      <c r="AS10" s="64" t="str">
        <f>IF(AN10="","",AR10*24)</f>
        <v/>
      </c>
      <c r="AT10" s="65" t="str">
        <f>IF(AN10="","",(AD10/1000)*100%/AS10)</f>
        <v/>
      </c>
      <c r="AU10" s="64" t="str">
        <f>IF(AN10="","",(AE10/AN10))</f>
        <v/>
      </c>
      <c r="AV10" s="229" t="str">
        <f>IF(AN10="","",(AD10/AO10)/1000)</f>
        <v/>
      </c>
      <c r="AW10" s="714"/>
      <c r="AX10" s="714"/>
      <c r="AY10" s="714"/>
      <c r="AZ10" s="723"/>
      <c r="BA10" s="714"/>
      <c r="BB10" s="725"/>
      <c r="BC10" s="727"/>
      <c r="BD10" s="727"/>
      <c r="BE10" s="727"/>
      <c r="BF10" s="729"/>
    </row>
    <row r="11" spans="1:58" customHeight="1" ht="13.9">
      <c r="A11" s="485" t="str">
        <f>IF(B11="","",8)</f>
        <v/>
      </c>
      <c r="B11" s="226"/>
      <c r="C11" s="69"/>
      <c r="D11" s="70"/>
      <c r="E11" s="76"/>
      <c r="F11" s="70"/>
      <c r="G11" s="76"/>
      <c r="H11" s="70"/>
      <c r="I11" s="491"/>
      <c r="J11" s="491"/>
      <c r="K11" s="70"/>
      <c r="L11" s="494"/>
      <c r="M11" s="494"/>
      <c r="N11" s="76"/>
      <c r="O11" s="76"/>
      <c r="P11" s="467"/>
      <c r="Q11" s="412"/>
      <c r="R11" s="410"/>
      <c r="S11" s="242"/>
      <c r="T11" s="401"/>
      <c r="U11" s="407"/>
      <c r="V11" s="249"/>
      <c r="W11" s="401"/>
      <c r="X11" s="278"/>
      <c r="Y11" s="78"/>
      <c r="Z11" s="403"/>
      <c r="AA11" s="281"/>
      <c r="AB11" s="79"/>
      <c r="AC11" s="85"/>
      <c r="AD11" s="55" t="str">
        <f>IF(B11="","",(((C11+F11+H11+K11+Q11+N11+O11)*50))+((E11*10))+(((I11+J11+D11+G11+L11+M11+U11)*25)+(X11*25)+(Y11*25)+(Z11*25)+(AA11*25)+(AB11*40)+(AC11*50)+(R11*1)+(S11*1)+(T11*1)))</f>
        <v/>
      </c>
      <c r="AE11" s="55" t="str">
        <f>IF(B11="","",C11+F11+H11+K11+Q11+N11+O11+((I11+J11+D11+G11+U11+P11)/2)+(R11/50)+(S11/50)+(T11/50)+(E11/5))</f>
        <v/>
      </c>
      <c r="AF11" s="56" t="str">
        <f>IF(B11="","",((AE11*50)/AD11))</f>
        <v/>
      </c>
      <c r="AG11" s="57" t="str">
        <f>IF(C11="","",((Z11)*25)/AD11)</f>
        <v/>
      </c>
      <c r="AH11" s="57" t="str">
        <f>IF(B11="","",(X11*25)/AD11)</f>
        <v/>
      </c>
      <c r="AI11" s="57" t="str">
        <f>IF(B11="","",(Y11*25)/AD11)</f>
        <v/>
      </c>
      <c r="AJ11" s="57" t="str">
        <f>IF(B11="","",(AA11*25)/AD11)</f>
        <v/>
      </c>
      <c r="AK11" s="58" t="str">
        <f>IF(B11="","",(AB11*40)/AD11)</f>
        <v/>
      </c>
      <c r="AL11" s="58" t="str">
        <f>IF(B11="","",(AC11*50)/AD11)</f>
        <v/>
      </c>
      <c r="AM11" s="59" t="str">
        <f>IF(B11="","",B11)</f>
        <v/>
      </c>
      <c r="AN11" s="233"/>
      <c r="AO11" s="82"/>
      <c r="AP11" s="234"/>
      <c r="AQ11" s="63" t="str">
        <f>IF(AN11="","",AN11/AO11)</f>
        <v/>
      </c>
      <c r="AR11" s="64" t="str">
        <f>IF(AN11="","",(AD11/AN11)/1000)</f>
        <v/>
      </c>
      <c r="AS11" s="64" t="str">
        <f>IF(AN11="","",AR11*24)</f>
        <v/>
      </c>
      <c r="AT11" s="65" t="str">
        <f>IF(AN11="","",(AD11/1000)*100%/AS11)</f>
        <v/>
      </c>
      <c r="AU11" s="64" t="str">
        <f>IF(AN11="","",(AE11/AN11))</f>
        <v/>
      </c>
      <c r="AV11" s="229" t="str">
        <f>IF(AN11="","",(AD11/AO11)/1000)</f>
        <v/>
      </c>
      <c r="AW11" s="714"/>
      <c r="AX11" s="714"/>
      <c r="AY11" s="714"/>
      <c r="AZ11" s="723"/>
      <c r="BA11" s="714"/>
      <c r="BB11" s="725"/>
      <c r="BC11" s="727"/>
      <c r="BD11" s="727"/>
      <c r="BE11" s="727"/>
      <c r="BF11" s="729"/>
    </row>
    <row r="12" spans="1:58" customHeight="1" ht="13.9">
      <c r="A12" s="485" t="str">
        <f>IF(B12="","",9)</f>
        <v/>
      </c>
      <c r="B12" s="226"/>
      <c r="C12" s="69"/>
      <c r="D12" s="70"/>
      <c r="E12" s="76"/>
      <c r="F12" s="70"/>
      <c r="G12" s="76"/>
      <c r="H12" s="70"/>
      <c r="I12" s="491"/>
      <c r="J12" s="491"/>
      <c r="K12" s="70"/>
      <c r="L12" s="494"/>
      <c r="M12" s="494"/>
      <c r="N12" s="76"/>
      <c r="O12" s="76"/>
      <c r="P12" s="467"/>
      <c r="Q12" s="412"/>
      <c r="R12" s="410"/>
      <c r="S12" s="242"/>
      <c r="T12" s="401"/>
      <c r="U12" s="407"/>
      <c r="V12" s="249"/>
      <c r="W12" s="401"/>
      <c r="X12" s="278"/>
      <c r="Y12" s="78"/>
      <c r="Z12" s="403"/>
      <c r="AA12" s="281"/>
      <c r="AB12" s="79"/>
      <c r="AC12" s="85"/>
      <c r="AD12" s="55" t="str">
        <f>IF(B12="","",(((C12+F12+H12+K12+Q12+N12+O12)*50))+((E12*10))+(((I12+J12+D12+G12+L12+M12+U12)*25)+(X12*25)+(Y12*25)+(Z12*25)+(AA12*25)+(AB12*40)+(AC12*50)+(R12*1)+(S12*1)+(T12*1)))</f>
        <v/>
      </c>
      <c r="AE12" s="55" t="str">
        <f>IF(B12="","",C12+F12+H12+K12+Q12+N12+O12+((I12+J12+D12+G12+U12)/2)+(R12/50)+(S12/50)+(T12/50)+(E12/5))</f>
        <v/>
      </c>
      <c r="AF12" s="56" t="str">
        <f>IF(B12="","",((AE12*50)/AD12))</f>
        <v/>
      </c>
      <c r="AG12" s="57" t="str">
        <f>IF(C12="","",((Z12)*25)/AD12)</f>
        <v/>
      </c>
      <c r="AH12" s="57" t="str">
        <f>IF(B12="","",(X12*25)/AD12)</f>
        <v/>
      </c>
      <c r="AI12" s="57" t="str">
        <f>IF(B12="","",(Y12*25)/AD12)</f>
        <v/>
      </c>
      <c r="AJ12" s="57" t="str">
        <f>IF(B12="","",(AA12*25)/AD12)</f>
        <v/>
      </c>
      <c r="AK12" s="58" t="str">
        <f>IF(B12="","",(AB12*40)/AD12)</f>
        <v/>
      </c>
      <c r="AL12" s="58" t="str">
        <f>IF(B12="","",(AC12*50)/AD12)</f>
        <v/>
      </c>
      <c r="AM12" s="59" t="str">
        <f>IF(B12="","",B12)</f>
        <v/>
      </c>
      <c r="AN12" s="233"/>
      <c r="AO12" s="82"/>
      <c r="AP12" s="234"/>
      <c r="AQ12" s="63" t="str">
        <f>IF(AN12="","",AN12/AO12)</f>
        <v/>
      </c>
      <c r="AR12" s="64" t="str">
        <f>IF(AN12="","",(AD12/AN12)/1000)</f>
        <v/>
      </c>
      <c r="AS12" s="64" t="str">
        <f>IF(AN12="","",AR12*24)</f>
        <v/>
      </c>
      <c r="AT12" s="65" t="str">
        <f>IF(AN12="","",(AD12/1000)*100%/AS12)</f>
        <v/>
      </c>
      <c r="AU12" s="64" t="str">
        <f>IF(AN12="","",(AE12/AN12))</f>
        <v/>
      </c>
      <c r="AV12" s="229" t="str">
        <f>IF(AN12="","",(AD12/AO12)/1000)</f>
        <v/>
      </c>
      <c r="AW12" s="714"/>
      <c r="AX12" s="714"/>
      <c r="AY12" s="714"/>
      <c r="AZ12" s="723"/>
      <c r="BA12" s="714"/>
      <c r="BB12" s="725"/>
      <c r="BC12" s="727"/>
      <c r="BD12" s="727"/>
      <c r="BE12" s="727"/>
      <c r="BF12" s="729"/>
    </row>
    <row r="13" spans="1:58" customHeight="1" ht="13.9">
      <c r="A13" s="485" t="str">
        <f>IF(B13="","",11)</f>
        <v/>
      </c>
      <c r="B13" s="226"/>
      <c r="C13" s="69"/>
      <c r="D13" s="70"/>
      <c r="E13" s="76"/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/>
      <c r="S13" s="242"/>
      <c r="T13" s="401"/>
      <c r="U13" s="407"/>
      <c r="V13" s="249"/>
      <c r="W13" s="401"/>
      <c r="X13" s="278"/>
      <c r="Y13" s="78"/>
      <c r="Z13" s="403"/>
      <c r="AA13" s="281"/>
      <c r="AB13" s="79"/>
      <c r="AC13" s="85"/>
      <c r="AD13" s="55" t="str">
        <f>IF(B13="","",(((C13+F13+H13+K13+Q13+N13+O13)*50))+((E13*10))+(((I13+J13+D13+G13+L13+M13+U13)*25)+(X13*25)+(Y13*25)+(Z13*25)+(AA13*25)+(AB13*40)+(AC13*50)+(R13*1)+(S13*1)+(T13*1)))</f>
        <v/>
      </c>
      <c r="AE13" s="55" t="str">
        <f>IF(B13="","",C13+F13+H13+K13+Q13+N13+O13+((I13+J13+D13+G13+U13)/2)+(R13/50)+(S13/50)+(T13/50)+(E13/5))</f>
        <v/>
      </c>
      <c r="AF13" s="56" t="str">
        <f>IF(B13="","",((AE13*50)/AD13))</f>
        <v/>
      </c>
      <c r="AG13" s="57" t="str">
        <f>IF(C13="","",((Z13)*25)/AD13)</f>
        <v/>
      </c>
      <c r="AH13" s="57" t="str">
        <f>IF(B13="","",(X13*25)/AD13)</f>
        <v/>
      </c>
      <c r="AI13" s="57" t="str">
        <f>IF(B13="","",(Y13*25)/AD13)</f>
        <v/>
      </c>
      <c r="AJ13" s="57" t="str">
        <f>IF(B13="","",(AA13*25)/AD13)</f>
        <v/>
      </c>
      <c r="AK13" s="58" t="str">
        <f>IF(B13="","",(AB13*40)/AD13)</f>
        <v/>
      </c>
      <c r="AL13" s="58" t="str">
        <f>IF(B13="","",(AC13*50)/AD13)</f>
        <v/>
      </c>
      <c r="AM13" s="59" t="str">
        <f>IF(B13="","",B13)</f>
        <v/>
      </c>
      <c r="AN13" s="233"/>
      <c r="AO13" s="82"/>
      <c r="AP13" s="234"/>
      <c r="AQ13" s="63" t="str">
        <f>IF(AN13="","",AN13/AO13)</f>
        <v/>
      </c>
      <c r="AR13" s="64" t="str">
        <f>IF(AN13="","",(AD13/AN13)/1000)</f>
        <v/>
      </c>
      <c r="AS13" s="64" t="str">
        <f>IF(AN13="","",AR13*24)</f>
        <v/>
      </c>
      <c r="AT13" s="65" t="str">
        <f>IF(AN13="","",(AD13/1000)*100%/AS13)</f>
        <v/>
      </c>
      <c r="AU13" s="64" t="str">
        <f>IF(AN13="","",(AE13/AN13))</f>
        <v/>
      </c>
      <c r="AV13" s="229" t="str">
        <f>IF(AN13="","",(AD13/AO13)/1000)</f>
        <v/>
      </c>
      <c r="AW13" s="714"/>
      <c r="AX13" s="714"/>
      <c r="AY13" s="714"/>
      <c r="AZ13" s="723"/>
      <c r="BA13" s="714"/>
      <c r="BB13" s="725"/>
      <c r="BC13" s="727"/>
      <c r="BD13" s="727"/>
      <c r="BE13" s="727"/>
      <c r="BF13" s="729"/>
    </row>
    <row r="14" spans="1:58" customHeight="1" ht="13.9">
      <c r="A14" s="485" t="str">
        <f>IF(B14="","",12)</f>
        <v/>
      </c>
      <c r="B14" s="226"/>
      <c r="C14" s="69"/>
      <c r="D14" s="70"/>
      <c r="E14" s="76"/>
      <c r="F14" s="70"/>
      <c r="G14" s="76"/>
      <c r="H14" s="70"/>
      <c r="I14" s="491"/>
      <c r="J14" s="491"/>
      <c r="K14" s="70"/>
      <c r="L14" s="494"/>
      <c r="M14" s="494"/>
      <c r="N14" s="76"/>
      <c r="O14" s="76"/>
      <c r="P14" s="467"/>
      <c r="Q14" s="412"/>
      <c r="R14" s="410"/>
      <c r="S14" s="242"/>
      <c r="T14" s="401"/>
      <c r="U14" s="407"/>
      <c r="V14" s="249"/>
      <c r="W14" s="401"/>
      <c r="X14" s="278"/>
      <c r="Y14" s="78"/>
      <c r="Z14" s="403"/>
      <c r="AA14" s="281"/>
      <c r="AB14" s="79"/>
      <c r="AC14" s="85"/>
      <c r="AD14" s="55" t="str">
        <f>IF(B14="","",(((C14+F14+H14+K14+Q14+N14+O14)*50))+((E14*10))+(((I14+J14+D14+G14+L14+M14+U14)*25)+(X14*25)+(Y14*25)+(Z14*25)+(AA14*25)+(AB14*40)+(AC14*50)+(R14*1)+(S14*1)+(T14*1)))</f>
        <v/>
      </c>
      <c r="AE14" s="55" t="str">
        <f>IF(B14="","",C14+F14+H14+K14+Q14+N14+O14+((I14+J14+D14+G14+U14)/2)+(R14/50)+(S14/50)+(T14/50)+(E14/5))</f>
        <v/>
      </c>
      <c r="AF14" s="56" t="str">
        <f>IF(B14="","",((AE14*50)/AD14))</f>
        <v/>
      </c>
      <c r="AG14" s="57" t="str">
        <f>IF(C14="","",((Z14)*25)/AD14)</f>
        <v/>
      </c>
      <c r="AH14" s="57" t="str">
        <f>IF(B14="","",(X14*25)/AD14)</f>
        <v/>
      </c>
      <c r="AI14" s="57" t="str">
        <f>IF(B14="","",(Y14*25)/AD14)</f>
        <v/>
      </c>
      <c r="AJ14" s="57" t="str">
        <f>IF(B14="","",(AA14*25)/AD14)</f>
        <v/>
      </c>
      <c r="AK14" s="58" t="str">
        <f>IF(B14="","",(AB14*40)/AD14)</f>
        <v/>
      </c>
      <c r="AL14" s="58" t="str">
        <f>IF(B14="","",(AC14*50)/AD14)</f>
        <v/>
      </c>
      <c r="AM14" s="59" t="str">
        <f>IF(B14="","",B14)</f>
        <v/>
      </c>
      <c r="AN14" s="233"/>
      <c r="AO14" s="82"/>
      <c r="AP14" s="234"/>
      <c r="AQ14" s="63" t="str">
        <f>IF(AN14="","",AN14/AO14)</f>
        <v/>
      </c>
      <c r="AR14" s="64" t="str">
        <f>IF(AN14="","",(AD14/AN14)/1000)</f>
        <v/>
      </c>
      <c r="AS14" s="64" t="str">
        <f>IF(AN14="","",AR14*24)</f>
        <v/>
      </c>
      <c r="AT14" s="65" t="str">
        <f>IF(AN14="","",(AD14/1000)*100%/AS14)</f>
        <v/>
      </c>
      <c r="AU14" s="64" t="str">
        <f>IF(AN14="","",(AE14/AN14))</f>
        <v/>
      </c>
      <c r="AV14" s="229" t="str">
        <f>IF(AN14="","",(AD14/AO14)/1000)</f>
        <v/>
      </c>
      <c r="AW14" s="714"/>
      <c r="AX14" s="714"/>
      <c r="AY14" s="714"/>
      <c r="AZ14" s="723"/>
      <c r="BA14" s="714"/>
      <c r="BB14" s="725"/>
      <c r="BC14" s="727"/>
      <c r="BD14" s="727"/>
      <c r="BE14" s="727"/>
      <c r="BF14" s="729"/>
    </row>
    <row r="15" spans="1:58" customHeight="1" ht="13.9">
      <c r="A15" s="485" t="str">
        <f>IF(B15="","",13)</f>
        <v/>
      </c>
      <c r="B15" s="226"/>
      <c r="C15" s="69"/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/>
      <c r="S15" s="242"/>
      <c r="T15" s="401"/>
      <c r="U15" s="407"/>
      <c r="V15" s="249"/>
      <c r="W15" s="401"/>
      <c r="X15" s="278"/>
      <c r="Y15" s="78"/>
      <c r="Z15" s="403"/>
      <c r="AA15" s="281"/>
      <c r="AC15" s="79"/>
      <c r="AD15" s="55" t="str">
        <f>IF(B15="","",(((C15+F15+H15+K15+Q15+N15+O15)*50))+((E15*10))+(((I15+J15+D15+G15+L15+M15+U15)*25)+(X15*25)+(Y15*25)+(Z15*25)+(AA15*25)+(AB15*40)+(AC15*50)+(R15*1)+(S15*1)+(T15*1)))</f>
        <v/>
      </c>
      <c r="AE15" s="55" t="str">
        <f>IF(B15="","",C15+F15+H15+K15+Q15+N15+O15+((I15+J15+D15+G15+U15)/2)+(R15/50)+(S15/50)+(T15/50)+(E15/5))</f>
        <v/>
      </c>
      <c r="AF15" s="56" t="str">
        <f>IF(B15="","",((AE15*50)/AD15))</f>
        <v/>
      </c>
      <c r="AG15" s="57" t="str">
        <f>IF(C15="","",((Z15)*25)/AD15)</f>
        <v/>
      </c>
      <c r="AH15" s="57" t="str">
        <f>IF(B15="","",(X15*25)/AD15)</f>
        <v/>
      </c>
      <c r="AI15" s="57" t="str">
        <f>IF(B15="","",(Y15*25)/AD15)</f>
        <v/>
      </c>
      <c r="AJ15" s="57" t="str">
        <f>IF(B15="","",(AA15*25)/AD15)</f>
        <v/>
      </c>
      <c r="AK15" s="58" t="str">
        <f>IF(B15="","",(AC15*40)/AD15)</f>
        <v/>
      </c>
      <c r="AL15" s="58" t="str">
        <f>IF(B15="","",(AC15*50)/AD15)</f>
        <v/>
      </c>
      <c r="AM15" s="59" t="str">
        <f>IF(B15="","",B15)</f>
        <v/>
      </c>
      <c r="AN15" s="233"/>
      <c r="AO15" s="82"/>
      <c r="AP15" s="234"/>
      <c r="AQ15" s="63" t="str">
        <f>IF(AN15="","",AN15/AO15)</f>
        <v/>
      </c>
      <c r="AR15" s="64" t="str">
        <f>IF(AN15="","",(AD15/AN15)/1000)</f>
        <v/>
      </c>
      <c r="AS15" s="64" t="str">
        <f>IF(AN15="","",AR15*24)</f>
        <v/>
      </c>
      <c r="AT15" s="65" t="str">
        <f>IF(AN15="","",(AD15/1000)*100%/AS15)</f>
        <v/>
      </c>
      <c r="AU15" s="64" t="str">
        <f>IF(AN15="","",(AE15/AN15))</f>
        <v/>
      </c>
      <c r="AV15" s="229" t="str">
        <f>IF(AN15="","",(AD15/AO15)/1000)</f>
        <v/>
      </c>
      <c r="AW15" s="714"/>
      <c r="AX15" s="714"/>
      <c r="AY15" s="714"/>
      <c r="AZ15" s="723"/>
      <c r="BA15" s="714"/>
      <c r="BB15" s="725"/>
      <c r="BC15" s="727"/>
      <c r="BD15" s="727"/>
      <c r="BE15" s="727"/>
      <c r="BF15" s="729"/>
    </row>
    <row r="16" spans="1:58" customHeight="1" ht="13.9">
      <c r="A16" s="485" t="str">
        <f>IF(B16="","",1+A15)</f>
        <v/>
      </c>
      <c r="B16" s="226"/>
      <c r="C16" s="69"/>
      <c r="D16" s="70"/>
      <c r="E16" s="76"/>
      <c r="F16" s="70"/>
      <c r="G16" s="76"/>
      <c r="H16" s="70"/>
      <c r="I16" s="491"/>
      <c r="J16" s="491"/>
      <c r="K16" s="70"/>
      <c r="L16" s="494"/>
      <c r="M16" s="494"/>
      <c r="N16" s="76"/>
      <c r="O16" s="76"/>
      <c r="P16" s="467"/>
      <c r="Q16" s="412"/>
      <c r="R16" s="410"/>
      <c r="S16" s="242"/>
      <c r="T16" s="401"/>
      <c r="U16" s="407"/>
      <c r="V16" s="249"/>
      <c r="W16" s="401"/>
      <c r="X16" s="278"/>
      <c r="Y16" s="78"/>
      <c r="Z16" s="403"/>
      <c r="AA16" s="281"/>
      <c r="AB16" s="79"/>
      <c r="AC16" s="85"/>
      <c r="AD16" s="55" t="str">
        <f>IF(B16="","",(((C16+F16+H16+K16+Q16+N16+O16)*50))+((E16*10))+(((I16+J16+D16+G16+L16+M16+U16)*25)+(X16*25)+(Y16*25)+(Z16*25)+(AA16*25)+(AB16*40)+(AC16*50)+(R16*1)+(S16*1)+(T16*1)))</f>
        <v/>
      </c>
      <c r="AE16" s="55" t="str">
        <f>IF(B16="","",C16+F16+H16+K16+Q16+N16+O16+((I16+J16+D16+G16+U16)/2)+(R16/50)+(S16/50)+(T16/50)+(E16/5))</f>
        <v/>
      </c>
      <c r="AF16" s="56" t="str">
        <f>IF(B16="","",((AE16*50)/AD16))</f>
        <v/>
      </c>
      <c r="AG16" s="57" t="str">
        <f>IF(C16="","",((Z16)*25)/AD16)</f>
        <v/>
      </c>
      <c r="AH16" s="57" t="str">
        <f>IF(B16="","",(X16*25)/AD16)</f>
        <v/>
      </c>
      <c r="AI16" s="57" t="str">
        <f>IF(B16="","",(Y16*25)/AD16)</f>
        <v/>
      </c>
      <c r="AJ16" s="57" t="str">
        <f>IF(B16="","",(AA16*25)/AD16)</f>
        <v/>
      </c>
      <c r="AK16" s="58" t="str">
        <f>IF(B16="","",(AB16*40)/AD16)</f>
        <v/>
      </c>
      <c r="AL16" s="58" t="str">
        <f>IF(B16="","",(AC16*50)/AD16)</f>
        <v/>
      </c>
      <c r="AM16" s="59" t="str">
        <f>IF(B16="","",B16)</f>
        <v/>
      </c>
      <c r="AN16" s="233"/>
      <c r="AO16" s="82"/>
      <c r="AP16" s="234"/>
      <c r="AQ16" s="63" t="str">
        <f>IF(AN16="","",AN16/AO16)</f>
        <v/>
      </c>
      <c r="AR16" s="64" t="str">
        <f>IF(AN16="","",(AD16/AN16)/1000)</f>
        <v/>
      </c>
      <c r="AS16" s="64" t="str">
        <f>IF(AN16="","",AR16*24)</f>
        <v/>
      </c>
      <c r="AT16" s="65" t="str">
        <f>IF(AN16="","",(AD16/1000)*100%/AS16)</f>
        <v/>
      </c>
      <c r="AU16" s="64" t="str">
        <f>IF(AN16="","",(AE16/AN16))</f>
        <v/>
      </c>
      <c r="AV16" s="229" t="str">
        <f>IF(AN16="","",(AD16/AO16)/1000)</f>
        <v/>
      </c>
      <c r="AW16" s="714"/>
      <c r="AX16" s="714"/>
      <c r="AY16" s="714"/>
      <c r="AZ16" s="723"/>
      <c r="BA16" s="714"/>
      <c r="BB16" s="725"/>
      <c r="BC16" s="727"/>
      <c r="BD16" s="727"/>
      <c r="BE16" s="727"/>
      <c r="BF16" s="729"/>
    </row>
    <row r="17" spans="1:58" customHeight="1" ht="13.9">
      <c r="A17" s="485" t="str">
        <f>IF(B17="","",15)</f>
        <v/>
      </c>
      <c r="B17" s="226"/>
      <c r="C17" s="69"/>
      <c r="D17" s="70"/>
      <c r="E17" s="76"/>
      <c r="F17" s="70"/>
      <c r="G17" s="76"/>
      <c r="H17" s="70"/>
      <c r="I17" s="491"/>
      <c r="J17" s="491"/>
      <c r="K17" s="70"/>
      <c r="L17" s="494"/>
      <c r="M17" s="494"/>
      <c r="N17" s="76"/>
      <c r="O17" s="76"/>
      <c r="P17" s="467"/>
      <c r="Q17" s="412"/>
      <c r="R17" s="410"/>
      <c r="S17" s="242"/>
      <c r="T17" s="401"/>
      <c r="U17" s="407"/>
      <c r="V17" s="249"/>
      <c r="W17" s="401"/>
      <c r="X17" s="278"/>
      <c r="Y17" s="78"/>
      <c r="Z17" s="403"/>
      <c r="AA17" s="281"/>
      <c r="AB17" s="79"/>
      <c r="AC17" s="85"/>
      <c r="AD17" s="55" t="str">
        <f>IF(B17="","",(((C17+F17+H17+K17+Q17+N17+O17)*50))+((E17*10))+(((I17+J17+D17+G17+L17+M17+U17)*25)+(X17*25)+(Y17*25)+(Z17*25)+(AA17*25)+(AB17*40)+(AC17*50)+(R17*1)+(S17*1)+(T17*1)))</f>
        <v/>
      </c>
      <c r="AE17" s="55" t="str">
        <f>IF(B17="","",C17+F17+H17+K17+Q17+N17+O17+((I17+J17+D17+G17+U17)/2)+(R17/50)+(S17/50)+(T17/50)+(E17/5))</f>
        <v/>
      </c>
      <c r="AF17" s="56" t="str">
        <f>IF(B17="","",((AE17*50)/AD17))</f>
        <v/>
      </c>
      <c r="AG17" s="57" t="str">
        <f>IF(C17="","",((Z17)*25)/AD17)</f>
        <v/>
      </c>
      <c r="AH17" s="57" t="str">
        <f>IF(B17="","",(X17*25)/AD17)</f>
        <v/>
      </c>
      <c r="AI17" s="57" t="str">
        <f>IF(B17="","",(Y17*25)/AD17)</f>
        <v/>
      </c>
      <c r="AJ17" s="57" t="str">
        <f>IF(B17="","",(AA17*25)/AD17)</f>
        <v/>
      </c>
      <c r="AK17" s="58" t="str">
        <f>IF(B17="","",(AB17*40)/AD17)</f>
        <v/>
      </c>
      <c r="AL17" s="58" t="str">
        <f>IF(B17="","",(AC17*50)/AD17)</f>
        <v/>
      </c>
      <c r="AM17" s="59" t="str">
        <f>IF(B17="","",B17)</f>
        <v/>
      </c>
      <c r="AN17" s="233"/>
      <c r="AO17" s="82"/>
      <c r="AP17" s="234"/>
      <c r="AQ17" s="63" t="str">
        <f>IF(AN17="","",AN17/AO17)</f>
        <v/>
      </c>
      <c r="AR17" s="64" t="str">
        <f>IF(AN17="","",(AD17/AN17)/1000)</f>
        <v/>
      </c>
      <c r="AS17" s="64" t="str">
        <f>IF(AN17="","",AR17*24)</f>
        <v/>
      </c>
      <c r="AT17" s="65" t="str">
        <f>IF(AN17="","",(AD17/1000)*100%/AS17)</f>
        <v/>
      </c>
      <c r="AU17" s="64" t="str">
        <f>IF(AN17="","",(AE17/AN17))</f>
        <v/>
      </c>
      <c r="AV17" s="229" t="str">
        <f>IF(AN17="","",(AD17/AO17)/1000)</f>
        <v/>
      </c>
      <c r="AW17" s="714"/>
      <c r="AX17" s="714"/>
      <c r="AY17" s="714"/>
      <c r="AZ17" s="723"/>
      <c r="BA17" s="714"/>
      <c r="BB17" s="725"/>
      <c r="BC17" s="727"/>
      <c r="BD17" s="727"/>
      <c r="BE17" s="727"/>
      <c r="BF17" s="729"/>
    </row>
    <row r="18" spans="1:58" customHeight="1" ht="13.9">
      <c r="A18" s="485" t="str">
        <f>IF(B18="","",16)</f>
        <v/>
      </c>
      <c r="B18" s="226"/>
      <c r="C18" s="69"/>
      <c r="D18" s="70"/>
      <c r="E18" s="76"/>
      <c r="F18" s="70"/>
      <c r="G18" s="76"/>
      <c r="H18" s="70"/>
      <c r="I18" s="491"/>
      <c r="J18" s="491"/>
      <c r="K18" s="70"/>
      <c r="L18" s="494"/>
      <c r="M18" s="494"/>
      <c r="N18" s="76"/>
      <c r="O18" s="76"/>
      <c r="P18" s="467"/>
      <c r="Q18" s="412"/>
      <c r="R18" s="410"/>
      <c r="S18" s="242"/>
      <c r="T18" s="401"/>
      <c r="U18" s="407"/>
      <c r="V18" s="249"/>
      <c r="W18" s="401"/>
      <c r="X18" s="278"/>
      <c r="Y18" s="78"/>
      <c r="Z18" s="403"/>
      <c r="AA18" s="281"/>
      <c r="AB18" s="79"/>
      <c r="AC18" s="85"/>
      <c r="AD18" s="55" t="str">
        <f>IF(B18="","",(((C18+F18+H18+K18+Q18+N18+O18)*50))+((E18*10))+(((I18+J18+D18+G18+L18+M18+U18)*25)+(X18*25)+(Y18*25)+(Z18*25)+(AA18*25)+(AB18*40)+(AC18*50)+(R18*1)+(S18*1)+(T18*1)))</f>
        <v/>
      </c>
      <c r="AE18" s="55" t="str">
        <f>IF(B18="","",C18+F18+H18+K18+Q18+N18+O18+((I18+J18+D18+G18+U18)/2)+(R18/50)+(S18/50)+(T18/50)+(E18/5))</f>
        <v/>
      </c>
      <c r="AF18" s="56" t="str">
        <f>IF(B18="","",((AE18*50)/AD18))</f>
        <v/>
      </c>
      <c r="AG18" s="57" t="str">
        <f>IF(C18="","",((Z18)*25)/AD18)</f>
        <v/>
      </c>
      <c r="AH18" s="57" t="str">
        <f>IF(B18="","",(X18*25)/AD18)</f>
        <v/>
      </c>
      <c r="AI18" s="57" t="str">
        <f>IF(B18="","",(Y18*25)/AD18)</f>
        <v/>
      </c>
      <c r="AJ18" s="57" t="str">
        <f>IF(B18="","",(AA18*25)/AD18)</f>
        <v/>
      </c>
      <c r="AK18" s="58" t="str">
        <f>IF(B18="","",(AB18*40)/AD18)</f>
        <v/>
      </c>
      <c r="AL18" s="58" t="str">
        <f>IF(B18="","",(AC18*50)/AD18)</f>
        <v/>
      </c>
      <c r="AM18" s="59" t="str">
        <f>IF(B18="","",B18)</f>
        <v/>
      </c>
      <c r="AN18" s="233"/>
      <c r="AO18" s="82"/>
      <c r="AP18" s="234"/>
      <c r="AQ18" s="63" t="str">
        <f>IF(AN18="","",AN18/AO18)</f>
        <v/>
      </c>
      <c r="AR18" s="64" t="str">
        <f>IF(AN18="","",(AD18/AN18)/1000)</f>
        <v/>
      </c>
      <c r="AS18" s="64" t="str">
        <f>IF(AN18="","",AR18*24)</f>
        <v/>
      </c>
      <c r="AT18" s="65" t="str">
        <f>IF(AN18="","",(AD18/1000)*100%/AS18)</f>
        <v/>
      </c>
      <c r="AU18" s="64" t="str">
        <f>IF(AN18="","",(AE18/AN18))</f>
        <v/>
      </c>
      <c r="AV18" s="229" t="str">
        <f>IF(AN18="","",(AD18/AO18)/1000)</f>
        <v/>
      </c>
      <c r="AW18" s="714"/>
      <c r="AX18" s="714"/>
      <c r="AY18" s="714"/>
      <c r="AZ18" s="723"/>
      <c r="BA18" s="714"/>
      <c r="BB18" s="725"/>
      <c r="BC18" s="727"/>
      <c r="BD18" s="727"/>
      <c r="BE18" s="727"/>
      <c r="BF18" s="729"/>
    </row>
    <row r="19" spans="1:58" customHeight="1" ht="13.9">
      <c r="A19" s="485" t="str">
        <f>IF(B19="","",17)</f>
        <v/>
      </c>
      <c r="B19" s="68"/>
      <c r="C19" s="69"/>
      <c r="D19" s="70"/>
      <c r="E19" s="76"/>
      <c r="F19" s="70"/>
      <c r="G19" s="76"/>
      <c r="H19" s="70"/>
      <c r="I19" s="491"/>
      <c r="J19" s="491"/>
      <c r="K19" s="70"/>
      <c r="L19" s="494"/>
      <c r="M19" s="494"/>
      <c r="N19" s="76"/>
      <c r="O19" s="76"/>
      <c r="P19" s="467"/>
      <c r="Q19" s="412"/>
      <c r="R19" s="410"/>
      <c r="S19" s="242"/>
      <c r="T19" s="401"/>
      <c r="U19" s="407"/>
      <c r="V19" s="249"/>
      <c r="W19" s="401"/>
      <c r="X19" s="278"/>
      <c r="Y19" s="78"/>
      <c r="Z19" s="403"/>
      <c r="AA19" s="281"/>
      <c r="AB19" s="79"/>
      <c r="AC19" s="85"/>
      <c r="AD19" s="55" t="str">
        <f>IF(B19="","",(((C19+F19+H19+K19+Q19+N19+O19)*50))+((E19*10))+(((I19+J19+D19+G19+L19+M19+U19)*25)+(X19*25)+(Y19*25)+(Z19*25)+(AA19*25)+(AB19*40)+(AC19*50)+(R19*1)+(S19*1)+(T19*1)))</f>
        <v/>
      </c>
      <c r="AE19" s="55" t="str">
        <f>IF(B19="","",C19+F19+H19+K19+Q19+N19+O19+((I19+J19+D19+G19+U19)/2)+(R19/50)+(S19/50)+(T19/50)+(E19/5))</f>
        <v/>
      </c>
      <c r="AF19" s="56" t="str">
        <f>IF(B19="","",((AE19*50)/AD19))</f>
        <v/>
      </c>
      <c r="AG19" s="57" t="str">
        <f>IF(C19="","",((Z19)*25)/AD19)</f>
        <v/>
      </c>
      <c r="AH19" s="57" t="str">
        <f>IF(B19="","",(X19*25)/AD19)</f>
        <v/>
      </c>
      <c r="AI19" s="57" t="str">
        <f>IF(B19="","",(Y19*25)/AD19)</f>
        <v/>
      </c>
      <c r="AJ19" s="57" t="str">
        <f>IF(B19="","",(AA19*25)/AD19)</f>
        <v/>
      </c>
      <c r="AK19" s="58" t="str">
        <f>IF(B19="","",(AB19*40)/AD19)</f>
        <v/>
      </c>
      <c r="AL19" s="58" t="str">
        <f>IF(B19="","",(AC19*50)/AD19)</f>
        <v/>
      </c>
      <c r="AM19" s="59" t="str">
        <f>IF(B19="","",B19)</f>
        <v/>
      </c>
      <c r="AN19" s="233"/>
      <c r="AO19" s="82"/>
      <c r="AP19" s="234"/>
      <c r="AQ19" s="63" t="str">
        <f>IF(AN19="","",AN19/AO19)</f>
        <v/>
      </c>
      <c r="AR19" s="64" t="str">
        <f>IF(AN19="","",(AD19/AN19)/1000)</f>
        <v/>
      </c>
      <c r="AS19" s="64" t="str">
        <f>IF(AN19="","",AR19*24)</f>
        <v/>
      </c>
      <c r="AT19" s="65" t="str">
        <f>IF(AN19="","",(AD19/1000)*100%/AS19)</f>
        <v/>
      </c>
      <c r="AU19" s="64" t="str">
        <f>IF(AN19="","",(AE19/AN19))</f>
        <v/>
      </c>
      <c r="AV19" s="229" t="str">
        <f>IF(AN19="","",(AD19/AO19)/1000)</f>
        <v/>
      </c>
      <c r="AW19" s="714"/>
      <c r="AX19" s="714"/>
      <c r="AY19" s="714"/>
      <c r="AZ19" s="723"/>
      <c r="BA19" s="714"/>
      <c r="BB19" s="725"/>
      <c r="BC19" s="727"/>
      <c r="BD19" s="727"/>
      <c r="BE19" s="727"/>
      <c r="BF19" s="729"/>
    </row>
    <row r="20" spans="1:58" customHeight="1" ht="13.9">
      <c r="A20" s="485" t="str">
        <f>IF(B20="","",1+A19)</f>
        <v/>
      </c>
      <c r="B20" s="68"/>
      <c r="C20" s="69"/>
      <c r="D20" s="70"/>
      <c r="E20" s="76"/>
      <c r="F20" s="70"/>
      <c r="G20" s="76"/>
      <c r="H20" s="70"/>
      <c r="I20" s="491"/>
      <c r="J20" s="491"/>
      <c r="K20" s="70"/>
      <c r="L20" s="494"/>
      <c r="M20" s="494"/>
      <c r="N20" s="76"/>
      <c r="O20" s="76"/>
      <c r="P20" s="467"/>
      <c r="Q20" s="412"/>
      <c r="R20" s="410"/>
      <c r="S20" s="242"/>
      <c r="T20" s="401"/>
      <c r="U20" s="407"/>
      <c r="V20" s="249"/>
      <c r="W20" s="401"/>
      <c r="X20" s="278"/>
      <c r="Y20" s="78"/>
      <c r="Z20" s="403"/>
      <c r="AA20" s="281"/>
      <c r="AB20" s="79"/>
      <c r="AC20" s="85"/>
      <c r="AD20" s="55" t="str">
        <f>IF(B20="","",(((C20+F20+H20+K20+Q20+N20+O20)*50))+((E20*10))+(((I20+J20+D20+G20+L20+M20+U20)*25)+(X20*25)+(Y20*25)+(Z20*25)+(AA20*25)+(AB20*40)+(AC20*50)+(R20*1)+(S20*1)+(T20*1)))</f>
        <v/>
      </c>
      <c r="AE20" s="55" t="str">
        <f>IF(B20="","",C20+F20+H20+K20+Q20+N20+O20+((I20+J20+D20+G20+U20)/2)+(R20/50)+(S20/50)+(T20/50)+(E20/5))</f>
        <v/>
      </c>
      <c r="AF20" s="56" t="str">
        <f>IF(B20="","",((AE20*50)/AD20))</f>
        <v/>
      </c>
      <c r="AG20" s="57" t="str">
        <f>IF(C20="","",((Z20)*25)/AD20)</f>
        <v/>
      </c>
      <c r="AH20" s="57" t="str">
        <f>IF(B20="","",(X20*25)/AD20)</f>
        <v/>
      </c>
      <c r="AI20" s="57" t="str">
        <f>IF(B20="","",(Y20*25)/AD20)</f>
        <v/>
      </c>
      <c r="AJ20" s="57" t="str">
        <f>IF(B20="","",(AA20*25)/AD20)</f>
        <v/>
      </c>
      <c r="AK20" s="58" t="str">
        <f>IF(B20="","",(AB20*40)/AD20)</f>
        <v/>
      </c>
      <c r="AL20" s="58" t="str">
        <f>IF(B20="","",(AC20*50)/AD20)</f>
        <v/>
      </c>
      <c r="AM20" s="59" t="str">
        <f>IF(B20="","",B20)</f>
        <v/>
      </c>
      <c r="AN20" s="233"/>
      <c r="AO20" s="82"/>
      <c r="AP20" s="234"/>
      <c r="AQ20" s="63" t="str">
        <f>IF(AN20="","",AN20/AO20)</f>
        <v/>
      </c>
      <c r="AR20" s="64" t="str">
        <f>IF(AN20="","",(AD20/AN20)/1000)</f>
        <v/>
      </c>
      <c r="AS20" s="64" t="str">
        <f>IF(AN20="","",AR20*24)</f>
        <v/>
      </c>
      <c r="AT20" s="65" t="str">
        <f>IF(AN20="","",(AD20/1000)*100%/AS20)</f>
        <v/>
      </c>
      <c r="AU20" s="64" t="str">
        <f>IF(AN20="","",(AE20/AN20))</f>
        <v/>
      </c>
      <c r="AV20" s="229" t="str">
        <f>IF(AN20="","",(AD20/AO20)/1000)</f>
        <v/>
      </c>
      <c r="AW20" s="714"/>
      <c r="AX20" s="714"/>
      <c r="AY20" s="714"/>
      <c r="AZ20" s="723"/>
      <c r="BA20" s="714"/>
      <c r="BB20" s="725"/>
      <c r="BC20" s="727"/>
      <c r="BD20" s="727"/>
      <c r="BE20" s="727"/>
      <c r="BF20" s="729"/>
    </row>
    <row r="21" spans="1:58" customHeight="1" ht="13.9">
      <c r="A21" s="485" t="str">
        <f>IF(B21="","",1+A20)</f>
        <v/>
      </c>
      <c r="B21" s="68"/>
      <c r="C21" s="69"/>
      <c r="D21" s="70"/>
      <c r="E21" s="76"/>
      <c r="F21" s="70"/>
      <c r="G21" s="76"/>
      <c r="H21" s="70"/>
      <c r="I21" s="491"/>
      <c r="J21" s="491"/>
      <c r="K21" s="70"/>
      <c r="L21" s="494"/>
      <c r="M21" s="494"/>
      <c r="N21" s="76"/>
      <c r="O21" s="76"/>
      <c r="P21" s="467"/>
      <c r="Q21" s="412"/>
      <c r="R21" s="410"/>
      <c r="S21" s="242"/>
      <c r="T21" s="401"/>
      <c r="U21" s="407"/>
      <c r="V21" s="249"/>
      <c r="W21" s="401"/>
      <c r="X21" s="278"/>
      <c r="Y21" s="78"/>
      <c r="Z21" s="403"/>
      <c r="AA21" s="281"/>
      <c r="AB21" s="79"/>
      <c r="AC21" s="85"/>
      <c r="AD21" s="55"/>
      <c r="AE21" s="55" t="str">
        <f>IF(B21="","",C21+F21+H21+K21+Q21+N21+O21+((I21+J21+D21+G21+U21)/2)+(R21/50)+(S21/50)+(T21/50)+(E21/5))</f>
        <v/>
      </c>
      <c r="AF21" s="56" t="str">
        <f>IF(B21="","",((AE21*50)/AD21))</f>
        <v/>
      </c>
      <c r="AG21" s="57" t="str">
        <f>IF(C21="","",((Z21)*25)/AD21)</f>
        <v/>
      </c>
      <c r="AH21" s="57" t="str">
        <f>IF(B21="","",(X21*25)/AD21)</f>
        <v/>
      </c>
      <c r="AI21" s="57" t="str">
        <f>IF(B21="","",(Y21*25)/AD21)</f>
        <v/>
      </c>
      <c r="AJ21" s="57" t="str">
        <f>IF(B21="","",(AA21*25)/AD21)</f>
        <v/>
      </c>
      <c r="AK21" s="58" t="str">
        <f>IF(B21="","",(AB21*40)/AD21)</f>
        <v/>
      </c>
      <c r="AL21" s="58" t="str">
        <f>IF(B21="","",(AC21*50)/AD21)</f>
        <v/>
      </c>
      <c r="AM21" s="59" t="str">
        <f>IF(B21="","",B21)</f>
        <v/>
      </c>
      <c r="AN21" s="233"/>
      <c r="AO21" s="82"/>
      <c r="AP21" s="234"/>
      <c r="AQ21" s="63" t="str">
        <f>IF(AN21="","",AN21/AO21)</f>
        <v/>
      </c>
      <c r="AR21" s="64" t="str">
        <f>IF(AN21="","",(AD21/AN21)/1000)</f>
        <v/>
      </c>
      <c r="AS21" s="64" t="str">
        <f>IF(AN21="","",AR21*24)</f>
        <v/>
      </c>
      <c r="AT21" s="65" t="str">
        <f>IF(AN21="","",(AD21/1000)*100%/AS21)</f>
        <v/>
      </c>
      <c r="AU21" s="64" t="str">
        <f>IF(AN21="","",(AE21/AN21))</f>
        <v/>
      </c>
      <c r="AV21" s="229" t="str">
        <f>IF(AN21="","",(AD21/AO21)/1000)</f>
        <v/>
      </c>
      <c r="AW21" s="714"/>
      <c r="AX21" s="714"/>
      <c r="AY21" s="714"/>
      <c r="AZ21" s="723"/>
      <c r="BA21" s="714"/>
      <c r="BB21" s="725"/>
      <c r="BC21" s="727"/>
      <c r="BD21" s="727"/>
      <c r="BE21" s="727"/>
      <c r="BF21" s="729"/>
    </row>
    <row r="22" spans="1:58" customHeight="1" ht="13.9">
      <c r="A22" s="485" t="str">
        <f>IF(B22="","",1+A21)</f>
        <v/>
      </c>
      <c r="B22" s="68"/>
      <c r="C22" s="69"/>
      <c r="D22" s="70"/>
      <c r="E22" s="76"/>
      <c r="F22" s="70"/>
      <c r="G22" s="76"/>
      <c r="H22" s="70"/>
      <c r="I22" s="76"/>
      <c r="J22" s="76"/>
      <c r="K22" s="70"/>
      <c r="L22" s="494"/>
      <c r="M22" s="494"/>
      <c r="N22" s="76"/>
      <c r="O22" s="76"/>
      <c r="P22" s="467"/>
      <c r="Q22" s="412"/>
      <c r="R22" s="410"/>
      <c r="S22" s="242"/>
      <c r="T22" s="401"/>
      <c r="U22" s="407"/>
      <c r="V22" s="249"/>
      <c r="W22" s="401"/>
      <c r="X22" s="278"/>
      <c r="Y22" s="78"/>
      <c r="Z22" s="403"/>
      <c r="AA22" s="281"/>
      <c r="AB22" s="79"/>
      <c r="AC22" s="85"/>
      <c r="AD22" s="55" t="str">
        <f>IF(B22="","",(((C22+F22+H22+K22+Q22+N22+O22)*50))+((E22*10))+(((I22+J22+D22+G22+L22+M22+U22)*25)+(X22*25)+(Y22*25)+(Z22*25)+(AA22*25)+(AB22*40)+(AC22*50)+(R22*1)+(S22*1)+(T22*1)))</f>
        <v/>
      </c>
      <c r="AE22" s="55" t="str">
        <f>IF(B22="","",C22+F22+H22+K22+Q22+N22+O22+((I22+J22+D22+G22+U22)/2)+(R22/50)+(S22/50)+(T22/50)+(E22/5))</f>
        <v/>
      </c>
      <c r="AF22" s="56" t="str">
        <f>IF(B22="","",((AE22*50)/AD22))</f>
        <v/>
      </c>
      <c r="AG22" s="57" t="str">
        <f>IF(C22="","",((Z22)*25)/AD22)</f>
        <v/>
      </c>
      <c r="AH22" s="57" t="str">
        <f>IF(B22="","",(X22*25)/AD22)</f>
        <v/>
      </c>
      <c r="AI22" s="57" t="str">
        <f>IF(B22="","",(Y22*25)/AD22)</f>
        <v/>
      </c>
      <c r="AJ22" s="57" t="str">
        <f>IF(B22="","",(AA22*25)/AD22)</f>
        <v/>
      </c>
      <c r="AK22" s="58" t="str">
        <f>IF(B22="","",(AB22*40)/AD22)</f>
        <v/>
      </c>
      <c r="AL22" s="58" t="str">
        <f>IF(B22="","",(AC22*50)/AD22)</f>
        <v/>
      </c>
      <c r="AM22" s="59" t="str">
        <f>IF(B22="","",B22)</f>
        <v/>
      </c>
      <c r="AN22" s="233"/>
      <c r="AO22" s="82"/>
      <c r="AP22" s="234"/>
      <c r="AQ22" s="63" t="str">
        <f>IF(AN22="","",AN22/AO22)</f>
        <v/>
      </c>
      <c r="AR22" s="64" t="str">
        <f>IF(AN22="","",(AD22/AN22)/1000)</f>
        <v/>
      </c>
      <c r="AS22" s="64" t="str">
        <f>IF(AN22="","",AR22*24)</f>
        <v/>
      </c>
      <c r="AT22" s="65" t="str">
        <f>IF(AN22="","",(AD22/1000)*100%/AS22)</f>
        <v/>
      </c>
      <c r="AU22" s="64" t="str">
        <f>IF(AN22="","",(AE22/AN22))</f>
        <v/>
      </c>
      <c r="AV22" s="229" t="str">
        <f>IF(AN22="","",(AD22/AO22)/1000)</f>
        <v/>
      </c>
      <c r="AW22" s="714"/>
      <c r="AX22" s="714"/>
      <c r="AY22" s="714"/>
      <c r="AZ22" s="723"/>
      <c r="BA22" s="714"/>
      <c r="BB22" s="725"/>
      <c r="BC22" s="727"/>
      <c r="BD22" s="727"/>
      <c r="BE22" s="727"/>
      <c r="BF22" s="729"/>
    </row>
    <row r="23" spans="1:58" customHeight="1" ht="13.9">
      <c r="A23" s="485" t="str">
        <f>IF(B23="","",1+A22)</f>
        <v/>
      </c>
      <c r="B23" s="68"/>
      <c r="C23" s="69"/>
      <c r="D23" s="70"/>
      <c r="E23" s="76"/>
      <c r="F23" s="70"/>
      <c r="G23" s="76"/>
      <c r="H23" s="70"/>
      <c r="I23" s="76"/>
      <c r="J23" s="76"/>
      <c r="K23" s="70"/>
      <c r="L23" s="494"/>
      <c r="M23" s="494"/>
      <c r="N23" s="76"/>
      <c r="O23" s="76"/>
      <c r="P23" s="467"/>
      <c r="Q23" s="412"/>
      <c r="R23" s="410"/>
      <c r="S23" s="242"/>
      <c r="T23" s="401"/>
      <c r="U23" s="407"/>
      <c r="V23" s="249"/>
      <c r="W23" s="401"/>
      <c r="X23" s="278"/>
      <c r="Y23" s="78"/>
      <c r="Z23" s="403"/>
      <c r="AA23" s="281"/>
      <c r="AB23" s="79"/>
      <c r="AC23" s="85"/>
      <c r="AD23" s="55"/>
      <c r="AE23" s="55" t="str">
        <f>IF(B23="","",C23+F23+H23+K23+Q23+N23+O23+((I23+J23+D23+G23+U23)/2)+(R23/50)+(S23/50)+(T23/50)+(E23/5))</f>
        <v/>
      </c>
      <c r="AF23" s="56" t="str">
        <f>IF(B23="","",((AE23*50)/AD23))</f>
        <v/>
      </c>
      <c r="AG23" s="57" t="str">
        <f>IF(C23="","",((Z23)*25)/AD23)</f>
        <v/>
      </c>
      <c r="AH23" s="57" t="str">
        <f>IF(B23="","",(X23*25)/AD23)</f>
        <v/>
      </c>
      <c r="AI23" s="57" t="str">
        <f>IF(B23="","",(Y23*25)/AD23)</f>
        <v/>
      </c>
      <c r="AJ23" s="57" t="str">
        <f>IF(B23="","",(AA23*25)/AD23)</f>
        <v/>
      </c>
      <c r="AK23" s="58" t="str">
        <f>IF(B23="","",(AB23*40)/AD23)</f>
        <v/>
      </c>
      <c r="AL23" s="58" t="str">
        <f>IF(B23="","",(AC23*50)/AD23)</f>
        <v/>
      </c>
      <c r="AM23" s="59" t="str">
        <f>IF(B23="","",B23)</f>
        <v/>
      </c>
      <c r="AN23" s="233"/>
      <c r="AO23" s="82"/>
      <c r="AP23" s="234"/>
      <c r="AQ23" s="63" t="str">
        <f>IF(AN23="","",AN23/AO23)</f>
        <v/>
      </c>
      <c r="AR23" s="64" t="str">
        <f>IF(AN23="","",(AD23/AN23)/1000)</f>
        <v/>
      </c>
      <c r="AS23" s="64" t="str">
        <f>IF(AN23="","",AR23*24)</f>
        <v/>
      </c>
      <c r="AT23" s="65" t="str">
        <f>IF(AN23="","",(AD23/1000)*100%/AS23)</f>
        <v/>
      </c>
      <c r="AU23" s="64" t="str">
        <f>IF(AN23="","",(AE23/AN23))</f>
        <v/>
      </c>
      <c r="AV23" s="229" t="str">
        <f>IF(AN23="","",(AD23/AO23)/1000)</f>
        <v/>
      </c>
      <c r="AW23" s="714"/>
      <c r="AX23" s="714"/>
      <c r="AY23" s="714"/>
      <c r="AZ23" s="723"/>
      <c r="BA23" s="714"/>
      <c r="BB23" s="725"/>
      <c r="BC23" s="727"/>
      <c r="BD23" s="727"/>
      <c r="BE23" s="727"/>
      <c r="BF23" s="729"/>
    </row>
    <row r="24" spans="1:58" customHeight="1" ht="13.9">
      <c r="A24" s="485" t="str">
        <f>IF(B24="","",1+A23)</f>
        <v/>
      </c>
      <c r="B24" s="68"/>
      <c r="C24" s="69"/>
      <c r="D24" s="70"/>
      <c r="E24" s="76"/>
      <c r="F24" s="70"/>
      <c r="G24" s="76"/>
      <c r="H24" s="70"/>
      <c r="I24" s="76"/>
      <c r="J24" s="76"/>
      <c r="K24" s="70"/>
      <c r="L24" s="494"/>
      <c r="M24" s="494"/>
      <c r="N24" s="76"/>
      <c r="O24" s="76"/>
      <c r="P24" s="467"/>
      <c r="Q24" s="412"/>
      <c r="R24" s="410"/>
      <c r="S24" s="242"/>
      <c r="T24" s="401"/>
      <c r="U24" s="407"/>
      <c r="V24" s="249"/>
      <c r="W24" s="401"/>
      <c r="X24" s="278"/>
      <c r="Y24" s="78"/>
      <c r="Z24" s="403"/>
      <c r="AA24" s="281"/>
      <c r="AB24" s="79"/>
      <c r="AC24" s="85"/>
      <c r="AD24" s="55" t="str">
        <f>IF(B24="","",(((C24+F24+H24+K24+Q24+N24+O24)*50))+((E24*10))+(((I24+J24+D24+G24+L24+M24+U24)*25)+(X24*25)+(Y24*25)+(Z24*25)+(AA24*25)+(AB24*40)+(AC24*50)+(R24*1)+(S24*1)+(T24*1)))</f>
        <v/>
      </c>
      <c r="AE24" s="55" t="str">
        <f>IF(B24="","",C24+F24+H24+K24+Q24+N24+O24+((I24+J24+D24+G24+U24)/2)+(R24/50)+(S24/50)+(T24/50)+(E24/5))</f>
        <v/>
      </c>
      <c r="AF24" s="56" t="str">
        <f>IF(B24="","",((AE24*50)/AD24))</f>
        <v/>
      </c>
      <c r="AG24" s="57" t="str">
        <f>IF(C24="","",((Z24)*25)/AD24)</f>
        <v/>
      </c>
      <c r="AH24" s="57" t="str">
        <f>IF(B24="","",(X24*25)/AD24)</f>
        <v/>
      </c>
      <c r="AI24" s="57" t="str">
        <f>IF(B24="","",(Y24*25)/AD24)</f>
        <v/>
      </c>
      <c r="AJ24" s="57" t="str">
        <f>IF(B24="","",(AA24*25)/AD24)</f>
        <v/>
      </c>
      <c r="AK24" s="58" t="str">
        <f>IF(B24="","",(AB24*40)/AD24)</f>
        <v/>
      </c>
      <c r="AL24" s="58" t="str">
        <f>IF(B24="","",(AC24*50)/AD24)</f>
        <v/>
      </c>
      <c r="AM24" s="59" t="str">
        <f>IF(B24="","",B24)</f>
        <v/>
      </c>
      <c r="AN24" s="233"/>
      <c r="AO24" s="82"/>
      <c r="AP24" s="234"/>
      <c r="AQ24" s="63" t="str">
        <f>IF(AN24="","",AN24/AO24)</f>
        <v/>
      </c>
      <c r="AR24" s="64" t="str">
        <f>IF(AN24="","",(AD24/AN24)/1000)</f>
        <v/>
      </c>
      <c r="AS24" s="64" t="str">
        <f>IF(AN24="","",AR24*24)</f>
        <v/>
      </c>
      <c r="AT24" s="65" t="str">
        <f>IF(AN24="","",(AD24/1000)*100%/AS24)</f>
        <v/>
      </c>
      <c r="AU24" s="64" t="str">
        <f>IF(AN24="","",(AE24/AN24))</f>
        <v/>
      </c>
      <c r="AV24" s="229" t="str">
        <f>IF(AN24="","",(AD24/AO24)/1000)</f>
        <v/>
      </c>
      <c r="AW24" s="714"/>
      <c r="AX24" s="714"/>
      <c r="AY24" s="714"/>
      <c r="AZ24" s="723"/>
      <c r="BA24" s="714"/>
      <c r="BB24" s="725"/>
      <c r="BC24" s="727"/>
      <c r="BD24" s="727"/>
      <c r="BE24" s="727"/>
      <c r="BF24" s="729"/>
    </row>
    <row r="25" spans="1:58" customHeight="1" ht="13.9">
      <c r="A25" s="485"/>
      <c r="B25" s="68"/>
      <c r="C25" s="415"/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/>
      <c r="S25" s="242"/>
      <c r="T25" s="401"/>
      <c r="U25" s="407"/>
      <c r="V25" s="249"/>
      <c r="W25" s="401"/>
      <c r="X25" s="278"/>
      <c r="Y25" s="78"/>
      <c r="Z25" s="403"/>
      <c r="AA25" s="281"/>
      <c r="AB25" s="79"/>
      <c r="AC25" s="85"/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str">
        <f>IF(C25="","",((Z25)*25)/AD25)</f>
        <v/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492" t="str">
        <f>IF(AN25="","",(AD25/AO25)/1000)</f>
        <v/>
      </c>
      <c r="AW25" s="714"/>
      <c r="AX25" s="714"/>
      <c r="AY25" s="714"/>
      <c r="AZ25" s="723"/>
      <c r="BA25" s="714"/>
      <c r="BB25" s="725"/>
      <c r="BC25" s="727"/>
      <c r="BD25" s="727"/>
      <c r="BE25" s="727"/>
      <c r="BF25" s="729"/>
    </row>
    <row r="26" spans="1:58" customHeight="1" ht="13.9">
      <c r="A26" s="485"/>
      <c r="B26" s="68"/>
      <c r="C26" s="69"/>
      <c r="D26" s="70"/>
      <c r="E26" s="76"/>
      <c r="F26" s="70"/>
      <c r="G26" s="76"/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/>
      <c r="S26" s="242"/>
      <c r="T26" s="401"/>
      <c r="U26" s="407"/>
      <c r="V26" s="249"/>
      <c r="W26" s="401"/>
      <c r="X26" s="278"/>
      <c r="Y26" s="78"/>
      <c r="Z26" s="403"/>
      <c r="AA26" s="281"/>
      <c r="AB26" s="79"/>
      <c r="AC26" s="85"/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str">
        <f>IF(C26="","",((Z26)*25)/AD26)</f>
        <v/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229" t="str">
        <f>IF(AN26="","",(AD26/AO26)/1000)</f>
        <v/>
      </c>
      <c r="AW26" s="714"/>
      <c r="AX26" s="714"/>
      <c r="AY26" s="714"/>
      <c r="AZ26" s="723"/>
      <c r="BA26" s="714"/>
      <c r="BB26" s="725"/>
      <c r="BC26" s="727"/>
      <c r="BD26" s="727"/>
      <c r="BE26" s="727"/>
      <c r="BF26" s="729"/>
    </row>
    <row r="27" spans="1:58" customHeight="1" ht="13.9">
      <c r="A27" s="485"/>
      <c r="B27" s="68"/>
      <c r="C27" s="69"/>
      <c r="D27" s="70"/>
      <c r="E27" s="76"/>
      <c r="F27" s="70"/>
      <c r="G27" s="76"/>
      <c r="H27" s="70"/>
      <c r="I27" s="76"/>
      <c r="J27" s="76"/>
      <c r="K27" s="70"/>
      <c r="L27" s="494"/>
      <c r="M27" s="494"/>
      <c r="N27" s="76"/>
      <c r="O27" s="76"/>
      <c r="P27" s="467"/>
      <c r="Q27" s="412"/>
      <c r="R27" s="410"/>
      <c r="S27" s="242"/>
      <c r="T27" s="401"/>
      <c r="U27" s="407"/>
      <c r="V27" s="249"/>
      <c r="W27" s="401"/>
      <c r="X27" s="278"/>
      <c r="Y27" s="78"/>
      <c r="Z27" s="403"/>
      <c r="AA27" s="281"/>
      <c r="AB27" s="79"/>
      <c r="AC27" s="85"/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str">
        <f>IF(C27="","",((Z27)*25)/AD27)</f>
        <v/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23"/>
      <c r="BA27" s="714"/>
      <c r="BB27" s="725"/>
      <c r="BC27" s="727"/>
      <c r="BD27" s="727"/>
      <c r="BE27" s="727"/>
      <c r="BF27" s="729"/>
    </row>
    <row r="28" spans="1:58">
      <c r="A28" s="41"/>
      <c r="B28" s="68"/>
      <c r="C28" s="69"/>
      <c r="D28" s="70"/>
      <c r="E28" s="76"/>
      <c r="F28" s="70"/>
      <c r="G28" s="76"/>
      <c r="H28" s="70"/>
      <c r="I28" s="75"/>
      <c r="J28" s="75"/>
      <c r="K28" s="70"/>
      <c r="L28" s="494"/>
      <c r="M28" s="494"/>
      <c r="N28" s="76"/>
      <c r="O28" s="76"/>
      <c r="P28" s="467"/>
      <c r="Q28" s="412"/>
      <c r="R28" s="410"/>
      <c r="S28" s="242"/>
      <c r="T28" s="401"/>
      <c r="U28" s="407"/>
      <c r="V28" s="249"/>
      <c r="W28" s="401"/>
      <c r="X28" s="278"/>
      <c r="Y28" s="78"/>
      <c r="Z28" s="403"/>
      <c r="AA28" s="281"/>
      <c r="AB28" s="79"/>
      <c r="AC28" s="85"/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str">
        <f>IF(C28="","",((Z28)*25)/AD28)</f>
        <v/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23"/>
      <c r="BA28" s="714"/>
      <c r="BB28" s="725"/>
      <c r="BC28" s="727"/>
      <c r="BD28" s="727"/>
      <c r="BE28" s="727"/>
      <c r="BF28" s="729"/>
    </row>
    <row r="29" spans="1:58">
      <c r="A29" s="41"/>
      <c r="B29" s="68"/>
      <c r="C29" s="69"/>
      <c r="D29" s="70"/>
      <c r="E29" s="76"/>
      <c r="F29" s="70"/>
      <c r="G29" s="430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/>
      <c r="S29" s="242"/>
      <c r="T29" s="401"/>
      <c r="U29" s="407"/>
      <c r="V29" s="249"/>
      <c r="W29" s="401"/>
      <c r="X29" s="278"/>
      <c r="Y29" s="78"/>
      <c r="Z29" s="403"/>
      <c r="AA29" s="281"/>
      <c r="AB29" s="79"/>
      <c r="AC29" s="85"/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str">
        <f>IF(C29="","",((Z29)*25)/AD29)</f>
        <v/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23"/>
      <c r="BA29" s="714"/>
      <c r="BB29" s="725"/>
      <c r="BC29" s="727"/>
      <c r="BD29" s="727"/>
      <c r="BE29" s="727"/>
      <c r="BF29" s="729"/>
    </row>
    <row r="30" spans="1:58">
      <c r="A30" s="41" t="str">
        <f>IF(B30="","",1+A29)</f>
        <v/>
      </c>
      <c r="B30" s="425"/>
      <c r="C30" s="426"/>
      <c r="D30" s="427"/>
      <c r="E30" s="428"/>
      <c r="F30" s="460"/>
      <c r="G30" s="459"/>
      <c r="H30" s="427"/>
      <c r="I30" s="429"/>
      <c r="J30" s="429"/>
      <c r="K30" s="427"/>
      <c r="L30" s="495"/>
      <c r="M30" s="495"/>
      <c r="N30" s="430"/>
      <c r="O30" s="430"/>
      <c r="P30" s="468"/>
      <c r="Q30" s="431"/>
      <c r="R30" s="432"/>
      <c r="S30" s="433"/>
      <c r="T30" s="434"/>
      <c r="U30" s="435"/>
      <c r="V30" s="436"/>
      <c r="W30" s="434"/>
      <c r="X30" s="279"/>
      <c r="Y30" s="437"/>
      <c r="Z30" s="438"/>
      <c r="AA30" s="439"/>
      <c r="AB30" s="440"/>
      <c r="AC30" s="441"/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str">
        <f>IF(C30="","",((Z30)*25)/AD30)</f>
        <v/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443"/>
      <c r="AO30" s="444"/>
      <c r="AP30" s="445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23"/>
      <c r="BA30" s="714"/>
      <c r="BB30" s="725"/>
      <c r="BC30" s="727"/>
      <c r="BD30" s="727"/>
      <c r="BE30" s="727"/>
      <c r="BF30" s="729"/>
    </row>
    <row r="31" spans="1:58">
      <c r="A31" s="41" t="str">
        <f>IF(B31="","",1+A30)</f>
        <v/>
      </c>
      <c r="B31" s="425"/>
      <c r="C31" s="426"/>
      <c r="D31" s="427"/>
      <c r="E31" s="428"/>
      <c r="F31" s="460"/>
      <c r="G31" s="428"/>
      <c r="H31" s="427"/>
      <c r="I31" s="429"/>
      <c r="J31" s="429"/>
      <c r="K31" s="427"/>
      <c r="L31" s="495"/>
      <c r="M31" s="495"/>
      <c r="N31" s="430"/>
      <c r="O31" s="430"/>
      <c r="P31" s="468"/>
      <c r="Q31" s="431"/>
      <c r="R31" s="432"/>
      <c r="S31" s="433"/>
      <c r="T31" s="434"/>
      <c r="U31" s="435"/>
      <c r="V31" s="436"/>
      <c r="W31" s="434"/>
      <c r="X31" s="279"/>
      <c r="Y31" s="437"/>
      <c r="Z31" s="438"/>
      <c r="AA31" s="439"/>
      <c r="AB31" s="440"/>
      <c r="AC31" s="441"/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str">
        <f>IF(C31="","",((Z31)*25)/AD31)</f>
        <v/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23"/>
      <c r="BA31" s="714"/>
      <c r="BB31" s="725"/>
      <c r="BC31" s="727"/>
      <c r="BD31" s="727"/>
      <c r="BE31" s="727"/>
      <c r="BF31" s="729"/>
    </row>
    <row r="32" spans="1:58">
      <c r="A32" s="41" t="str">
        <f>IF(B32="","",1+A31)</f>
        <v/>
      </c>
      <c r="B32" s="425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/>
      <c r="S32" s="433"/>
      <c r="T32" s="434"/>
      <c r="U32" s="435"/>
      <c r="V32" s="436"/>
      <c r="W32" s="434"/>
      <c r="X32" s="279"/>
      <c r="Y32" s="437"/>
      <c r="Z32" s="438"/>
      <c r="AA32" s="439"/>
      <c r="AB32" s="440"/>
      <c r="AC32" s="441"/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23"/>
      <c r="BA32" s="714"/>
      <c r="BB32" s="725"/>
      <c r="BC32" s="727"/>
      <c r="BD32" s="727"/>
      <c r="BE32" s="727"/>
      <c r="BF32" s="729"/>
    </row>
    <row r="33" spans="1:58">
      <c r="A33" s="41" t="str">
        <f>IF(B33="","",1+A32)</f>
        <v/>
      </c>
      <c r="B33" s="425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23"/>
      <c r="BA33" s="714"/>
      <c r="BB33" s="725"/>
      <c r="BC33" s="727"/>
      <c r="BD33" s="727"/>
      <c r="BE33" s="727"/>
      <c r="BF33" s="729"/>
    </row>
    <row r="34" spans="1:58">
      <c r="A34" s="41" t="str">
        <f>IF(B34="","",1+A33)</f>
        <v/>
      </c>
      <c r="B34" s="442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452"/>
      <c r="AX34" s="452"/>
      <c r="AY34" s="452"/>
      <c r="AZ34" s="144"/>
      <c r="BA34" s="452"/>
      <c r="BB34" s="455"/>
      <c r="BC34" s="142"/>
      <c r="BD34" s="142"/>
      <c r="BE34" s="142"/>
      <c r="BF34" s="283"/>
    </row>
    <row r="35" spans="1:58">
      <c r="A35" s="41" t="str">
        <f>IF(B35="","",1+A34)</f>
        <v/>
      </c>
      <c r="B35" s="95"/>
      <c r="C35" s="96"/>
      <c r="D35" s="387"/>
      <c r="E35" s="250"/>
      <c r="F35" s="461"/>
      <c r="G35" s="100"/>
      <c r="H35" s="97"/>
      <c r="I35" s="101"/>
      <c r="J35" s="101"/>
      <c r="K35" s="97"/>
      <c r="L35" s="496"/>
      <c r="M35" s="496"/>
      <c r="N35" s="102"/>
      <c r="O35" s="102"/>
      <c r="P35" s="469"/>
      <c r="Q35" s="413"/>
      <c r="R35" s="411"/>
      <c r="S35" s="243"/>
      <c r="T35" s="402"/>
      <c r="U35" s="408"/>
      <c r="V35" s="250"/>
      <c r="W35" s="402"/>
      <c r="X35" s="400"/>
      <c r="Y35" s="104"/>
      <c r="Z35" s="404"/>
      <c r="AA35" s="282"/>
      <c r="AB35" s="105"/>
      <c r="AC35" s="106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6"/>
      <c r="AO35" s="447"/>
      <c r="AP35" s="383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3"/>
      <c r="AX35" s="453"/>
      <c r="AY35" s="453"/>
      <c r="AZ35" s="454"/>
      <c r="BA35" s="453"/>
      <c r="BB35" s="456"/>
      <c r="BC35" s="457"/>
      <c r="BD35" s="457"/>
      <c r="BE35" s="457"/>
      <c r="BF35" s="458"/>
    </row>
    <row r="36" spans="1:58">
      <c r="A36" s="114"/>
      <c r="B36" s="115" t="s">
        <v>67</v>
      </c>
      <c r="C36" s="536">
        <f>SUM(C4:C35)</f>
        <v>0</v>
      </c>
      <c r="D36" s="536">
        <f>SUM(D4:D35)</f>
        <v>0</v>
      </c>
      <c r="E36" s="536">
        <f>SUM(E4:E35)</f>
        <v>0</v>
      </c>
      <c r="F36" s="536">
        <f>SUM(F4:F35)</f>
        <v>0</v>
      </c>
      <c r="G36" s="536">
        <f>SUM(G4:G35)</f>
        <v>0</v>
      </c>
      <c r="H36" s="536">
        <f>SUM(H4:H35)</f>
        <v>0</v>
      </c>
      <c r="I36" s="536">
        <f>SUM(I4:I35)</f>
        <v>0</v>
      </c>
      <c r="J36" s="536">
        <f>SUM(J4:J35)</f>
        <v>0</v>
      </c>
      <c r="K36" s="536">
        <f>SUM(K4:K35)</f>
        <v>0</v>
      </c>
      <c r="L36" s="535">
        <f>SUM(L4:L35)</f>
        <v>0</v>
      </c>
      <c r="M36" s="535">
        <f>SUM(M4:M35)</f>
        <v>0</v>
      </c>
      <c r="N36" s="535">
        <f>SUM(N4:N35)</f>
        <v>0</v>
      </c>
      <c r="O36" s="535">
        <f>SUM(O4:O35)</f>
        <v>0</v>
      </c>
      <c r="P36" s="535">
        <f>SUM(P4:P35)</f>
        <v>0</v>
      </c>
      <c r="Q36" s="536">
        <f>SUM(Q4:Q35)</f>
        <v>0</v>
      </c>
      <c r="R36" s="536">
        <f>SUM(R4:R35)</f>
        <v>0</v>
      </c>
      <c r="S36" s="536">
        <f>SUM(S4:S35)</f>
        <v>0</v>
      </c>
      <c r="T36" s="536">
        <f>SUM(T4:T35)</f>
        <v>0</v>
      </c>
      <c r="U36" s="535">
        <f>SUM(U4:U35)</f>
        <v>0</v>
      </c>
      <c r="V36" s="535">
        <f>SUM(V4:V35)</f>
        <v>0</v>
      </c>
      <c r="W36" s="535">
        <f>SUM(W4:W35)</f>
        <v>0</v>
      </c>
      <c r="X36" s="535">
        <f>SUM(X4:X35)</f>
        <v>0</v>
      </c>
      <c r="Y36" s="535">
        <f>SUM(Y4:Y35)</f>
        <v>0</v>
      </c>
      <c r="Z36" s="535">
        <f>SUM(Z4:Z35)</f>
        <v>0</v>
      </c>
      <c r="AA36" s="536">
        <f>SUM(AA4:AA35)</f>
        <v>0</v>
      </c>
      <c r="AB36" s="536">
        <f>SUM(AB4:AB35)</f>
        <v>0</v>
      </c>
      <c r="AC36" s="536">
        <f>SUM(AC4:AC35)</f>
        <v>0</v>
      </c>
      <c r="AD36" s="117">
        <f>SUM(AD4:AD35)</f>
        <v>0</v>
      </c>
      <c r="AE36" s="118">
        <f>SUM(AE4:AE35)</f>
        <v>0</v>
      </c>
      <c r="AF36" s="119" t="str">
        <f>IF(AD40=0,"",(AE36*50)/AD36)</f>
        <v/>
      </c>
      <c r="AG36" s="120" t="str">
        <f>IF(AD40=0,"",(Z36*50)/AD36)</f>
        <v/>
      </c>
      <c r="AH36" s="6" t="str">
        <f>IF(AD40=0,"",(X36*25)/AD36)</f>
        <v/>
      </c>
      <c r="AI36" s="119" t="str">
        <f>IF(AD40=0,"",(Y36*25)/AD36)</f>
        <v/>
      </c>
      <c r="AJ36" s="119" t="str">
        <f>IF(AD40=0,"",(AA36*25)/AD36)</f>
        <v/>
      </c>
      <c r="AK36" s="119" t="str">
        <f>IF(AD40=0,"",(AB36*40)/AD36)</f>
        <v/>
      </c>
      <c r="AL36" s="119" t="str">
        <f>IF(AD40=0,"",(AC36*50)/AD36)</f>
        <v/>
      </c>
      <c r="AM36" s="115" t="s">
        <v>67</v>
      </c>
      <c r="AN36" s="121">
        <f>SUM(AN4:AN35)</f>
        <v>0</v>
      </c>
      <c r="AO36" s="121">
        <f>SUM(AO4:AO35)</f>
        <v>0</v>
      </c>
      <c r="AP36" s="121">
        <f>SUM(AP4:AP35)</f>
        <v>0</v>
      </c>
      <c r="AQ36" s="122" t="str">
        <f>IF(AN36=0,"",AN36/AO36)</f>
        <v/>
      </c>
      <c r="AR36" s="122" t="str">
        <f>IF(AN36=0,"",(AD36/AN36)/1000)</f>
        <v/>
      </c>
      <c r="AS36" s="121" t="str">
        <f>IF(AN36=0,"",AR36*24)</f>
        <v/>
      </c>
      <c r="AT36" s="123" t="str">
        <f>IF(AN36=0,"",AD40/(AS36*26))</f>
        <v/>
      </c>
      <c r="AU36" s="121" t="str">
        <f>IF(AN36=0,"",(AE36/AN36))</f>
        <v/>
      </c>
      <c r="AV36" s="122" t="str">
        <f>IF(AO36=0,"",(AD36/AO36)/1000)</f>
        <v/>
      </c>
      <c r="AW36" s="124">
        <f>SUM(AW4:AW35)/1000</f>
        <v>0</v>
      </c>
      <c r="AX36" s="124">
        <f>SUM(AX4:AX35)/1000</f>
        <v>0</v>
      </c>
      <c r="AY36" s="124">
        <f>SUM(AY4:AY35)/1000</f>
        <v>0</v>
      </c>
      <c r="AZ36" s="124">
        <f>SUM(AZ4)</f>
        <v>0</v>
      </c>
      <c r="BA36" s="124">
        <f>SUM(BA4:BA35)</f>
        <v>0</v>
      </c>
      <c r="BB36" s="124">
        <f>SUM(BB4:BB35)</f>
        <v>0</v>
      </c>
      <c r="BC36" s="1">
        <f>SUM(BC4:BC35)/1000</f>
        <v>0</v>
      </c>
      <c r="BD36" s="1">
        <f>SUM(BD4:BD35)/1000</f>
        <v>0</v>
      </c>
      <c r="BE36" s="1">
        <f>SUM(BE4:BE35)/1000</f>
        <v>0</v>
      </c>
      <c r="BF36" s="1">
        <f>SUM(BF4:BF35)/1000</f>
        <v>0</v>
      </c>
    </row>
    <row r="37" spans="1:58">
      <c r="B37" s="115" t="s">
        <v>68</v>
      </c>
      <c r="C37" s="116" t="str">
        <f>IF(C36=0,"",AVERAGE(C4:C35))</f>
        <v/>
      </c>
      <c r="D37" s="116" t="str">
        <f>IF(D36=0,"",AVERAGE(D4:D35))</f>
        <v/>
      </c>
      <c r="E37" s="116" t="str">
        <f>IF(E36=0,"",AVERAGE(E4:E35))</f>
        <v/>
      </c>
      <c r="F37" s="116" t="str">
        <f>IF(F36=0,"",AVERAGE(F4:F35))</f>
        <v/>
      </c>
      <c r="G37" s="116" t="str">
        <f>IF(G36=0,"",AVERAGE(G4:G35))</f>
        <v/>
      </c>
      <c r="H37" s="116" t="str">
        <f>IF(H36=0,"",AVERAGE(H4:H35))</f>
        <v/>
      </c>
      <c r="I37" s="116" t="str">
        <f>IF(I36=0,"",AVERAGE(I4:I35))</f>
        <v/>
      </c>
      <c r="J37" s="116" t="str">
        <f>IF(J36=0,"",AVERAGE(J4:J35))</f>
        <v/>
      </c>
      <c r="K37" s="116" t="str">
        <f>IF(K36=0,"",AVERAGE(K4:K35))</f>
        <v/>
      </c>
      <c r="L37" s="116"/>
      <c r="M37" s="116"/>
      <c r="N37" s="116" t="str">
        <f>IF(N36=0,"",AVERAGE(N4:N35))</f>
        <v/>
      </c>
      <c r="O37" s="116" t="str">
        <f>IF(O36=0,"",AVERAGE(O4:O35))</f>
        <v/>
      </c>
      <c r="P37" s="116" t="str">
        <f>IF(P36=0,"",AVERAGE(P4:P35))</f>
        <v/>
      </c>
      <c r="Q37" s="116" t="str">
        <f>IF(Q36=0,"",AVERAGE(Q4:Q35))</f>
        <v/>
      </c>
      <c r="R37" s="116" t="str">
        <f>IF(R36=0,"",AVERAGE(R4:R35))</f>
        <v/>
      </c>
      <c r="S37" s="116" t="str">
        <f>IF(S36=0,"",AVERAGE(S4:S35))</f>
        <v/>
      </c>
      <c r="T37" s="116" t="str">
        <f>IF(T36=0,"",AVERAGE(T4:T35))</f>
        <v/>
      </c>
      <c r="U37" s="116" t="str">
        <f>IF(U36=0,"",AVERAGE(U4:U35))</f>
        <v/>
      </c>
      <c r="V37" s="116" t="str">
        <f>IF(V36=0,"",AVERAGE(V4:V35))</f>
        <v/>
      </c>
      <c r="W37" s="116" t="str">
        <f>IF(W36=0,"",AVERAGE(W4:W35))</f>
        <v/>
      </c>
      <c r="X37" s="116" t="str">
        <f>IF(X36=0,"",AVERAGE(X4:X35))</f>
        <v/>
      </c>
      <c r="Y37" s="116" t="str">
        <f>IF(Y36=0,"",AVERAGE(Y4:Y35))</f>
        <v/>
      </c>
      <c r="Z37" s="116" t="str">
        <f>IF(Z36=0,"",AVERAGE(Z4:Z35))</f>
        <v/>
      </c>
      <c r="AA37" s="116" t="str">
        <f>IF(AA36=0,"",AVERAGE(AA4:AA35))</f>
        <v/>
      </c>
      <c r="AB37" s="116" t="str">
        <f>IF(AB36=0,"",AVERAGE(AB4:AB35))</f>
        <v/>
      </c>
      <c r="AC37" s="116" t="str">
        <f>IF(AC36=0,"",AVERAGE(AC4:AC35))</f>
        <v/>
      </c>
      <c r="AE37" s="7"/>
      <c r="AG37" s="119"/>
      <c r="AJ37" s="6"/>
      <c r="AK37" s="6"/>
      <c r="AL37" s="6"/>
      <c r="AM37" s="115" t="s">
        <v>68</v>
      </c>
      <c r="AN37" s="121" t="str">
        <f>IF(AN36=0,"",AVERAGE(AN4:AN35))</f>
        <v/>
      </c>
      <c r="AO37" s="121" t="str">
        <f>IF(AO36=0,"",AVERAGE(AO4:AO35))</f>
        <v/>
      </c>
      <c r="AP37" s="121" t="str">
        <f>IF(AP36=0,"",AVERAGE(AP4:AP35))</f>
        <v/>
      </c>
      <c r="AQ37" s="122" t="str">
        <f>IF(AQ36="","",AVERAGE(AQ4:AQ35))</f>
        <v/>
      </c>
      <c r="AR37" s="122" t="str">
        <f>IF(AR36="","",AVERAGE(AR4:AR35))</f>
        <v/>
      </c>
      <c r="AS37" s="121" t="str">
        <f>IF(AS36="","",AVERAGE(AS4:AS35))</f>
        <v/>
      </c>
      <c r="AT37" s="123" t="str">
        <f>IF(AT36="","",AVERAGE(AT4:AT35))</f>
        <v/>
      </c>
      <c r="AU37" s="121" t="str">
        <f>IF(AU36="","",AVERAGE(AU4:AU35))</f>
        <v/>
      </c>
      <c r="AV37" s="122" t="str">
        <f>IF(AV36="","",AVERAGE(AV4:AV35))</f>
        <v/>
      </c>
      <c r="AW37" s="122"/>
      <c r="AX37" s="122"/>
      <c r="AY37" s="122"/>
      <c r="AZ37" s="122"/>
      <c r="BA37" s="122"/>
    </row>
    <row r="38" spans="1:58" customHeight="1" ht="23.85">
      <c r="B38" s="115" t="s">
        <v>69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C38" s="125"/>
      <c r="AD38" s="697" t="s">
        <v>70</v>
      </c>
      <c r="AE38" s="697"/>
      <c r="AF38" s="6"/>
      <c r="AG38" s="119"/>
      <c r="AH38" s="6"/>
      <c r="AI38" s="6"/>
      <c r="AJ38" s="6"/>
      <c r="AK38" s="6"/>
      <c r="AL38" s="6"/>
      <c r="AM38" s="6"/>
      <c r="AN38" s="121"/>
      <c r="AO38" s="121"/>
      <c r="AP38" s="121"/>
      <c r="AQ38" s="121"/>
      <c r="AR38" s="116"/>
      <c r="AS38" s="123"/>
      <c r="AT38" s="123"/>
      <c r="AU38" s="121"/>
    </row>
    <row r="39" spans="1:58">
      <c r="B39" s="115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25"/>
      <c r="AE39" s="697" t="s">
        <v>71</v>
      </c>
      <c r="AF39" s="697"/>
      <c r="AG39" s="119"/>
      <c r="AH39" s="127"/>
      <c r="AI39" s="127"/>
      <c r="AJ39" s="6"/>
      <c r="AK39" s="6"/>
      <c r="AL39" s="6"/>
      <c r="AM39" s="6"/>
      <c r="AN39" s="121"/>
      <c r="AO39" s="121"/>
      <c r="AP39" s="121"/>
      <c r="AQ39" s="121"/>
      <c r="AR39" s="121"/>
      <c r="AS39" s="116"/>
      <c r="AT39" s="123"/>
      <c r="AU39" s="116"/>
      <c r="AV39" s="121"/>
    </row>
    <row r="40" spans="1:58">
      <c r="A40" s="137"/>
      <c r="B40" s="499" t="s">
        <v>67</v>
      </c>
      <c r="C40" s="476">
        <f>SUM(C4:C35)</f>
        <v>0</v>
      </c>
      <c r="D40" s="476">
        <f>SUM(D4:D35)</f>
        <v>0</v>
      </c>
      <c r="E40" s="476">
        <f>SUM(E4:E35)</f>
        <v>0</v>
      </c>
      <c r="F40" s="476">
        <f>SUM(F4:F35)</f>
        <v>0</v>
      </c>
      <c r="G40" s="476">
        <f>SUM(G4:G35)</f>
        <v>0</v>
      </c>
      <c r="H40" s="476">
        <f>SUM(H4:H35)</f>
        <v>0</v>
      </c>
      <c r="I40" s="476">
        <f>SUM(I4:I35)</f>
        <v>0</v>
      </c>
      <c r="J40" s="476">
        <f>SUM(J4:J35)</f>
        <v>0</v>
      </c>
      <c r="K40" s="476">
        <f>SUM(K4:K35)</f>
        <v>0</v>
      </c>
      <c r="L40" s="476">
        <f>SUM(L4:L35)</f>
        <v>0</v>
      </c>
      <c r="M40" s="476">
        <f>SUM(M4:M35)</f>
        <v>0</v>
      </c>
      <c r="N40" s="476">
        <f>SUM(N4:N35)</f>
        <v>0</v>
      </c>
      <c r="O40" s="476">
        <f>SUM(O4:O35)</f>
        <v>0</v>
      </c>
      <c r="P40" s="476">
        <f>SUM(P4:P35)</f>
        <v>0</v>
      </c>
      <c r="Q40" s="476">
        <f>SUM(Q4:Q35)</f>
        <v>0</v>
      </c>
      <c r="R40" s="476">
        <f>SUM(R4:R35)</f>
        <v>0</v>
      </c>
      <c r="S40" s="476">
        <f>SUM(S4:S35)</f>
        <v>0</v>
      </c>
      <c r="T40" s="476">
        <f>SUM(T4:T35)</f>
        <v>0</v>
      </c>
      <c r="U40" s="476">
        <f>SUM(U4:U35)</f>
        <v>0</v>
      </c>
      <c r="V40" s="476">
        <f>SUM(V4:V35)</f>
        <v>0</v>
      </c>
      <c r="W40" s="476">
        <f>SUM(W4:W35)</f>
        <v>0</v>
      </c>
      <c r="X40" s="476">
        <f>SUM(X4:X35)</f>
        <v>0</v>
      </c>
      <c r="Y40" s="476">
        <f>SUM(Y4:Y35)</f>
        <v>0</v>
      </c>
      <c r="Z40" s="476">
        <f>SUM(Z4:Z35)</f>
        <v>0</v>
      </c>
      <c r="AA40" s="476">
        <f>SUM(AA4:AA35)</f>
        <v>0</v>
      </c>
      <c r="AB40" s="476">
        <f>SUM(AB4:AB35)</f>
        <v>0</v>
      </c>
      <c r="AC40" s="476">
        <f>SUM(AC4:AC35)</f>
        <v>0</v>
      </c>
      <c r="AD40" s="534">
        <f>AD36/1000</f>
        <v>0</v>
      </c>
      <c r="AE40" s="6"/>
      <c r="AF40" s="6"/>
      <c r="AG40" s="119"/>
      <c r="AH40" s="6"/>
      <c r="AI40" s="6"/>
      <c r="AJ40" s="6"/>
      <c r="AK40" s="6"/>
      <c r="AL40" s="115"/>
      <c r="AM40" s="115"/>
      <c r="AN40" s="121"/>
      <c r="AO40" s="121"/>
      <c r="AP40" s="121"/>
      <c r="AQ40" s="116"/>
      <c r="AR40" s="123"/>
      <c r="AS40" s="116"/>
      <c r="AT40" s="128"/>
    </row>
    <row r="41" spans="1:58"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4"/>
      <c r="AB41" s="7"/>
      <c r="AC41" s="6"/>
      <c r="AD41" s="6"/>
      <c r="AE41" s="115"/>
      <c r="AF41" s="121"/>
      <c r="AG41" s="129"/>
      <c r="AH41" s="121"/>
      <c r="AI41" s="121"/>
      <c r="AJ41" s="121"/>
      <c r="AK41" s="121"/>
      <c r="AL41" s="121"/>
      <c r="AM41" s="121"/>
      <c r="AN41" s="116"/>
      <c r="AO41" s="121"/>
    </row>
    <row r="42" spans="1:58">
      <c r="A42" s="130" t="s">
        <v>72</v>
      </c>
      <c r="B42" s="226"/>
      <c r="C42" s="131"/>
      <c r="D42" s="75"/>
      <c r="E42" s="75"/>
      <c r="F42" s="75"/>
      <c r="G42" s="75"/>
      <c r="H42" s="75"/>
      <c r="I42" s="72"/>
      <c r="J42" s="71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249"/>
      <c r="V42" s="71"/>
      <c r="W42" s="75"/>
      <c r="X42" s="79"/>
      <c r="Y42" s="79"/>
      <c r="Z42" s="79"/>
      <c r="AA42" s="79"/>
      <c r="AB42" s="79"/>
      <c r="AC42" s="85"/>
      <c r="AD42" s="55">
        <f>(Z42+AA42)*25.8</f>
        <v>0</v>
      </c>
      <c r="AE42" s="55">
        <f>Z42</f>
        <v>0</v>
      </c>
      <c r="AF42" s="56" t="str">
        <f>IF(B42="","",((AE42*25)/AD42))</f>
        <v/>
      </c>
      <c r="AG42" s="57" t="str">
        <f>IF(B42="","",((Z42)*25)/AD42)</f>
        <v/>
      </c>
      <c r="AH42" s="57" t="str">
        <f>IF(B42="","",(X42*25)/AD42)</f>
        <v/>
      </c>
      <c r="AI42" s="57" t="str">
        <f>IF(B42="","",(Y42*25)/AD42)</f>
        <v/>
      </c>
      <c r="AJ42" s="57" t="str">
        <f>IF(B42="","",(AA42*25)/AD42)</f>
        <v/>
      </c>
      <c r="AK42" s="58" t="str">
        <f>IF(B42="","",(AB42*40)/AD42)</f>
        <v/>
      </c>
      <c r="AL42" s="58" t="str">
        <f>IF(B42="","",(AC42*50)/AD42)</f>
        <v/>
      </c>
      <c r="AM42" s="59" t="str">
        <f>IF(B42="","",B42)</f>
        <v/>
      </c>
      <c r="AN42" s="81"/>
      <c r="AO42" s="94"/>
      <c r="AP42" s="83"/>
      <c r="AQ42" s="63" t="str">
        <f>IF(AN42="","",AN42/AO42)</f>
        <v/>
      </c>
      <c r="AR42" s="64" t="str">
        <f>IF(AN42="","",(AD42/AN42)/1000)</f>
        <v/>
      </c>
      <c r="AS42" s="64" t="str">
        <f>IF(AN42="","",AR42*24)</f>
        <v/>
      </c>
      <c r="AT42" s="65" t="str">
        <f>IF(AN42="","",(AD42/1000)*100%/AS42)</f>
        <v/>
      </c>
      <c r="AU42" s="64" t="str">
        <f>IF(AN42="","",(AE42/AN42))</f>
        <v/>
      </c>
      <c r="AV42" s="66" t="str">
        <f>IF(AN42="","",(AD42/AO42)/1000)</f>
        <v/>
      </c>
      <c r="AW42" s="389"/>
      <c r="AX42" s="390"/>
      <c r="AY42" s="390"/>
      <c r="AZ42" s="391"/>
      <c r="BA42" s="391"/>
      <c r="BB42" s="392"/>
      <c r="BC42" s="368"/>
      <c r="BD42" s="368"/>
      <c r="BE42" s="368"/>
      <c r="BF42" s="393"/>
    </row>
    <row r="43" spans="1:58">
      <c r="A43" s="130" t="s">
        <v>73</v>
      </c>
      <c r="B43" s="68"/>
      <c r="C43" s="131"/>
      <c r="D43" s="75"/>
      <c r="E43" s="75"/>
      <c r="F43" s="75"/>
      <c r="G43" s="75"/>
      <c r="H43" s="75"/>
      <c r="I43" s="72"/>
      <c r="J43" s="71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249"/>
      <c r="V43" s="71"/>
      <c r="W43" s="75"/>
      <c r="X43" s="79"/>
      <c r="Y43" s="79"/>
      <c r="Z43" s="79"/>
      <c r="AA43" s="79"/>
      <c r="AB43" s="79"/>
      <c r="AC43" s="85"/>
      <c r="AD43" s="55">
        <f>(Z43*25)+(AA43*25)+(AB43*40)+(AC43*50)</f>
        <v>0</v>
      </c>
      <c r="AE43" s="55" t="str">
        <f>IF(B43="","",C43+E43+G43+K43+N43+O43+Q43+R43+((D43+H43)/4)+((F43+I43+J43+T43+Z43)/2))</f>
        <v/>
      </c>
      <c r="AF43" s="56" t="str">
        <f>IF(B43="","",((AE43*50)/AD43))</f>
        <v/>
      </c>
      <c r="AG43" s="57" t="str">
        <f>IF(B43="","",((Z43)*25)/AD43)</f>
        <v/>
      </c>
      <c r="AH43" s="57" t="str">
        <f>IF(B43="","",(X43*25)/AD43)</f>
        <v/>
      </c>
      <c r="AI43" s="57" t="str">
        <f>IF(B43="","",(Y43*25)/AD43)</f>
        <v/>
      </c>
      <c r="AJ43" s="57" t="str">
        <f>IF(B43="","",(AA43*25)/AD43)</f>
        <v/>
      </c>
      <c r="AK43" s="58" t="str">
        <f>IF(B43="","",(AB43*40)/AD43)</f>
        <v/>
      </c>
      <c r="AL43" s="58" t="str">
        <f>IF(B43="","",(AC43*50)/AD43)</f>
        <v/>
      </c>
      <c r="AM43" s="59" t="str">
        <f>IF(B43="","",B43)</f>
        <v/>
      </c>
      <c r="AN43" s="81"/>
      <c r="AO43" s="94"/>
      <c r="AP43" s="83"/>
      <c r="AQ43" s="63" t="str">
        <f>IF(AN43="","",AN43/AO43)</f>
        <v/>
      </c>
      <c r="AR43" s="64" t="str">
        <f>IF(AN43="","",(AD43/AN43)/1000)</f>
        <v/>
      </c>
      <c r="AS43" s="64" t="str">
        <f>IF(AN43="","",AR43*24)</f>
        <v/>
      </c>
      <c r="AT43" s="65" t="str">
        <f>IF(AN43="","",(AD43/1000)*100%/AS43)</f>
        <v/>
      </c>
      <c r="AU43" s="64" t="str">
        <f>IF(AN43="","",(AE43/AN43))</f>
        <v/>
      </c>
      <c r="AV43" s="66" t="str">
        <f>IF(AN43="","",(AD43/AO43)/1000)</f>
        <v/>
      </c>
      <c r="AW43" s="394"/>
      <c r="AX43" s="92"/>
      <c r="AY43" s="92"/>
      <c r="AZ43" s="93"/>
      <c r="BA43" s="93"/>
      <c r="BB43" s="350"/>
      <c r="BC43" s="351"/>
      <c r="BD43" s="351"/>
      <c r="BE43" s="351"/>
      <c r="BF43" s="395"/>
    </row>
    <row r="44" spans="1:58">
      <c r="A44" s="130" t="s">
        <v>74</v>
      </c>
      <c r="B44" s="68"/>
      <c r="C44" s="131"/>
      <c r="D44" s="75"/>
      <c r="E44" s="75"/>
      <c r="F44" s="75"/>
      <c r="G44" s="75"/>
      <c r="H44" s="75"/>
      <c r="I44" s="72"/>
      <c r="J44" s="71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249"/>
      <c r="V44" s="71"/>
      <c r="W44" s="75"/>
      <c r="X44" s="79"/>
      <c r="Y44" s="79"/>
      <c r="Z44" s="79"/>
      <c r="AA44" s="79"/>
      <c r="AB44" s="79"/>
      <c r="AC44" s="85"/>
      <c r="AD44" s="55">
        <f>Z44*25</f>
        <v>0</v>
      </c>
      <c r="AE44" s="55" t="str">
        <f>IF(B44="","",C44+E44+G44+K44+N44+O44+Q44+R44+((D44+H44)/4)+((F44+I44+J44+T44)/2))</f>
        <v/>
      </c>
      <c r="AF44" s="56" t="str">
        <f>IF(B44="","",((AE44*50)/AD44))</f>
        <v/>
      </c>
      <c r="AG44" s="57" t="str">
        <f>IF(B44="","",((Z44)*25)/AD44)</f>
        <v/>
      </c>
      <c r="AH44" s="57" t="str">
        <f>IF(B44="","",(X44*25)/AD44)</f>
        <v/>
      </c>
      <c r="AI44" s="57" t="str">
        <f>IF(B44="","",(Y44*25)/AD44)</f>
        <v/>
      </c>
      <c r="AJ44" s="57" t="str">
        <f>IF(B44="","",(AA44*25)/AD44)</f>
        <v/>
      </c>
      <c r="AK44" s="58" t="str">
        <f>IF(B44="","",(AB44*40)/AD44)</f>
        <v/>
      </c>
      <c r="AL44" s="58" t="str">
        <f>IF(B44="","",(AC44*50)/AD44)</f>
        <v/>
      </c>
      <c r="AM44" s="59" t="str">
        <f>IF(B44="","",B44)</f>
        <v/>
      </c>
      <c r="AN44" s="81"/>
      <c r="AO44" s="94"/>
      <c r="AP44" s="83"/>
      <c r="AQ44" s="63" t="str">
        <f>IF(AN44="","",AN44/AO44)</f>
        <v/>
      </c>
      <c r="AR44" s="64" t="str">
        <f>IF(AN44="","",(AD44/AN44)/1000)</f>
        <v/>
      </c>
      <c r="AS44" s="64" t="str">
        <f>IF(AN44="","",AR44*24)</f>
        <v/>
      </c>
      <c r="AT44" s="65" t="str">
        <f>IF(AN44="","",(AD44/1000)*100%/AS44)</f>
        <v/>
      </c>
      <c r="AU44" s="64" t="str">
        <f>IF(AN44="","",(AE44/AN44))</f>
        <v/>
      </c>
      <c r="AV44" s="66" t="str">
        <f>IF(AN44="","",(AD44/AO44)/1000)</f>
        <v/>
      </c>
      <c r="AW44" s="394"/>
      <c r="AX44" s="92"/>
      <c r="AY44" s="92"/>
      <c r="AZ44" s="93"/>
      <c r="BA44" s="93"/>
      <c r="BB44" s="350"/>
      <c r="BC44" s="351"/>
      <c r="BD44" s="351"/>
      <c r="BE44" s="351"/>
      <c r="BF44" s="395"/>
    </row>
    <row r="45" spans="1:58">
      <c r="A45" s="130" t="s">
        <v>75</v>
      </c>
      <c r="B45" s="68"/>
      <c r="C45" s="131"/>
      <c r="D45" s="75"/>
      <c r="E45" s="75"/>
      <c r="F45" s="75"/>
      <c r="G45" s="75"/>
      <c r="H45" s="75"/>
      <c r="I45" s="72"/>
      <c r="J45" s="71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249"/>
      <c r="V45" s="71"/>
      <c r="W45" s="75"/>
      <c r="X45" s="79"/>
      <c r="Y45" s="79"/>
      <c r="Z45" s="79"/>
      <c r="AA45" s="79"/>
      <c r="AB45" s="79"/>
      <c r="AC45" s="85"/>
      <c r="AD45" s="55">
        <f>(Z45+AA45)*25.275</f>
        <v>0</v>
      </c>
      <c r="AE45" s="55" t="str">
        <f>IF(B45="","",C45+E45+G45+K45+N45+O45+Q45+R45+((D45+H45)/4)+((F45+I45+J45+T45)/2))</f>
        <v/>
      </c>
      <c r="AF45" s="56" t="str">
        <f>IF(B45="","",((AE45*50)/AD45))</f>
        <v/>
      </c>
      <c r="AG45" s="57" t="str">
        <f>IF(B45="","",((Z45)*25)/AD45)</f>
        <v/>
      </c>
      <c r="AH45" s="57" t="str">
        <f>IF(B45="","",(X45*25)/AD45)</f>
        <v/>
      </c>
      <c r="AI45" s="57" t="str">
        <f>IF(B45="","",(Y45*25)/AD45)</f>
        <v/>
      </c>
      <c r="AJ45" s="57" t="str">
        <f>IF(B45="","",(AA45*25)/AD45)</f>
        <v/>
      </c>
      <c r="AK45" s="58" t="str">
        <f>IF(B45="","",(AB45*40)/AD45)</f>
        <v/>
      </c>
      <c r="AL45" s="58" t="str">
        <f>IF(B45="","",(AC45*50)/AD45)</f>
        <v/>
      </c>
      <c r="AM45" s="59" t="str">
        <f>IF(B45="","",B45)</f>
        <v/>
      </c>
      <c r="AN45" s="81"/>
      <c r="AO45" s="94"/>
      <c r="AP45" s="83"/>
      <c r="AQ45" s="63" t="str">
        <f>IF(AN45="","",AN45/AO45)</f>
        <v/>
      </c>
      <c r="AR45" s="64" t="str">
        <f>IF(AN45="","",(AD45/AN45)/1000)</f>
        <v/>
      </c>
      <c r="AS45" s="64" t="str">
        <f>IF(AN45="","",AR45*24)</f>
        <v/>
      </c>
      <c r="AT45" s="65" t="str">
        <f>IF(AN45="","",(AD45/1000)*100%/AS45)</f>
        <v/>
      </c>
      <c r="AU45" s="64" t="str">
        <f>IF(AN45="","",(AE45/AN45))</f>
        <v/>
      </c>
      <c r="AV45" s="66" t="str">
        <f>IF(AN45="","",(AD45/AO45)/1000)</f>
        <v/>
      </c>
      <c r="AW45" s="396"/>
      <c r="AX45" s="231"/>
      <c r="AY45" s="231"/>
      <c r="AZ45" s="232"/>
      <c r="BA45" s="232"/>
      <c r="BB45" s="397"/>
      <c r="BC45" s="398"/>
      <c r="BD45" s="398"/>
      <c r="BE45" s="398"/>
      <c r="BF45" s="399"/>
    </row>
    <row r="46" spans="1:58">
      <c r="B46" s="115"/>
      <c r="C46" s="116"/>
      <c r="D46" s="116"/>
      <c r="E46" s="116"/>
      <c r="F46" s="116"/>
      <c r="G46" s="116"/>
      <c r="H46" s="116"/>
      <c r="O46" s="116"/>
      <c r="P46" s="116"/>
      <c r="Q46" s="116"/>
      <c r="R46" s="116"/>
      <c r="S46" s="116"/>
      <c r="T46" s="116"/>
      <c r="U46" s="116"/>
      <c r="V46" s="116"/>
      <c r="W46" s="7"/>
      <c r="X46" s="7"/>
      <c r="AB46" s="6"/>
      <c r="AC46" s="6"/>
      <c r="AD46" s="55">
        <f>SUM(AD42:AD45)</f>
        <v>0</v>
      </c>
      <c r="AE46" s="121"/>
      <c r="AF46" s="121"/>
      <c r="AG46" s="121"/>
      <c r="AH46" s="116"/>
      <c r="AI46" s="123"/>
      <c r="AJ46" s="123"/>
      <c r="AK46" s="116"/>
      <c r="AL46" s="121"/>
      <c r="AX46" s="1">
        <f>AX42/1000</f>
        <v>0</v>
      </c>
    </row>
    <row r="47" spans="1:58">
      <c r="B47" s="115"/>
      <c r="C47" s="116"/>
      <c r="D47" s="116"/>
      <c r="E47" s="116"/>
      <c r="F47" s="116"/>
      <c r="G47" s="116"/>
      <c r="H47" s="116"/>
      <c r="I47" s="116"/>
      <c r="Q47" s="116"/>
      <c r="R47" s="116"/>
      <c r="S47" s="116"/>
      <c r="T47" s="116"/>
      <c r="U47" s="116"/>
      <c r="V47" s="116"/>
      <c r="W47" s="116"/>
      <c r="X47" s="7"/>
      <c r="Y47" s="7"/>
      <c r="AC47" s="6"/>
      <c r="AD47" s="697" t="s">
        <v>70</v>
      </c>
      <c r="AE47" s="697"/>
      <c r="AF47" s="121"/>
      <c r="AG47" s="121"/>
      <c r="AH47" s="121"/>
      <c r="AI47" s="116"/>
      <c r="AJ47" s="123"/>
      <c r="AK47" s="123"/>
      <c r="AL47" s="116"/>
      <c r="AM47" s="121"/>
    </row>
    <row r="48" spans="1:58">
      <c r="B48" s="115"/>
      <c r="C48" s="116"/>
      <c r="D48" s="116"/>
      <c r="E48" s="116"/>
      <c r="F48" s="116"/>
      <c r="G48" s="116"/>
      <c r="H48" s="116"/>
      <c r="I48" s="117">
        <v>3.6</v>
      </c>
      <c r="J48" s="116"/>
      <c r="K48" s="516"/>
      <c r="L48" s="516"/>
      <c r="M48" s="516"/>
      <c r="N48" s="5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7"/>
      <c r="Z48" s="7"/>
      <c r="AD48" s="126">
        <f>AD46/1000</f>
        <v>0</v>
      </c>
      <c r="AE48" s="697" t="s">
        <v>71</v>
      </c>
      <c r="AF48" s="697"/>
      <c r="AG48" s="121"/>
      <c r="AH48" s="121"/>
      <c r="AI48" s="121"/>
      <c r="AJ48" s="116"/>
      <c r="AK48" s="123"/>
      <c r="AL48" s="123"/>
      <c r="AM48" s="116"/>
      <c r="AN48" s="121"/>
    </row>
    <row r="49" spans="1:58" customHeight="1" ht="13.9">
      <c r="A49" s="676" t="s">
        <v>76</v>
      </c>
      <c r="B49" s="677"/>
      <c r="C49" s="678" t="s">
        <v>77</v>
      </c>
      <c r="D49" s="133"/>
      <c r="F49" s="655" t="s">
        <v>78</v>
      </c>
      <c r="G49" s="656"/>
      <c r="H49" s="657"/>
      <c r="I49" s="355" t="s">
        <v>79</v>
      </c>
      <c r="J49" s="136"/>
      <c r="K49" s="679" t="s">
        <v>80</v>
      </c>
      <c r="L49" s="679"/>
      <c r="M49" s="680"/>
      <c r="N49" s="515" t="s">
        <v>81</v>
      </c>
      <c r="O49" s="688" t="s">
        <v>82</v>
      </c>
      <c r="P49" s="689"/>
      <c r="Q49" s="690"/>
      <c r="R49" s="688" t="s">
        <v>83</v>
      </c>
      <c r="S49" s="689"/>
      <c r="T49" s="689"/>
      <c r="U49" s="690"/>
      <c r="V49" s="500" t="s">
        <v>84</v>
      </c>
      <c r="W49" s="488"/>
      <c r="X49" s="501"/>
      <c r="AB49" s="247"/>
      <c r="AG49" s="6"/>
      <c r="AH49" s="6"/>
      <c r="AI49" s="121"/>
      <c r="AJ49" s="121"/>
      <c r="AK49" s="116"/>
      <c r="AL49" s="123"/>
      <c r="AM49" s="123"/>
      <c r="AN49" s="116"/>
      <c r="AO49" s="121"/>
    </row>
    <row r="50" spans="1:58" customHeight="1" ht="15">
      <c r="A50" s="369" t="s">
        <v>85</v>
      </c>
      <c r="B50" s="482">
        <f>AD40+AD48</f>
        <v>0</v>
      </c>
      <c r="C50" s="678"/>
      <c r="E50" s="137"/>
      <c r="F50" s="662" t="s">
        <v>86</v>
      </c>
      <c r="G50" s="663"/>
      <c r="H50" s="325">
        <f>IF(G53="",0,G56/G53)</f>
        <v>0</v>
      </c>
      <c r="I50" s="138">
        <f>IF(I53="",0,I56/I53)</f>
        <v>0</v>
      </c>
      <c r="J50" s="136"/>
      <c r="K50" s="681"/>
      <c r="L50" s="681"/>
      <c r="M50" s="141" t="e">
        <f>IF($V$50="",0,K50/$V$55)</f>
        <v>#DIV/0!</v>
      </c>
      <c r="N50" s="489"/>
      <c r="O50" s="695"/>
      <c r="P50" s="696"/>
      <c r="Q50" s="141" t="e">
        <f>IF($V$50="",0,O50/$V$55)</f>
        <v>#DIV/0!</v>
      </c>
      <c r="R50" s="140" t="str">
        <f>D80</f>
        <v>CWRS</v>
      </c>
      <c r="S50" s="721">
        <f>(B82*D82)+(B85*D85)+(B86*D86)+(B87*D87)+(B89*D89)+(B92*D92)+(B94*D94)+(B95*D95)+(B98*D98)+(B99*D99)+(B100*D100)+(B102*D102)+(B103*D103)+(B108*D108)+(B111*D111)+(B83*D83)+(B104*D104)+(B84*D84)+(B91*D91)+(B115*D115)+(B106*D106)+(B105*D105)+(B113*D113)+(B110*D110)+(B88*D88)+(B90*D90)+(B96*D96)+(B97*D97)+(B107*D107)</f>
        <v>0</v>
      </c>
      <c r="T50" s="721"/>
      <c r="U50" s="486">
        <f>IF($S$55=0,0,S50/$S$55)</f>
        <v>0</v>
      </c>
      <c r="V50" s="695">
        <f>K50+O50-S50</f>
        <v>0</v>
      </c>
      <c r="W50" s="696"/>
      <c r="X50" s="484" t="e">
        <f>IF($V$50="",0,V50/$V$55)</f>
        <v>#DIV/0!</v>
      </c>
      <c r="AB50" s="157"/>
      <c r="AJ50" s="121"/>
      <c r="AK50" s="116"/>
      <c r="AL50" s="123"/>
      <c r="AM50" s="123"/>
      <c r="AN50" s="116"/>
      <c r="AO50" s="121"/>
    </row>
    <row r="51" spans="1:58" customHeight="1" ht="15">
      <c r="A51" s="326" t="s">
        <v>87</v>
      </c>
      <c r="B51" s="318">
        <f>AE36</f>
        <v>0</v>
      </c>
      <c r="C51" s="377">
        <f>B50/(B60*120)</f>
        <v>-0</v>
      </c>
      <c r="E51" s="137"/>
      <c r="F51" s="662" t="s">
        <v>88</v>
      </c>
      <c r="G51" s="663"/>
      <c r="H51" s="318">
        <f>IF(G53="",0,G53/B50)</f>
        <v>0</v>
      </c>
      <c r="I51" s="272"/>
      <c r="J51" s="136"/>
      <c r="K51" s="685"/>
      <c r="L51" s="685"/>
      <c r="M51" s="141" t="e">
        <f>IF($V$51="",0,K51/$V$55)</f>
        <v>#DIV/0!</v>
      </c>
      <c r="N51" s="489"/>
      <c r="O51" s="687"/>
      <c r="P51" s="681"/>
      <c r="Q51" s="141" t="e">
        <f>IF($V$51="",0,O51/$V$55)</f>
        <v>#DIV/0!</v>
      </c>
      <c r="R51" s="140" t="str">
        <f>IF(E80="","",E80)</f>
        <v>CPS</v>
      </c>
      <c r="S51" s="720">
        <f>(B82*E82)+(B85*E85)+(B86*E86)+(B87*E87)+(B89*E89)+(B92*E92)+(B94*E94)+(B95*E95)+(B98*E98)+(B99*E99)+(B100*E100)+(B102*E102)+(B103*E103)+(B108*E108)+(B113*E113)+(B105*E105)+(B111*E111)+(B104*E104)+(B83*E83)+(B84*E84)+(B91*E91)+(B106*E106)+(B115*E115)+(B116*E116)+(B110*E110)+(B101*E101)+(B88*E88)+(B90*E90)+(B97*E97)+(B107*E107+B96*E96)</f>
        <v>0</v>
      </c>
      <c r="T51" s="720"/>
      <c r="U51" s="486">
        <f>IF($S$55=0,0,S51/$S$55)</f>
        <v>0</v>
      </c>
      <c r="V51" s="687">
        <f>K51+O51-S51</f>
        <v>0</v>
      </c>
      <c r="W51" s="681"/>
      <c r="X51" s="141" t="e">
        <f>IF($V$51="",0,V51/$V$55)</f>
        <v>#DIV/0!</v>
      </c>
      <c r="AJ51" s="121"/>
      <c r="AK51" s="116"/>
      <c r="AL51" s="123"/>
      <c r="AM51" s="123"/>
      <c r="AN51" s="116"/>
      <c r="AO51" s="121"/>
    </row>
    <row r="52" spans="1:58" customHeight="1" ht="15">
      <c r="A52" s="326" t="s">
        <v>89</v>
      </c>
      <c r="B52" s="318">
        <f>(B51*50)/1000</f>
        <v>0</v>
      </c>
      <c r="E52" s="120"/>
      <c r="F52" s="662" t="s">
        <v>90</v>
      </c>
      <c r="G52" s="663"/>
      <c r="H52" s="318">
        <f>IF(G53="",0,G53/((B51*50)/1000))</f>
        <v>0</v>
      </c>
      <c r="I52" s="272"/>
      <c r="J52" s="136"/>
      <c r="K52" s="685"/>
      <c r="L52" s="685"/>
      <c r="M52" s="141" t="e">
        <f>IF($V$50="",0,K52/$V$55)</f>
        <v>#DIV/0!</v>
      </c>
      <c r="N52" s="489"/>
      <c r="O52" s="687"/>
      <c r="P52" s="681"/>
      <c r="Q52" s="141" t="e">
        <f>IF($V$50="",0,O52/$V$55)</f>
        <v>#DIV/0!</v>
      </c>
      <c r="R52" s="148" t="s">
        <v>91</v>
      </c>
      <c r="S52" s="720">
        <f>(B82*G82)+(B85*G85)+(B86*G86)+(B87*G87)+(B89*G89)+(B92*G92)+(B94*G94)+(B95*G95)+(B98*G98)+(B99*G99)+(B100*G100)+(B102*G102)+(B103*G103)+(B108*G108)+(B113*G113)+(B109*G109)+(B116*G116)+(B114*G114)+(B115*G115)+(B83*G83)+(B84*G84)+(B104*G104)+(B106*G106)+(B96*G96)+(B97*G97)+(B90*G90)+(B88*G88)+(B105*G105)+(B91*G91)+(B110*G110)</f>
        <v>0</v>
      </c>
      <c r="T52" s="720"/>
      <c r="U52" s="486">
        <f>IF($S$55=0,0,S52/$S$55)</f>
        <v>0</v>
      </c>
      <c r="V52" s="687">
        <f>K52+O52-S52</f>
        <v>0</v>
      </c>
      <c r="W52" s="681"/>
      <c r="X52" s="141" t="e">
        <f>IF($V$50="",0,V52/$V$55)</f>
        <v>#DIV/0!</v>
      </c>
      <c r="AJ52" s="121"/>
      <c r="AK52" s="116"/>
      <c r="AL52" s="123"/>
      <c r="AM52" s="123"/>
      <c r="AN52" s="116"/>
      <c r="AO52" s="121"/>
    </row>
    <row r="53" spans="1:58" customHeight="1" ht="15">
      <c r="A53" s="326" t="s">
        <v>92</v>
      </c>
      <c r="B53" s="580">
        <f>IF(AF36="",0,AF36)</f>
        <v>0</v>
      </c>
      <c r="E53" s="144"/>
      <c r="F53" s="326" t="s">
        <v>93</v>
      </c>
      <c r="G53" s="693"/>
      <c r="H53" s="694"/>
      <c r="I53" s="353"/>
      <c r="J53" s="136"/>
      <c r="K53" s="686">
        <v>0</v>
      </c>
      <c r="L53" s="686"/>
      <c r="M53" s="141" t="e">
        <f>IF($V$50="",0,L53/$V$55)</f>
        <v>#DIV/0!</v>
      </c>
      <c r="N53" s="490"/>
      <c r="O53" s="687"/>
      <c r="P53" s="681"/>
      <c r="Q53" s="141" t="e">
        <f>IF($V$50="",0,O53/$V$55)</f>
        <v>#DIV/0!</v>
      </c>
      <c r="R53" s="140" t="s">
        <v>94</v>
      </c>
      <c r="S53" s="720">
        <f>(B82*F82)+(B85*F85)+(B86*F86)+(B87*F87)+(B89*F89)+(B92*F92)+(B94*F94)+(B95*F95)+(B98*F98)+(B99*F99)+(B100*F100)+(B102*F102)+(B103*F103)+(B108*F108)+(B113*F113)+(B115*F115)+(B111*F111)+(B109*F109)+(B105*F105)+(B116*F116)+(B101*F101)+(B88*F88)+(B90*F90)+(B91*F91)+(B106*F106)+(B107*F107)+(B96*F96)</f>
        <v>0</v>
      </c>
      <c r="T53" s="720"/>
      <c r="U53" s="486">
        <f>IF($S$55=0,0,S53/$S$55)</f>
        <v>0</v>
      </c>
      <c r="V53" s="687">
        <f>L53+O53-S53</f>
        <v>0</v>
      </c>
      <c r="W53" s="681"/>
      <c r="X53" s="141" t="e">
        <f>IF($V$50="",0,V53/$V$55)</f>
        <v>#DIV/0!</v>
      </c>
      <c r="AG53" s="6"/>
      <c r="AH53" s="6"/>
      <c r="AI53" s="121"/>
      <c r="AJ53" s="121"/>
      <c r="AK53" s="116"/>
      <c r="AL53" s="123"/>
      <c r="AM53" s="123"/>
      <c r="AN53" s="116"/>
      <c r="AO53" s="121"/>
    </row>
    <row r="54" spans="1:58" customHeight="1" ht="15">
      <c r="A54" s="326" t="s">
        <v>95</v>
      </c>
      <c r="B54" s="319">
        <f>AN36</f>
        <v>0</v>
      </c>
      <c r="E54" s="146"/>
      <c r="F54" s="326" t="s">
        <v>96</v>
      </c>
      <c r="G54" s="682"/>
      <c r="H54" s="683"/>
      <c r="I54" s="684"/>
      <c r="J54" s="136"/>
      <c r="K54" s="686">
        <v>0</v>
      </c>
      <c r="L54" s="686"/>
      <c r="M54" s="141" t="e">
        <f>IF($V$50="",0,L54/$V$55)</f>
        <v>#DIV/0!</v>
      </c>
      <c r="N54" s="489"/>
      <c r="O54" s="691">
        <v>0</v>
      </c>
      <c r="P54" s="692"/>
      <c r="Q54" s="141" t="e">
        <f>IF($V$50="",0,O54/$V$55)</f>
        <v>#DIV/0!</v>
      </c>
      <c r="R54" s="480" t="s">
        <v>97</v>
      </c>
      <c r="S54" s="719">
        <f>IF(AD43="",0,AD43)</f>
        <v>0</v>
      </c>
      <c r="T54" s="719"/>
      <c r="U54" s="141">
        <f>IF($S$55=0,0,S54/$S$55)</f>
        <v>0</v>
      </c>
      <c r="V54" s="691">
        <f>L54+O54-S54</f>
        <v>0</v>
      </c>
      <c r="W54" s="692"/>
      <c r="X54" s="141" t="e">
        <f>IF($V$50="",0,V54/$V$55)</f>
        <v>#DIV/0!</v>
      </c>
      <c r="AC54" s="421"/>
      <c r="AF54" s="6"/>
      <c r="AG54" s="6"/>
      <c r="AH54" s="6"/>
      <c r="AJ54" s="147"/>
      <c r="AK54" s="147"/>
      <c r="AL54" s="6"/>
      <c r="AM54" s="6"/>
      <c r="AN54" s="147"/>
      <c r="AO54" s="147"/>
    </row>
    <row r="55" spans="1:58" customHeight="1" ht="15">
      <c r="A55" s="326" t="s">
        <v>98</v>
      </c>
      <c r="B55" s="320">
        <f>IF(B50=0,0,AP36/AN36)</f>
        <v>0</v>
      </c>
      <c r="E55" s="146"/>
      <c r="F55" s="326" t="s">
        <v>99</v>
      </c>
      <c r="G55" s="660"/>
      <c r="H55" s="661"/>
      <c r="I55" s="149"/>
      <c r="J55" s="136"/>
      <c r="K55" s="671">
        <f>SUM(K50:K54)</f>
        <v>0</v>
      </c>
      <c r="L55" s="670"/>
      <c r="M55" s="481"/>
      <c r="N55" s="487">
        <f>SUM(N50:N54)</f>
        <v>0</v>
      </c>
      <c r="O55" s="671">
        <f>SUM(O50:O54)</f>
        <v>0</v>
      </c>
      <c r="P55" s="670"/>
      <c r="Q55" s="481"/>
      <c r="R55" s="150"/>
      <c r="S55" s="670">
        <f>SUM(S50:S54)</f>
        <v>0</v>
      </c>
      <c r="T55" s="670"/>
      <c r="U55" s="479"/>
      <c r="V55" s="671">
        <f>SUM(V50:V54)</f>
        <v>0</v>
      </c>
      <c r="W55" s="670"/>
      <c r="X55" s="481"/>
      <c r="AH55" s="6"/>
      <c r="AJ55" s="147"/>
      <c r="AK55" s="147"/>
      <c r="AL55" s="6"/>
      <c r="AM55" s="6"/>
      <c r="AN55" s="147"/>
      <c r="AO55" s="147"/>
    </row>
    <row r="56" spans="1:58" customHeight="1" ht="13.9">
      <c r="A56" s="326" t="s">
        <v>100</v>
      </c>
      <c r="B56" s="321" t="str">
        <f>AT37</f>
        <v/>
      </c>
      <c r="E56" s="146"/>
      <c r="F56" s="326" t="s">
        <v>101</v>
      </c>
      <c r="G56" s="672">
        <v>77284230</v>
      </c>
      <c r="H56" s="673"/>
      <c r="I56" s="153">
        <v>2803509</v>
      </c>
      <c r="K56" s="216"/>
      <c r="L56" s="216"/>
      <c r="M56" s="216"/>
      <c r="N56" s="216"/>
      <c r="O56" s="375"/>
      <c r="P56" s="517"/>
      <c r="Q56" s="517"/>
      <c r="AH56" s="6"/>
      <c r="AJ56" s="147"/>
      <c r="AK56" s="147"/>
      <c r="AL56" s="6"/>
      <c r="AM56" s="6"/>
      <c r="AN56" s="147"/>
      <c r="AO56" s="147"/>
    </row>
    <row r="57" spans="1:58" customHeight="1" ht="13.9">
      <c r="A57" s="326" t="s">
        <v>102</v>
      </c>
      <c r="B57" s="580" t="str">
        <f>+AT36</f>
        <v/>
      </c>
      <c r="E57" s="137"/>
      <c r="F57" s="662" t="s">
        <v>103</v>
      </c>
      <c r="G57" s="663"/>
      <c r="H57" s="327"/>
      <c r="I57" s="155"/>
      <c r="K57" s="665" t="s">
        <v>104</v>
      </c>
      <c r="L57" s="666"/>
      <c r="M57" s="666"/>
      <c r="N57" s="666"/>
      <c r="O57" s="666"/>
      <c r="P57" s="518"/>
      <c r="Q57" s="246"/>
      <c r="X57" s="4"/>
      <c r="AD57" s="4"/>
      <c r="AH57" s="6"/>
      <c r="AJ57" s="147"/>
      <c r="AK57" s="147"/>
      <c r="AL57" s="6"/>
      <c r="AM57" s="6"/>
      <c r="AN57" s="147"/>
      <c r="AO57" s="147"/>
    </row>
    <row r="58" spans="1:58" customHeight="1" ht="13.9">
      <c r="A58" s="326" t="s">
        <v>105</v>
      </c>
      <c r="B58" s="322">
        <f>IF(AS36="",0,AS36)</f>
        <v>0</v>
      </c>
      <c r="E58" s="137"/>
      <c r="F58" s="326"/>
      <c r="G58" s="216"/>
      <c r="H58" s="323"/>
      <c r="K58" s="326" t="s">
        <v>106</v>
      </c>
      <c r="L58" s="216"/>
      <c r="M58" s="332">
        <f>AX36</f>
        <v>0</v>
      </c>
      <c r="N58" s="332"/>
      <c r="O58" s="216" t="s">
        <v>107</v>
      </c>
      <c r="P58" s="140"/>
      <c r="S58" s="156"/>
      <c r="V58" s="142"/>
      <c r="X58" s="4"/>
      <c r="AB58" s="157"/>
      <c r="AD58" s="4"/>
      <c r="AH58" s="6"/>
      <c r="AJ58" s="147"/>
      <c r="AK58" s="147"/>
      <c r="AL58" s="6"/>
      <c r="AM58" s="6"/>
      <c r="AN58" s="147"/>
      <c r="AO58" s="147"/>
    </row>
    <row r="59" spans="1:58" customHeight="1" ht="13.9">
      <c r="A59" s="326" t="s">
        <v>108</v>
      </c>
      <c r="B59" s="322">
        <f>IF(AU36="",0,AU36)</f>
        <v>0</v>
      </c>
      <c r="E59" s="137"/>
      <c r="F59" s="328" t="s">
        <v>109</v>
      </c>
      <c r="G59" s="329"/>
      <c r="H59" s="330" t="s">
        <v>110</v>
      </c>
      <c r="K59" s="326" t="s">
        <v>111</v>
      </c>
      <c r="L59" s="216"/>
      <c r="M59" s="332">
        <f>AY36</f>
        <v>0</v>
      </c>
      <c r="N59" s="332"/>
      <c r="O59" s="323" t="s">
        <v>107</v>
      </c>
      <c r="S59" s="156"/>
      <c r="W59" s="156"/>
      <c r="AC59" s="247"/>
      <c r="AD59" s="157"/>
      <c r="AE59" s="157"/>
      <c r="AF59" s="157"/>
      <c r="AG59" s="6"/>
      <c r="AJ59" s="147"/>
      <c r="AK59" s="6"/>
      <c r="AL59" s="147"/>
      <c r="AM59" s="147"/>
      <c r="AN59" s="147"/>
    </row>
    <row r="60" spans="1:58" customHeight="1" ht="13.9">
      <c r="A60" s="326" t="s">
        <v>112</v>
      </c>
      <c r="B60" s="323">
        <f>31-COUNTBLANK(A4:A35)</f>
        <v>-1</v>
      </c>
      <c r="F60" s="331" t="s">
        <v>113</v>
      </c>
      <c r="G60" s="664" t="e">
        <f>G59/(B50*1000)</f>
        <v>#DIV/0!</v>
      </c>
      <c r="H60" s="664"/>
      <c r="I60" s="376"/>
      <c r="J60" s="136"/>
      <c r="K60" s="418" t="s">
        <v>92</v>
      </c>
      <c r="L60" s="483"/>
      <c r="M60" s="419" t="e">
        <f>M59/M58</f>
        <v>#DIV/0!</v>
      </c>
      <c r="N60" s="419"/>
      <c r="O60" s="420"/>
      <c r="S60" s="145"/>
      <c r="T60" s="665" t="s">
        <v>114</v>
      </c>
      <c r="U60" s="666"/>
      <c r="V60" s="667"/>
      <c r="X60" s="4"/>
      <c r="Y60" s="472" t="s">
        <v>115</v>
      </c>
      <c r="Z60" s="273" t="s">
        <v>169</v>
      </c>
      <c r="AA60" s="273">
        <v>900</v>
      </c>
      <c r="AB60" s="273" t="s">
        <v>117</v>
      </c>
      <c r="AC60" s="273">
        <v>7200</v>
      </c>
      <c r="AD60" s="273">
        <v>4200</v>
      </c>
      <c r="AE60" s="273">
        <v>8530</v>
      </c>
      <c r="AF60" s="157"/>
      <c r="AG60" s="6"/>
      <c r="AJ60" s="147"/>
      <c r="AK60" s="6"/>
      <c r="AL60" s="147"/>
      <c r="AM60" s="147"/>
      <c r="AN60" s="147"/>
    </row>
    <row r="61" spans="1:58" customHeight="1" ht="13.9">
      <c r="A61" s="370" t="s">
        <v>118</v>
      </c>
      <c r="B61" s="324">
        <f>AD40+AD48</f>
        <v>0</v>
      </c>
      <c r="G61" s="156" t="s">
        <v>119</v>
      </c>
      <c r="O61" s="4"/>
      <c r="P61" s="4"/>
      <c r="T61" s="354" t="s">
        <v>120</v>
      </c>
      <c r="U61" s="668"/>
      <c r="V61" s="669"/>
      <c r="X61" s="165" t="str">
        <f>C82</f>
        <v>Extrapan
 50</v>
      </c>
      <c r="Y61" s="531"/>
      <c r="Z61" s="531"/>
      <c r="AA61" s="531"/>
      <c r="AB61" s="531"/>
      <c r="AC61" s="531"/>
      <c r="AD61" s="531"/>
      <c r="AE61" s="531"/>
      <c r="AG61" s="147"/>
      <c r="AH61" s="147"/>
      <c r="AI61" s="6"/>
      <c r="AJ61" s="6"/>
      <c r="AK61" s="147"/>
      <c r="AL61" s="147"/>
      <c r="AM61" s="147"/>
    </row>
    <row r="62" spans="1:58" customHeight="1" ht="14.45">
      <c r="A62" s="259" t="s">
        <v>121</v>
      </c>
      <c r="B62" s="477">
        <f>B50/B67</f>
        <v>0</v>
      </c>
      <c r="E62" s="136"/>
      <c r="F62" s="655" t="s">
        <v>122</v>
      </c>
      <c r="G62" s="656"/>
      <c r="H62" s="657"/>
      <c r="K62" s="655" t="s">
        <v>123</v>
      </c>
      <c r="L62" s="656"/>
      <c r="M62" s="656"/>
      <c r="N62" s="656"/>
      <c r="O62" s="656"/>
      <c r="P62" s="519"/>
      <c r="Q62" s="133"/>
      <c r="R62" s="162"/>
      <c r="S62" s="162"/>
      <c r="T62" s="354" t="s">
        <v>124</v>
      </c>
      <c r="U62" s="658">
        <f>AZ4</f>
        <v>0</v>
      </c>
      <c r="V62" s="659"/>
      <c r="W62" s="162"/>
      <c r="X62" s="165" t="str">
        <f>C85</f>
        <v>Extrapan
25</v>
      </c>
      <c r="Y62" s="532"/>
      <c r="Z62" s="532"/>
      <c r="AA62" s="532"/>
      <c r="AB62" s="532"/>
      <c r="AC62" s="532"/>
      <c r="AD62" s="532"/>
      <c r="AE62" s="532"/>
      <c r="AG62" s="147"/>
      <c r="AH62" s="147"/>
      <c r="AI62" s="6"/>
      <c r="AJ62" s="6"/>
      <c r="AK62" s="147"/>
      <c r="AL62" s="147"/>
      <c r="AM62" s="147"/>
    </row>
    <row r="63" spans="1:58" customHeight="1" ht="14.45">
      <c r="A63" s="256" t="s">
        <v>125</v>
      </c>
      <c r="B63" s="502" t="e">
        <f>B75/B50</f>
        <v>#DIV/0!</v>
      </c>
      <c r="F63" s="632" t="s">
        <v>126</v>
      </c>
      <c r="G63" s="633"/>
      <c r="H63" s="268"/>
      <c r="I63" s="140"/>
      <c r="J63" s="136"/>
      <c r="K63" s="1" t="s">
        <v>127</v>
      </c>
      <c r="O63" s="520">
        <v>662</v>
      </c>
      <c r="R63" s="162"/>
      <c r="S63" s="162"/>
      <c r="T63" s="162"/>
      <c r="U63" s="162"/>
      <c r="V63" s="162"/>
      <c r="W63" s="162"/>
      <c r="X63" s="165" t="str">
        <f>C86</f>
        <v>Extrapan
10</v>
      </c>
      <c r="Y63" s="532"/>
      <c r="Z63" s="532"/>
      <c r="AA63" s="532"/>
      <c r="AB63" s="532"/>
      <c r="AC63" s="532"/>
      <c r="AD63" s="532"/>
      <c r="AE63" s="532"/>
      <c r="AG63" s="147"/>
      <c r="AH63" s="147"/>
      <c r="AI63" s="6"/>
      <c r="AJ63" s="6"/>
      <c r="AK63" s="147"/>
      <c r="AL63" s="147"/>
      <c r="AM63" s="147"/>
    </row>
    <row r="64" spans="1:58" customHeight="1" ht="14.45">
      <c r="A64" s="258" t="s">
        <v>128</v>
      </c>
      <c r="B64" s="503" t="e">
        <f>B76/B50</f>
        <v>#DIV/0!</v>
      </c>
      <c r="F64" s="140" t="s">
        <v>129</v>
      </c>
      <c r="H64" s="474">
        <f>(H63*1)*2</f>
        <v>0</v>
      </c>
      <c r="I64" s="140"/>
      <c r="K64" s="140" t="s">
        <v>129</v>
      </c>
      <c r="O64" s="474">
        <f>O63/30</f>
        <v>22.066666666666666</v>
      </c>
      <c r="T64" s="634" t="s">
        <v>130</v>
      </c>
      <c r="U64" s="635"/>
      <c r="V64" s="636"/>
      <c r="X64" s="165" t="str">
        <f>C87</f>
        <v>Artesanal 
50</v>
      </c>
      <c r="Y64" s="531"/>
      <c r="Z64" s="531"/>
      <c r="AA64" s="531"/>
      <c r="AB64" s="531"/>
      <c r="AC64" s="531"/>
      <c r="AD64" s="531"/>
      <c r="AE64" s="531"/>
      <c r="AG64" s="147"/>
      <c r="AH64" s="147"/>
      <c r="AI64" s="6"/>
      <c r="AJ64" s="6"/>
      <c r="AK64" s="147"/>
      <c r="AL64" s="147"/>
      <c r="AM64" s="147"/>
    </row>
    <row r="65" spans="1:58">
      <c r="F65" s="637" t="s">
        <v>131</v>
      </c>
      <c r="G65" s="638"/>
      <c r="H65" s="639"/>
      <c r="I65" s="140"/>
      <c r="J65" s="136"/>
      <c r="K65" s="1" t="s">
        <v>132</v>
      </c>
      <c r="P65" s="140"/>
      <c r="T65" s="417" t="s">
        <v>133</v>
      </c>
      <c r="U65" s="732"/>
      <c r="V65" s="733"/>
      <c r="X65" s="165" t="str">
        <f>C89</f>
        <v>Artesanal
25</v>
      </c>
      <c r="Y65" s="532"/>
      <c r="Z65" s="532"/>
      <c r="AA65" s="532"/>
      <c r="AB65" s="532"/>
      <c r="AC65" s="532"/>
      <c r="AD65" s="532"/>
      <c r="AE65" s="532"/>
      <c r="AG65" s="147"/>
      <c r="AH65" s="147"/>
      <c r="AI65" s="6"/>
      <c r="AJ65" s="6"/>
      <c r="AK65" s="147"/>
      <c r="AL65" s="147"/>
      <c r="AM65" s="147"/>
    </row>
    <row r="66" spans="1:58" customHeight="1" ht="14.45">
      <c r="A66" s="371" t="s">
        <v>134</v>
      </c>
      <c r="B66" s="373"/>
      <c r="F66" s="630" t="s">
        <v>91</v>
      </c>
      <c r="G66" s="642"/>
      <c r="H66" s="270"/>
      <c r="I66" s="140"/>
      <c r="K66" s="159" t="s">
        <v>94</v>
      </c>
      <c r="L66" s="158"/>
      <c r="M66" s="158"/>
      <c r="N66" s="158"/>
      <c r="O66" s="478"/>
      <c r="P66" s="524"/>
      <c r="T66" s="417" t="s">
        <v>135</v>
      </c>
      <c r="U66" s="651"/>
      <c r="V66" s="652"/>
      <c r="X66" s="165" t="str">
        <f>C92</f>
        <v>Natural 
50</v>
      </c>
      <c r="Y66" s="532"/>
      <c r="Z66" s="532"/>
      <c r="AA66" s="532"/>
      <c r="AB66" s="532"/>
      <c r="AC66" s="532"/>
      <c r="AD66" s="532"/>
      <c r="AE66" s="532"/>
      <c r="AG66" s="147"/>
      <c r="AH66" s="147"/>
      <c r="AI66" s="147"/>
      <c r="AJ66" s="147"/>
      <c r="AK66" s="6"/>
      <c r="AL66" s="6"/>
      <c r="AM66" s="147"/>
      <c r="AN66" s="147"/>
    </row>
    <row r="67" spans="1:58" customHeight="1" ht="14.45">
      <c r="A67" s="255" t="s">
        <v>136</v>
      </c>
      <c r="B67" s="264">
        <v>24</v>
      </c>
      <c r="F67" s="140" t="s">
        <v>137</v>
      </c>
      <c r="G67" s="475"/>
      <c r="H67" s="267">
        <f>H64*G67</f>
        <v>0</v>
      </c>
      <c r="K67" s="140" t="s">
        <v>137</v>
      </c>
      <c r="L67" s="475">
        <v>100</v>
      </c>
      <c r="M67" s="367">
        <f>(O64*L67)</f>
        <v>2206.66666666666652</v>
      </c>
      <c r="P67" s="524"/>
      <c r="Q67" s="521"/>
      <c r="T67" s="417" t="s">
        <v>94</v>
      </c>
      <c r="U67" s="730"/>
      <c r="V67" s="731"/>
      <c r="X67" s="165" t="str">
        <f>C99</f>
        <v>Harina Tortas y Ponques</v>
      </c>
      <c r="Y67" s="531"/>
      <c r="Z67" s="531"/>
      <c r="AA67" s="531"/>
      <c r="AB67" s="531"/>
      <c r="AC67" s="531"/>
      <c r="AD67" s="531"/>
      <c r="AE67" s="531"/>
      <c r="AG67" s="147"/>
      <c r="AH67" s="147"/>
      <c r="AI67" s="6"/>
      <c r="AJ67" s="6"/>
      <c r="AK67" s="147"/>
      <c r="AL67" s="147"/>
      <c r="AM67" s="147"/>
    </row>
    <row r="68" spans="1:58" customHeight="1" ht="14.45">
      <c r="A68" s="255" t="s">
        <v>138</v>
      </c>
      <c r="B68" s="265">
        <v>28760</v>
      </c>
      <c r="F68" s="148" t="s">
        <v>139</v>
      </c>
      <c r="G68" s="649">
        <f>(G67*436*1.7321*0.96)/1000</f>
        <v>0</v>
      </c>
      <c r="H68" s="650">
        <f>(H67*436*1.7321*0.96)/1000</f>
        <v>0</v>
      </c>
      <c r="K68" s="148" t="s">
        <v>139</v>
      </c>
      <c r="L68" s="271">
        <f>(L67*436*1.7321*0.96)/1000</f>
        <v>72.4987776</v>
      </c>
      <c r="M68" s="156"/>
      <c r="O68" s="525"/>
      <c r="P68" s="522"/>
      <c r="T68" s="354" t="s">
        <v>140</v>
      </c>
      <c r="U68" s="651"/>
      <c r="V68" s="652"/>
      <c r="X68" s="165" t="str">
        <f>C100</f>
        <v>Harina Galeras Ligera</v>
      </c>
      <c r="Y68" s="532"/>
      <c r="Z68" s="532"/>
      <c r="AA68" s="532"/>
      <c r="AB68" s="532"/>
      <c r="AC68" s="532"/>
      <c r="AD68" s="532"/>
      <c r="AE68" s="532"/>
      <c r="AG68" s="147"/>
      <c r="AH68" s="147"/>
      <c r="AI68" s="147"/>
      <c r="AJ68" s="147"/>
      <c r="AK68" s="6"/>
      <c r="AL68" s="6"/>
      <c r="AM68" s="147"/>
      <c r="AN68" s="147"/>
    </row>
    <row r="69" spans="1:58">
      <c r="A69" s="156" t="s">
        <v>142</v>
      </c>
      <c r="B69" s="424">
        <v>36087</v>
      </c>
      <c r="F69" s="140" t="s">
        <v>143</v>
      </c>
      <c r="G69" s="653">
        <f>G68*H63</f>
        <v>0</v>
      </c>
      <c r="H69" s="639"/>
      <c r="K69" s="140" t="s">
        <v>143</v>
      </c>
      <c r="M69" s="653">
        <f>L68*O64</f>
        <v>1599.80635903999996</v>
      </c>
      <c r="N69" s="653"/>
      <c r="O69" s="654"/>
      <c r="X69" s="165" t="str">
        <f>C103</f>
        <v>Harina de alta proteina x 1
G</v>
      </c>
      <c r="Y69" s="532"/>
      <c r="Z69" s="532"/>
      <c r="AA69" s="532"/>
      <c r="AB69" s="532"/>
      <c r="AC69" s="532"/>
      <c r="AD69" s="532"/>
      <c r="AE69" s="532"/>
      <c r="AG69" s="147"/>
      <c r="AH69" s="147"/>
      <c r="AI69" s="147"/>
      <c r="AJ69" s="147"/>
      <c r="AK69" s="6"/>
      <c r="AL69" s="6"/>
      <c r="AM69" s="147"/>
      <c r="AN69" s="147"/>
    </row>
    <row r="70" spans="1:58" customHeight="1" ht="14.45">
      <c r="A70" s="257" t="s">
        <v>144</v>
      </c>
      <c r="B70" s="266">
        <f>+B51/B68</f>
        <v>0</v>
      </c>
      <c r="F70" s="632" t="s">
        <v>86</v>
      </c>
      <c r="G70" s="633"/>
      <c r="H70" s="269">
        <f>G69*H50</f>
        <v>0</v>
      </c>
      <c r="K70" s="140" t="s">
        <v>86</v>
      </c>
      <c r="M70" s="352">
        <f>M69*H50</f>
        <v>0</v>
      </c>
      <c r="O70" s="136"/>
      <c r="P70" s="523"/>
      <c r="Q70" s="523"/>
      <c r="T70" s="374" t="s">
        <v>145</v>
      </c>
      <c r="U70" s="374"/>
      <c r="V70" s="374"/>
      <c r="X70" s="165" t="s">
        <v>67</v>
      </c>
      <c r="Y70" s="533"/>
      <c r="Z70" s="533"/>
      <c r="AA70" s="533"/>
      <c r="AB70" s="533"/>
      <c r="AC70" s="533"/>
      <c r="AD70" s="533"/>
      <c r="AE70" s="533"/>
      <c r="AG70" s="6"/>
      <c r="AI70" s="147"/>
      <c r="AJ70" s="147"/>
      <c r="AK70" s="147"/>
      <c r="AL70" s="147"/>
      <c r="AM70" s="147"/>
      <c r="AN70" s="6"/>
      <c r="AO70" s="147"/>
      <c r="AP70" s="147"/>
    </row>
    <row r="71" spans="1:58" customHeight="1" ht="22.5">
      <c r="A71" s="257" t="s">
        <v>146</v>
      </c>
      <c r="B71" s="266">
        <f>+B51/B69</f>
        <v>0</v>
      </c>
      <c r="F71" s="159"/>
      <c r="G71" s="158"/>
      <c r="H71" s="151"/>
      <c r="K71" s="159"/>
      <c r="L71" s="158"/>
      <c r="M71" s="158"/>
      <c r="N71" s="158"/>
      <c r="O71" s="151"/>
      <c r="T71" s="253" t="s">
        <v>147</v>
      </c>
      <c r="U71" s="254"/>
      <c r="V71" s="645">
        <f>AP36*(U71+U72)</f>
        <v>0</v>
      </c>
      <c r="X71" s="202" t="s">
        <v>141</v>
      </c>
      <c r="Y71" s="203"/>
      <c r="Z71" s="203"/>
      <c r="AA71" s="203"/>
      <c r="AB71" s="203"/>
      <c r="AC71" s="203"/>
      <c r="AE71" s="6"/>
      <c r="AG71" s="6"/>
      <c r="AI71" s="147"/>
      <c r="AJ71" s="147"/>
      <c r="AK71" s="147"/>
      <c r="AL71" s="147"/>
      <c r="AM71" s="147"/>
      <c r="AN71" s="6"/>
      <c r="AO71" s="147"/>
      <c r="AP71" s="147"/>
    </row>
    <row r="72" spans="1:58">
      <c r="T72" s="253" t="s">
        <v>151</v>
      </c>
      <c r="U72" s="254"/>
      <c r="V72" s="646"/>
      <c r="X72" s="202"/>
      <c r="Y72" s="245"/>
      <c r="Z72" s="245"/>
      <c r="AA72" s="245"/>
      <c r="AB72" s="245"/>
      <c r="AC72" s="245"/>
      <c r="AE72" s="6"/>
      <c r="AG72" s="6"/>
      <c r="AI72" s="147"/>
      <c r="AJ72" s="147"/>
      <c r="AK72" s="147"/>
      <c r="AL72" s="147"/>
      <c r="AM72" s="147"/>
      <c r="AN72" s="6"/>
      <c r="AO72" s="147"/>
      <c r="AP72" s="147"/>
    </row>
    <row r="73" spans="1:58">
      <c r="AE73" s="6"/>
      <c r="AG73" s="6"/>
      <c r="AI73" s="147"/>
      <c r="AJ73" s="147"/>
      <c r="AK73" s="147"/>
      <c r="AL73" s="147"/>
      <c r="AM73" s="147"/>
      <c r="AN73" s="6"/>
      <c r="AO73" s="147"/>
      <c r="AP73" s="147"/>
    </row>
    <row r="74" spans="1:58" customHeight="1" ht="14.45">
      <c r="A74" s="371" t="s">
        <v>154</v>
      </c>
      <c r="B74" s="372"/>
      <c r="C74" s="140"/>
      <c r="Y74" s="156" t="s">
        <v>148</v>
      </c>
      <c r="Z74" s="1" t="s">
        <v>149</v>
      </c>
      <c r="AA74" s="1" t="s">
        <v>150</v>
      </c>
      <c r="AE74" s="6"/>
      <c r="AG74" s="6"/>
      <c r="AI74" s="147"/>
      <c r="AJ74" s="147"/>
      <c r="AK74" s="147"/>
      <c r="AL74" s="147"/>
      <c r="AM74" s="147"/>
      <c r="AN74" s="6"/>
      <c r="AO74" s="147"/>
      <c r="AP74" s="147"/>
    </row>
    <row r="75" spans="1:58" customHeight="1" ht="14.45">
      <c r="A75" s="260" t="s">
        <v>155</v>
      </c>
      <c r="B75" s="262">
        <v>64062235</v>
      </c>
      <c r="Y75" s="209" t="s">
        <v>152</v>
      </c>
      <c r="Z75" s="7">
        <v>12.5</v>
      </c>
      <c r="AA75" s="7">
        <v>13.5</v>
      </c>
      <c r="AB75" s="7"/>
      <c r="AC75" s="1" t="s">
        <v>152</v>
      </c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8" customHeight="1" ht="14.45">
      <c r="A76" s="261" t="s">
        <v>156</v>
      </c>
      <c r="B76" s="263">
        <v>7837432</v>
      </c>
      <c r="Y76" s="209" t="s">
        <v>67</v>
      </c>
      <c r="Z76" s="212">
        <f>SUM(A82+A85+A86+A87+A89+A92+A94+A98+A100+A102+A103+A108+A105+A110+A113+A115+A109+A83+A84+A90+A88+A91+A96+A97+A104+A106+A111)*Z75</f>
        <v>0</v>
      </c>
      <c r="AA76" s="212">
        <f>(A95+A99)*AA75</f>
        <v>0</v>
      </c>
      <c r="AB76" s="240"/>
      <c r="AC76" s="156" t="s">
        <v>153</v>
      </c>
      <c r="AE76" s="206"/>
      <c r="AK76" s="147"/>
      <c r="AL76" s="147"/>
      <c r="AM76" s="147"/>
      <c r="AN76" s="6"/>
      <c r="AO76" s="147"/>
      <c r="AP76" s="147"/>
    </row>
    <row r="77" spans="1:58">
      <c r="Y77" s="202" t="s">
        <v>141</v>
      </c>
      <c r="Z77" s="142"/>
      <c r="AA77" s="142"/>
      <c r="AB77" s="142"/>
      <c r="AC77" s="156" t="s">
        <v>153</v>
      </c>
      <c r="AE77" s="206"/>
      <c r="AK77" s="147"/>
      <c r="AL77" s="147"/>
      <c r="AM77" s="147"/>
      <c r="AN77" s="6"/>
      <c r="AO77" s="147"/>
      <c r="AP77" s="147"/>
      <c r="AQ77" s="147"/>
      <c r="AR77" s="147"/>
    </row>
    <row r="78" spans="1:58">
      <c r="X78" s="169"/>
      <c r="AK78" s="147"/>
      <c r="AL78" s="147"/>
      <c r="AM78" s="147"/>
      <c r="AN78" s="6"/>
      <c r="AO78" s="147"/>
      <c r="AP78" s="147"/>
      <c r="AQ78" s="147"/>
      <c r="AR78" s="147"/>
    </row>
    <row r="79" spans="1:58">
      <c r="N79" s="4"/>
      <c r="X79" s="169"/>
      <c r="AE79" s="6"/>
      <c r="AK79" s="147"/>
      <c r="AL79" s="147"/>
      <c r="AM79" s="147"/>
      <c r="AN79" s="6"/>
      <c r="AO79" s="147"/>
      <c r="AP79" s="147"/>
      <c r="AQ79" s="147"/>
      <c r="AR79" s="147"/>
    </row>
    <row r="80" spans="1:58" customHeight="1" ht="16.35">
      <c r="A80" s="170"/>
      <c r="C80" s="171"/>
      <c r="D80" s="423" t="s">
        <v>157</v>
      </c>
      <c r="E80" s="423" t="s">
        <v>158</v>
      </c>
      <c r="F80" s="423" t="s">
        <v>94</v>
      </c>
      <c r="G80" s="423" t="s">
        <v>91</v>
      </c>
      <c r="AE80" s="6"/>
      <c r="AK80" s="147"/>
      <c r="AL80" s="147"/>
      <c r="AM80" s="147"/>
    </row>
    <row r="81" spans="1:58" customHeight="1" ht="16.35">
      <c r="A81" s="356" t="s">
        <v>45</v>
      </c>
      <c r="B81" s="472" t="s">
        <v>159</v>
      </c>
      <c r="C81" s="176" t="s">
        <v>160</v>
      </c>
      <c r="D81" s="178" t="s">
        <v>161</v>
      </c>
      <c r="E81" s="178" t="s">
        <v>161</v>
      </c>
      <c r="F81" s="178" t="s">
        <v>161</v>
      </c>
      <c r="G81" s="178" t="s">
        <v>161</v>
      </c>
      <c r="AE81" s="6"/>
      <c r="AK81" s="147"/>
      <c r="AL81" s="147"/>
      <c r="AM81" s="147"/>
    </row>
    <row r="82" spans="1:58" customHeight="1" ht="16.35">
      <c r="A82" s="139">
        <f>C36</f>
        <v>0</v>
      </c>
      <c r="B82" s="139">
        <f>IF(A82=0,0,((A82*50)/$B$53))</f>
        <v>0</v>
      </c>
      <c r="C82" s="180" t="s">
        <v>16</v>
      </c>
      <c r="D82" s="569">
        <v>0.8</v>
      </c>
      <c r="E82" s="570">
        <v>0.2</v>
      </c>
      <c r="F82" s="571"/>
      <c r="G82" s="572"/>
      <c r="Z82" s="213"/>
      <c r="AA82" s="213"/>
      <c r="AB82" s="213"/>
      <c r="AC82" s="213"/>
      <c r="AD82" s="213"/>
      <c r="AE82" s="6"/>
      <c r="AK82" s="147"/>
      <c r="AL82" s="147"/>
      <c r="AM82" s="147"/>
    </row>
    <row r="83" spans="1:58" customHeight="1" ht="16.35">
      <c r="A83" s="139">
        <f>C38</f>
        <v>0</v>
      </c>
      <c r="B83" s="139">
        <f>IF(A83=0,0,((A83*50)/$B$53))</f>
        <v>0</v>
      </c>
      <c r="C83" s="180" t="s">
        <v>16</v>
      </c>
      <c r="D83" s="573"/>
      <c r="E83" s="186"/>
      <c r="F83" s="462"/>
      <c r="G83" s="574"/>
      <c r="Z83" s="213"/>
      <c r="AA83" s="213"/>
      <c r="AB83" s="213"/>
      <c r="AC83" s="213"/>
      <c r="AD83" s="213"/>
      <c r="AE83" s="6"/>
      <c r="AK83" s="147"/>
      <c r="AL83" s="147"/>
      <c r="AM83" s="147"/>
    </row>
    <row r="84" spans="1:58" customHeight="1" ht="16.35">
      <c r="A84" s="139">
        <f>C39</f>
        <v>0</v>
      </c>
      <c r="B84" s="139">
        <f>IF(A84=0,0,((A84*50)/$B$53))</f>
        <v>0</v>
      </c>
      <c r="C84" s="180" t="s">
        <v>16</v>
      </c>
      <c r="D84" s="575">
        <v>0.8</v>
      </c>
      <c r="E84" s="382">
        <v>0.2</v>
      </c>
      <c r="F84" s="382"/>
      <c r="G84" s="574"/>
      <c r="Z84" s="213"/>
      <c r="AA84" s="213"/>
      <c r="AB84" s="213"/>
      <c r="AC84" s="213"/>
      <c r="AD84" s="213"/>
      <c r="AE84" s="6"/>
      <c r="AK84" s="147"/>
      <c r="AL84" s="147"/>
      <c r="AM84" s="147"/>
    </row>
    <row r="85" spans="1:58" customHeight="1" ht="16.35">
      <c r="A85" s="139">
        <f>D36/2</f>
        <v>0</v>
      </c>
      <c r="B85" s="139">
        <f>IF(A85=0,0,((A85*50)/$B$53))</f>
        <v>0</v>
      </c>
      <c r="C85" s="180" t="str">
        <f>D3</f>
        <v>Extrapan
25</v>
      </c>
      <c r="D85" s="573">
        <v>0.8</v>
      </c>
      <c r="E85" s="186">
        <v>0.2</v>
      </c>
      <c r="F85" s="186"/>
      <c r="G85" s="576"/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8" customHeight="1" ht="16.35">
      <c r="A86" s="139">
        <f>E36/5</f>
        <v>0</v>
      </c>
      <c r="B86" s="139">
        <f>IF(A86=0,0,((A86*50)/$B$53))</f>
        <v>0</v>
      </c>
      <c r="C86" s="189" t="str">
        <f>E3</f>
        <v>Extrapan
10</v>
      </c>
      <c r="D86" s="573">
        <v>0.8</v>
      </c>
      <c r="E86" s="186">
        <v>0.2</v>
      </c>
      <c r="F86" s="186"/>
      <c r="G86" s="576"/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8" customHeight="1" ht="16.35">
      <c r="A87" s="139">
        <f>F36</f>
        <v>0</v>
      </c>
      <c r="B87" s="139">
        <f>IF(A87=0,0,((A87*50)/$B$53))</f>
        <v>0</v>
      </c>
      <c r="C87" s="189" t="str">
        <f>F3</f>
        <v>Artesanal 
50</v>
      </c>
      <c r="D87" s="573">
        <v>0.6</v>
      </c>
      <c r="E87" s="186">
        <v>0.15</v>
      </c>
      <c r="F87" s="186">
        <v>0.25</v>
      </c>
      <c r="G87" s="576"/>
      <c r="J87" s="137"/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8" customHeight="1" ht="16.35">
      <c r="A88" s="139">
        <f>F38</f>
        <v>0</v>
      </c>
      <c r="B88" s="139">
        <f>IF(A88=0,0,((A88*50)/$B$53))</f>
        <v>0</v>
      </c>
      <c r="C88" s="568" t="str">
        <f>C87</f>
        <v>Artesanal 
50</v>
      </c>
      <c r="D88" s="573"/>
      <c r="E88" s="186"/>
      <c r="F88" s="186"/>
      <c r="G88" s="576"/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8" customHeight="1" ht="16.35">
      <c r="A89" s="139">
        <f>G36/2</f>
        <v>0</v>
      </c>
      <c r="B89" s="139">
        <f>IF(A89=0,0,((A89*50)/$B$53))</f>
        <v>0</v>
      </c>
      <c r="C89" s="190" t="str">
        <f>G3</f>
        <v>Artesanal
25</v>
      </c>
      <c r="D89" s="573">
        <v>0.6</v>
      </c>
      <c r="E89" s="186">
        <v>0.15</v>
      </c>
      <c r="F89" s="186">
        <v>0.25</v>
      </c>
      <c r="G89" s="576"/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8" customHeight="1" ht="16.35">
      <c r="A90" s="139">
        <f>G38/2</f>
        <v>0</v>
      </c>
      <c r="B90" s="139">
        <f>IF(A90=0,0,((A90*50)/$B$53))</f>
        <v>0</v>
      </c>
      <c r="C90" s="190" t="str">
        <f>C89</f>
        <v>Artesanal
25</v>
      </c>
      <c r="D90" s="573"/>
      <c r="E90" s="186"/>
      <c r="F90" s="186"/>
      <c r="G90" s="576"/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8" customHeight="1" ht="16.35">
      <c r="A91" s="139">
        <f>H36</f>
        <v>0</v>
      </c>
      <c r="B91" s="139">
        <f>IF(A91=0,0,((A91*50)/$B$53))</f>
        <v>0</v>
      </c>
      <c r="C91" s="180" t="str">
        <f>H3</f>
        <v>Natural 
50</v>
      </c>
      <c r="D91" s="573">
        <v>0.7</v>
      </c>
      <c r="E91" s="186">
        <v>0.07</v>
      </c>
      <c r="F91" s="186">
        <v>0.23</v>
      </c>
      <c r="G91" s="576"/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8" customHeight="1" ht="16.35">
      <c r="A92" s="139">
        <f>H38</f>
        <v>0</v>
      </c>
      <c r="B92" s="139">
        <f>IF(A92=0,0,((A92*50)/$B$53))</f>
        <v>0</v>
      </c>
      <c r="C92" s="180" t="str">
        <f>H3</f>
        <v>Natural 
50</v>
      </c>
      <c r="D92" s="577"/>
      <c r="E92" s="578"/>
      <c r="F92" s="578"/>
      <c r="G92" s="579"/>
      <c r="V92" s="124"/>
      <c r="W92" s="124"/>
      <c r="Z92" s="6"/>
      <c r="AA92" s="6"/>
      <c r="AB92" s="6"/>
      <c r="AC92" s="6"/>
      <c r="AD92" s="6"/>
      <c r="AE92" s="6"/>
      <c r="AH92" s="147"/>
      <c r="AI92" s="147"/>
      <c r="AJ92" s="147"/>
    </row>
    <row r="93" spans="1:58" customHeight="1" ht="16.35">
      <c r="A93" s="139"/>
      <c r="B93" s="139">
        <f>IF(A93=0,0,((A93*50)/$B$53))</f>
        <v>0</v>
      </c>
      <c r="C93" s="548"/>
      <c r="D93" s="200"/>
      <c r="E93" s="200"/>
      <c r="F93" s="201"/>
      <c r="G93" s="201"/>
      <c r="V93" s="245"/>
      <c r="W93" s="245"/>
      <c r="Y93" s="213"/>
      <c r="Z93" s="6"/>
      <c r="AA93" s="6"/>
      <c r="AB93" s="6"/>
      <c r="AC93" s="6"/>
      <c r="AD93" s="6"/>
      <c r="AE93" s="6"/>
      <c r="AH93" s="147"/>
      <c r="AI93" s="147"/>
      <c r="AJ93" s="147"/>
    </row>
    <row r="94" spans="1:58" customHeight="1" ht="15.6">
      <c r="A94" s="139">
        <f>I36/2</f>
        <v>0</v>
      </c>
      <c r="B94" s="139">
        <f>IF(A94=0,0,((A94*50)/$B$53))</f>
        <v>0</v>
      </c>
      <c r="C94" s="379" t="str">
        <f>I3</f>
        <v>Fuerte
25</v>
      </c>
      <c r="D94" s="463">
        <v>0.57</v>
      </c>
      <c r="E94" s="182">
        <v>0.13</v>
      </c>
      <c r="F94" s="182">
        <v>0.3</v>
      </c>
      <c r="G94" s="506"/>
      <c r="Y94" s="213"/>
      <c r="Z94" s="6"/>
      <c r="AA94" s="6"/>
      <c r="AB94" s="6"/>
      <c r="AC94" s="6"/>
      <c r="AD94" s="6"/>
      <c r="AE94" s="6"/>
      <c r="AH94" s="147"/>
      <c r="AI94" s="147"/>
      <c r="AJ94" s="147"/>
    </row>
    <row r="95" spans="1:58" customHeight="1" ht="16.35">
      <c r="A95" s="139">
        <f>J36/2</f>
        <v>0</v>
      </c>
      <c r="B95" s="139">
        <f>IF(A95=0,0,((A95*50)/$B$53))</f>
        <v>0</v>
      </c>
      <c r="C95" s="448" t="str">
        <f>J3</f>
        <v>Fuerte exp
25</v>
      </c>
      <c r="D95" s="462">
        <v>0.57</v>
      </c>
      <c r="E95" s="186">
        <v>0.13</v>
      </c>
      <c r="F95" s="382">
        <v>0.3</v>
      </c>
      <c r="G95" s="504"/>
      <c r="Y95" s="213"/>
      <c r="Z95" s="6"/>
      <c r="AA95" s="6"/>
      <c r="AB95" s="6"/>
      <c r="AC95" s="6"/>
      <c r="AD95" s="6"/>
      <c r="AE95" s="6"/>
      <c r="AH95" s="147"/>
      <c r="AI95" s="147"/>
      <c r="AJ95" s="147"/>
    </row>
    <row r="96" spans="1:58" customHeight="1" ht="16.35">
      <c r="A96" s="139">
        <f>I38/2</f>
        <v>0</v>
      </c>
      <c r="B96" s="139">
        <f>IF(A96=0,0,((A96*50)/$B$53))</f>
        <v>0</v>
      </c>
      <c r="C96" s="379" t="str">
        <f>I3</f>
        <v>Fuerte
25</v>
      </c>
      <c r="D96" s="462"/>
      <c r="E96" s="186"/>
      <c r="F96" s="382"/>
      <c r="G96" s="504"/>
      <c r="Y96" s="213"/>
      <c r="Z96" s="6"/>
      <c r="AA96" s="6"/>
      <c r="AB96" s="6"/>
      <c r="AC96" s="6"/>
      <c r="AD96" s="6"/>
      <c r="AE96" s="6"/>
      <c r="AH96" s="147"/>
      <c r="AI96" s="147"/>
      <c r="AJ96" s="147"/>
    </row>
    <row r="97" spans="1:58" customHeight="1" ht="16.35">
      <c r="A97" s="139">
        <f>I39/2</f>
        <v>0</v>
      </c>
      <c r="B97" s="139">
        <f>IF(A97=0,0,((A97*50)/$B$53))</f>
        <v>0</v>
      </c>
      <c r="C97" s="379" t="str">
        <f>C96</f>
        <v>Fuerte
25</v>
      </c>
      <c r="D97" s="462"/>
      <c r="E97" s="186"/>
      <c r="F97" s="382"/>
      <c r="G97" s="504"/>
      <c r="Y97" s="213"/>
      <c r="Z97" s="6"/>
      <c r="AA97" s="6"/>
      <c r="AB97" s="6"/>
      <c r="AC97" s="6"/>
      <c r="AD97" s="6"/>
      <c r="AE97" s="6"/>
      <c r="AH97" s="147"/>
      <c r="AI97" s="147"/>
      <c r="AJ97" s="147"/>
    </row>
    <row r="98" spans="1:58" customHeight="1" ht="16.35">
      <c r="A98" s="139">
        <f>K36</f>
        <v>0</v>
      </c>
      <c r="B98" s="139">
        <f>IF(A98=0,0,((A98*50)/$B$53))</f>
        <v>0</v>
      </c>
      <c r="C98" s="379" t="str">
        <f>K3</f>
        <v>Exclusiva
50</v>
      </c>
      <c r="D98" s="462">
        <v>0.62</v>
      </c>
      <c r="E98" s="186">
        <v>0.13</v>
      </c>
      <c r="F98" s="382">
        <v>0.25</v>
      </c>
      <c r="G98" s="504"/>
      <c r="Y98" s="213"/>
      <c r="Z98" s="6"/>
      <c r="AA98" s="6"/>
      <c r="AB98" s="6"/>
      <c r="AC98" s="6"/>
      <c r="AD98" s="6"/>
      <c r="AE98" s="6"/>
      <c r="AH98" s="147"/>
      <c r="AI98" s="147"/>
      <c r="AJ98" s="147"/>
    </row>
    <row r="99" spans="1:58" customHeight="1" ht="26.85">
      <c r="A99" s="139">
        <f>N36</f>
        <v>0</v>
      </c>
      <c r="B99" s="139">
        <f>IF(A99=0,0,((A99*50)/$B$53))</f>
        <v>0</v>
      </c>
      <c r="C99" s="449" t="str">
        <f>N3</f>
        <v>Harina Tortas y Ponques</v>
      </c>
      <c r="D99" s="462"/>
      <c r="E99" s="186"/>
      <c r="F99" s="186"/>
      <c r="G99" s="504"/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8" customHeight="1" ht="29.25">
      <c r="A100" s="139">
        <f>O36</f>
        <v>0</v>
      </c>
      <c r="B100" s="139">
        <f>IF(A100=0,0,((A100*50)/$B$53))</f>
        <v>0</v>
      </c>
      <c r="C100" s="449" t="str">
        <f>O3</f>
        <v>Harina Galeras Ligera</v>
      </c>
      <c r="D100" s="462"/>
      <c r="E100" s="186"/>
      <c r="F100" s="508"/>
      <c r="G100" s="188"/>
      <c r="H100" s="214"/>
      <c r="I100" s="214"/>
      <c r="J100" s="214"/>
      <c r="K100" s="156"/>
      <c r="L100" s="156"/>
      <c r="M100" s="156"/>
      <c r="N100" s="156"/>
      <c r="O100" s="202"/>
      <c r="P100" s="202"/>
      <c r="Q100" s="214"/>
      <c r="R100" s="214"/>
      <c r="S100" s="214"/>
      <c r="T100" s="156"/>
      <c r="U100" s="156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8" customHeight="1" ht="29.25">
      <c r="A101" s="139">
        <f>O38</f>
        <v>0</v>
      </c>
      <c r="B101" s="139">
        <f>IF(A101=0,0,((A101*50)/$B$53))</f>
        <v>0</v>
      </c>
      <c r="C101" s="449" t="str">
        <f>C100</f>
        <v>Harina Galeras Ligera</v>
      </c>
      <c r="D101" s="462"/>
      <c r="E101" s="186"/>
      <c r="F101" s="186"/>
      <c r="G101" s="504"/>
      <c r="H101" s="214"/>
      <c r="I101" s="214"/>
      <c r="J101" s="214"/>
      <c r="K101" s="156"/>
      <c r="L101" s="156"/>
      <c r="M101" s="156"/>
      <c r="N101" s="156"/>
      <c r="O101" s="202"/>
      <c r="P101" s="202"/>
      <c r="Q101" s="214"/>
      <c r="R101" s="214"/>
      <c r="S101" s="214"/>
      <c r="T101" s="156"/>
      <c r="U101" s="156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8" customHeight="1" ht="17.1">
      <c r="A102" s="139">
        <f>Q36</f>
        <v>0</v>
      </c>
      <c r="B102" s="139">
        <f>IF(A102=0,0,((A102*50)/$B$53))</f>
        <v>0</v>
      </c>
      <c r="C102" s="379" t="str">
        <f>Q3</f>
        <v>ESPECIAL
50</v>
      </c>
      <c r="D102" s="462"/>
      <c r="E102" s="186"/>
      <c r="F102" s="186"/>
      <c r="G102" s="505"/>
      <c r="X102" s="213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8" customHeight="1" ht="31.5">
      <c r="A103" s="139">
        <f>R36/50</f>
        <v>0</v>
      </c>
      <c r="B103" s="139">
        <f>IF(A103=0,0,((A103*50)/$B$53))</f>
        <v>0</v>
      </c>
      <c r="C103" s="449" t="str">
        <f>R3</f>
        <v>Harina de alta proteina x 1
G</v>
      </c>
      <c r="D103" s="462">
        <v>1</v>
      </c>
      <c r="E103" s="186"/>
      <c r="F103" s="186"/>
      <c r="G103" s="505"/>
      <c r="X103" s="213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8" customHeight="1" ht="16.35">
      <c r="A104" s="139">
        <f>R38/50</f>
        <v>0</v>
      </c>
      <c r="B104" s="139">
        <f>IF(A104=0,0,((A104*50)/$B$53))</f>
        <v>0</v>
      </c>
      <c r="C104" s="379" t="s">
        <v>170</v>
      </c>
      <c r="D104" s="381"/>
      <c r="E104" s="230"/>
      <c r="F104" s="230"/>
      <c r="G104" s="505"/>
      <c r="X104" s="213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8" customHeight="1" ht="27.6">
      <c r="A105" s="139">
        <f>S36/50</f>
        <v>0</v>
      </c>
      <c r="B105" s="139">
        <f>IF(A105=0,0,((A105*50)/$B$53))</f>
        <v>0</v>
      </c>
      <c r="C105" s="449" t="str">
        <f>S3</f>
        <v>Harina de baja proteina x 1</v>
      </c>
      <c r="D105" s="381"/>
      <c r="E105" s="230"/>
      <c r="F105" s="230">
        <v>1</v>
      </c>
      <c r="G105" s="505"/>
      <c r="X105" s="213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8" customHeight="1" ht="16.35">
      <c r="A106" s="139">
        <f>S38/50</f>
        <v>0</v>
      </c>
      <c r="B106" s="139">
        <f>IF(A106=0,0,((A106*50)/$B$53))</f>
        <v>0</v>
      </c>
      <c r="C106" s="449" t="s">
        <v>171</v>
      </c>
      <c r="D106" s="381"/>
      <c r="E106" s="230"/>
      <c r="F106" s="230"/>
      <c r="G106" s="507"/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8" customHeight="1" ht="16.35">
      <c r="A107" s="139">
        <f>S39/50</f>
        <v>0</v>
      </c>
      <c r="B107" s="139">
        <f>IF(A107=0,0,((A107*50)/$B$53))</f>
        <v>0</v>
      </c>
      <c r="C107" s="449" t="s">
        <v>171</v>
      </c>
      <c r="D107" s="381"/>
      <c r="E107" s="230"/>
      <c r="F107" s="230"/>
      <c r="G107" s="507"/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8" customHeight="1" ht="24">
      <c r="A108" s="139">
        <f>T36/50</f>
        <v>0</v>
      </c>
      <c r="B108" s="139">
        <f>IF(A108=0,0,((A108*50)/$B$53))</f>
        <v>0</v>
      </c>
      <c r="C108" s="449" t="str">
        <f>T3</f>
        <v>ARTESANAL X 1
G</v>
      </c>
      <c r="D108" s="462">
        <v>0.61</v>
      </c>
      <c r="E108" s="186"/>
      <c r="F108" s="186">
        <v>0.39</v>
      </c>
      <c r="G108" s="505"/>
      <c r="X108" s="213"/>
      <c r="Y108" s="213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8" customHeight="1" ht="22.5">
      <c r="A109" s="139">
        <f>T38/50</f>
        <v>0</v>
      </c>
      <c r="B109" s="139">
        <f>IF(A109=0,0,((A109*50)/$B$53))</f>
        <v>0</v>
      </c>
      <c r="C109" s="449" t="str">
        <f>T3</f>
        <v>ARTESANAL X 1
G</v>
      </c>
      <c r="D109" s="462"/>
      <c r="E109" s="186"/>
      <c r="F109" s="186"/>
      <c r="G109" s="505"/>
      <c r="X109" s="213"/>
      <c r="Y109" s="213"/>
      <c r="Z109" s="6"/>
      <c r="AA109" s="6"/>
      <c r="AB109" s="6"/>
      <c r="AC109" s="6"/>
      <c r="AD109" s="6"/>
      <c r="AE109" s="6"/>
      <c r="AH109" s="147"/>
      <c r="AI109" s="147"/>
      <c r="AJ109" s="147"/>
    </row>
    <row r="110" spans="1:58" customHeight="1" ht="16.35">
      <c r="A110" s="139">
        <f>P36/2</f>
        <v>0</v>
      </c>
      <c r="B110" s="139">
        <f>IF(A110=0,0,((A110*50)/$B$53))</f>
        <v>0</v>
      </c>
      <c r="C110" s="379" t="str">
        <f>P3</f>
        <v>H. Manitova </v>
      </c>
      <c r="D110" s="470"/>
      <c r="E110" s="186"/>
      <c r="F110" s="186"/>
      <c r="G110" s="507"/>
      <c r="X110" s="213"/>
      <c r="Y110" s="213"/>
      <c r="Z110" s="6"/>
      <c r="AA110" s="6"/>
      <c r="AB110" s="6"/>
      <c r="AC110" s="6"/>
      <c r="AD110" s="6"/>
      <c r="AE110" s="6"/>
      <c r="AH110" s="147"/>
      <c r="AI110" s="147"/>
      <c r="AJ110" s="147"/>
    </row>
    <row r="111" spans="1:58" customHeight="1" ht="16.35">
      <c r="A111" s="139">
        <f>U36/2</f>
        <v>0</v>
      </c>
      <c r="B111" s="139">
        <f>IF(A111=0,0,((A111*50)/$B$53))</f>
        <v>0</v>
      </c>
      <c r="C111" s="379" t="str">
        <f>U3</f>
        <v>H. espcial x 25
</v>
      </c>
      <c r="D111" s="378"/>
      <c r="E111" s="251">
        <v>0.14</v>
      </c>
      <c r="F111" s="509">
        <v>0.86</v>
      </c>
      <c r="G111" s="510"/>
      <c r="X111" s="213"/>
      <c r="Y111" s="213"/>
      <c r="Z111" s="6"/>
      <c r="AA111" s="6"/>
      <c r="AB111" s="6"/>
      <c r="AC111" s="6"/>
      <c r="AD111" s="6"/>
      <c r="AE111" s="6"/>
      <c r="AH111" s="147"/>
      <c r="AI111" s="147"/>
      <c r="AJ111" s="147"/>
    </row>
    <row r="112" spans="1:58" customHeight="1" ht="16.35">
      <c r="A112" s="139"/>
      <c r="B112" s="139"/>
      <c r="C112" s="216"/>
      <c r="D112" s="4"/>
      <c r="E112" s="4"/>
      <c r="F112" s="4"/>
      <c r="G112" s="464"/>
      <c r="X112" s="213"/>
      <c r="Y112" s="213"/>
      <c r="Z112" s="6"/>
      <c r="AA112" s="6"/>
      <c r="AB112" s="6"/>
      <c r="AC112" s="6"/>
      <c r="AD112" s="6"/>
      <c r="AE112" s="6"/>
      <c r="AH112" s="147"/>
      <c r="AI112" s="147"/>
      <c r="AJ112" s="147"/>
    </row>
    <row r="113" spans="1:58" customHeight="1" ht="16.35">
      <c r="A113" s="139">
        <f>Z42/2</f>
        <v>0</v>
      </c>
      <c r="B113" s="139">
        <f>IF(A113=0,0,((A113*51.6)))</f>
        <v>0</v>
      </c>
      <c r="C113" s="217" t="str">
        <f>A42</f>
        <v>Grano entero</v>
      </c>
      <c r="D113" s="182"/>
      <c r="E113" s="182"/>
      <c r="F113" s="512"/>
      <c r="G113" s="511"/>
      <c r="X113" s="213"/>
      <c r="Y113" s="213"/>
      <c r="Z113" s="6"/>
      <c r="AA113" s="6"/>
      <c r="AB113" s="6"/>
      <c r="AC113" s="6"/>
      <c r="AD113" s="6"/>
      <c r="AE113" s="6"/>
      <c r="AH113" s="147"/>
      <c r="AI113" s="147"/>
      <c r="AJ113" s="147"/>
    </row>
    <row r="114" spans="1:58" customHeight="1" ht="16.35">
      <c r="A114" s="139">
        <f>Z43/2</f>
        <v>0</v>
      </c>
      <c r="B114" s="139">
        <f>IF(A114=0,0,((A114*50)))</f>
        <v>0</v>
      </c>
      <c r="C114" s="379" t="str">
        <f>A43</f>
        <v>Bio Convercion </v>
      </c>
      <c r="D114" s="462"/>
      <c r="E114" s="366"/>
      <c r="F114" s="186"/>
      <c r="G114" s="505"/>
      <c r="X114" s="213"/>
      <c r="Y114" s="213"/>
      <c r="Z114" s="6"/>
      <c r="AA114" s="6"/>
      <c r="AB114" s="6"/>
      <c r="AC114" s="6"/>
      <c r="AD114" s="6"/>
      <c r="AE114" s="6"/>
      <c r="AH114" s="147"/>
      <c r="AI114" s="147"/>
      <c r="AJ114" s="147"/>
    </row>
    <row r="115" spans="1:58" customHeight="1" ht="16.35">
      <c r="A115" s="139">
        <f>Z45/2</f>
        <v>0</v>
      </c>
      <c r="B115" s="139">
        <f>IF(A115=0,0,((A115*50.55)))</f>
        <v>0</v>
      </c>
      <c r="C115" s="380" t="str">
        <f>A45</f>
        <v>Trigo entero </v>
      </c>
      <c r="D115" s="470"/>
      <c r="E115" s="230"/>
      <c r="F115" s="366"/>
      <c r="G115" s="513"/>
      <c r="X115" s="213"/>
      <c r="Y115" s="213"/>
      <c r="Z115" s="6"/>
      <c r="AA115" s="6"/>
      <c r="AB115" s="6"/>
      <c r="AC115" s="6"/>
      <c r="AD115" s="6"/>
      <c r="AE115" s="6"/>
      <c r="AH115" s="147"/>
      <c r="AI115" s="147"/>
      <c r="AJ115" s="147"/>
    </row>
    <row r="116" spans="1:58" customHeight="1" ht="16.35">
      <c r="A116" s="139">
        <f>AA45/2</f>
        <v>0</v>
      </c>
      <c r="B116" s="139">
        <f>IF(A116=0,0,((A116*52)))</f>
        <v>0</v>
      </c>
      <c r="C116" s="380" t="str">
        <f>C115</f>
        <v>Trigo entero </v>
      </c>
      <c r="D116" s="378"/>
      <c r="E116" s="192"/>
      <c r="F116" s="192"/>
      <c r="G116" s="514"/>
      <c r="X116" s="213"/>
      <c r="Y116" s="213"/>
      <c r="Z116" s="6"/>
      <c r="AA116" s="6"/>
      <c r="AB116" s="6"/>
      <c r="AC116" s="6"/>
      <c r="AD116" s="6"/>
      <c r="AE116" s="6"/>
      <c r="AH116" s="147"/>
      <c r="AI116" s="147"/>
      <c r="AJ116" s="147"/>
    </row>
    <row r="117" spans="1:58" customHeight="1" ht="13.5">
      <c r="B117" s="139">
        <f>SUM(B82:B116)</f>
        <v>0</v>
      </c>
      <c r="X117" s="213"/>
      <c r="Y117" s="386"/>
      <c r="Z117" s="6"/>
      <c r="AA117" s="6"/>
      <c r="AB117" s="6"/>
      <c r="AC117" s="6"/>
      <c r="AD117" s="6"/>
      <c r="AE117" s="6"/>
      <c r="AH117" s="147"/>
      <c r="AI117" s="147"/>
      <c r="AJ117" s="147"/>
      <c r="AO117" s="147"/>
      <c r="AP117" s="147"/>
    </row>
    <row r="118" spans="1:58" customHeight="1" ht="12.75">
      <c r="X118" s="213"/>
      <c r="Y118" s="4"/>
      <c r="Z118" s="4"/>
      <c r="AB118" s="384"/>
      <c r="AC118" s="385"/>
      <c r="AD118" s="4"/>
      <c r="AE118" s="213"/>
      <c r="AF118" s="213"/>
      <c r="AG118" s="6"/>
      <c r="AH118" s="6"/>
      <c r="AI118" s="6"/>
      <c r="AJ118" s="6"/>
      <c r="AK118" s="6"/>
      <c r="AL118" s="6"/>
      <c r="AM118" s="6"/>
      <c r="AP118" s="147"/>
      <c r="AQ118" s="147"/>
      <c r="AV118" s="147"/>
      <c r="AW118" s="147"/>
    </row>
    <row r="119" spans="1:58">
      <c r="X119" s="213"/>
      <c r="Y119" s="4"/>
      <c r="Z119" s="4"/>
      <c r="AB119" s="4"/>
      <c r="AE119" s="213"/>
      <c r="AF119" s="473"/>
      <c r="AG119" s="6"/>
      <c r="AH119" s="6"/>
      <c r="AI119" s="6"/>
      <c r="AJ119" s="6"/>
      <c r="AK119" s="6"/>
      <c r="AL119" s="6"/>
      <c r="AM119" s="6"/>
      <c r="AP119" s="147"/>
      <c r="AQ119" s="147"/>
      <c r="AV119" s="147"/>
      <c r="AW119" s="147"/>
    </row>
    <row r="120" spans="1:58">
      <c r="X120" s="213"/>
      <c r="Y120" s="213"/>
      <c r="Z120" s="4"/>
      <c r="AA120" s="4"/>
      <c r="AC120" s="4"/>
      <c r="AF120" s="213"/>
      <c r="AG120" s="213"/>
      <c r="AH120" s="6"/>
      <c r="AI120" s="6"/>
      <c r="AJ120" s="6"/>
      <c r="AK120" s="6"/>
      <c r="AL120" s="6"/>
      <c r="AM120" s="6"/>
      <c r="AN120" s="6"/>
      <c r="AQ120" s="147"/>
      <c r="AR120" s="147"/>
      <c r="AW120" s="147"/>
      <c r="AX120" s="147"/>
    </row>
    <row r="121" spans="1:58">
      <c r="X121" s="213"/>
      <c r="Z121" s="4"/>
      <c r="AA121" s="4"/>
      <c r="AC121" s="4"/>
      <c r="AF121" s="213"/>
      <c r="AG121" s="213"/>
      <c r="AH121" s="6"/>
      <c r="AI121" s="6"/>
      <c r="AJ121" s="6"/>
      <c r="AK121" s="6"/>
      <c r="AL121" s="6"/>
      <c r="AM121" s="6"/>
      <c r="AN121" s="6"/>
      <c r="AQ121" s="147"/>
      <c r="AR121" s="147"/>
      <c r="AW121" s="147"/>
      <c r="AX121" s="147"/>
    </row>
    <row r="122" spans="1:58">
      <c r="N122" s="4"/>
      <c r="X122" s="213"/>
      <c r="AA122" s="4"/>
      <c r="AC122" s="4"/>
      <c r="AF122" s="213"/>
      <c r="AG122" s="213"/>
      <c r="AH122" s="6"/>
      <c r="AI122" s="6"/>
      <c r="AJ122" s="6"/>
      <c r="AK122" s="6"/>
      <c r="AL122" s="6"/>
      <c r="AM122" s="6"/>
      <c r="AN122" s="6"/>
      <c r="AQ122" s="147"/>
      <c r="AR122" s="147"/>
      <c r="AW122" s="147"/>
      <c r="AX122" s="147"/>
    </row>
    <row r="123" spans="1:58">
      <c r="N123" s="4"/>
      <c r="X123" s="213"/>
      <c r="Z123" s="6"/>
      <c r="AA123" s="6"/>
      <c r="AB123" s="6"/>
      <c r="AC123" s="6"/>
      <c r="AD123" s="6"/>
      <c r="AE123" s="6"/>
      <c r="AH123" s="147"/>
      <c r="AI123" s="147"/>
      <c r="AJ123" s="147"/>
      <c r="AO123" s="147"/>
      <c r="AP123" s="147"/>
    </row>
    <row r="124" spans="1:58">
      <c r="N124" s="4"/>
      <c r="X124" s="213"/>
      <c r="Z124" s="6"/>
      <c r="AA124" s="6"/>
      <c r="AB124" s="6"/>
      <c r="AC124" s="6"/>
      <c r="AD124" s="6"/>
      <c r="AE124" s="6"/>
      <c r="AH124" s="147"/>
      <c r="AI124" s="147"/>
      <c r="AJ124" s="147"/>
      <c r="AO124" s="147"/>
      <c r="AP124" s="147"/>
    </row>
    <row r="125" spans="1:58">
      <c r="N125" s="4"/>
      <c r="X125" s="213"/>
      <c r="AD125" s="6"/>
      <c r="AE125" s="6"/>
      <c r="AH125" s="147"/>
      <c r="AI125" s="147"/>
      <c r="AJ125" s="147"/>
      <c r="AO125" s="147"/>
      <c r="AP125" s="147"/>
    </row>
    <row r="126" spans="1:58">
      <c r="N126" s="4"/>
      <c r="X126" s="4"/>
    </row>
    <row r="127" spans="1:58">
      <c r="N127" s="4"/>
      <c r="X127" s="4"/>
    </row>
    <row r="128" spans="1:58">
      <c r="N128" s="4"/>
    </row>
    <row r="129" spans="1:58">
      <c r="N129" s="4"/>
      <c r="W129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57"/>
    <protectedRange name="Repaso y reproceso_2" sqref="V42:W45"/>
    <protectedRange name="Produccion Harinas_2" sqref="C42:U45"/>
    <protectedRange name="Produccion otros productos_2" sqref="X42:AC45"/>
    <protectedRange name="Datos basculas_2" sqref="AW42:BB45"/>
    <protectedRange name="Horas_2" sqref="AN42:AP45"/>
    <protectedRange name="Fecha_2" sqref="B42:B45"/>
    <protectedRange name="Produccion Harinas" sqref="T5:U8 D5:R8 C9:U35"/>
    <protectedRange name="Datos energia" sqref="H544 G55:H56"/>
    <protectedRange name="Formulas trigo" sqref="H87:J98 D93:F93 H82:J85 D112:F116 H102:J116"/>
    <protectedRange name="Produccion otros productos" sqref="X5:Z8 Z4 AC15 X9:AC13 AB16:AC35 X14:AA35 AB14:AC14"/>
    <protectedRange name="Formulas vitamina" sqref="Z75:AB75"/>
    <protectedRange name="Datos basculas" sqref="AW4:BB35"/>
    <protectedRange name="Horas" sqref="AN4:AP35"/>
    <protectedRange name="Datos Nomina" sqref="O56:Q56"/>
    <protectedRange name="Fecha" sqref="B24:B35"/>
    <protectedRange name="Trigos" sqref="D80:E80 H80:M80"/>
    <protectedRange name="Formulas trigo_3" sqref="H99:J99"/>
    <protectedRange name="Formulas trigo_5" sqref="H100:J101"/>
    <protectedRange name="Datos basculas_4_2_1_2" sqref="BD4:BE5 BC4:BC7"/>
    <protectedRange name="Datos energia_2" sqref="G54:H54"/>
    <protectedRange name="Repaso y reproceso_3" sqref="V4:W4"/>
    <protectedRange name="Produccion Harinas_4" sqref="D4:Q4"/>
    <protectedRange name="Produccion otros productos_3" sqref="X4:Y4"/>
    <protectedRange name="Produccion Harinas_3_1" sqref="R4 T4:U4"/>
    <protectedRange name="Formulas trigo_1" sqref="G82:G85 G112:G116 G87:G93 G108:G109"/>
    <protectedRange name="Formulas trigo_1_2_6_1" sqref="G86"/>
    <protectedRange name="Produccion Harinas_3" sqref="C4:C8"/>
    <protectedRange name="Produccion Harinas_6" sqref="S4:S8"/>
    <protectedRange name="Produccion otros productos_4" sqref="AA4:AC8"/>
    <protectedRange name="Datos energia_1" sqref="G53:H53"/>
    <protectedRange name="Fecha_1" sqref="B4:B23"/>
    <protectedRange name="Formulas trigo_2" sqref="F82:F85 D87:F92 D108:F109"/>
    <protectedRange name="Formulas trigo_1_3_1" sqref="D82:D85"/>
    <protectedRange name="Formulas trigo_1_8_1" sqref="E86"/>
    <protectedRange name="Formulas trigo_1_2_6_2" sqref="F86"/>
    <protectedRange name="Formulas trigo_4" sqref="D102:F107 D96:F97 D110:F111"/>
    <protectedRange name="Formulas trigo_1_4_1" sqref="E99"/>
    <protectedRange name="Formulas trigo_1_2_2_2" sqref="F99"/>
    <protectedRange name="Formulas trigo_1_3_2_1" sqref="D99"/>
    <protectedRange name="Formulas trigo_1_6_1" sqref="E100:E101"/>
    <protectedRange name="Formulas trigo_1_2_4_2" sqref="F100:F101"/>
    <protectedRange name="Formulas trigo_1_3_4_1" sqref="D100:D101"/>
    <protectedRange name="Formulas trigo_1_1" sqref="G94:G101 G104:G107 G110:G111"/>
    <protectedRange name="Formulas trigo_1_2_2_1_1" sqref="G102"/>
    <protectedRange name="Formulas trigo_1_2_4_1_1" sqref="G103"/>
    <protectedRange name="Formulas trigo_2_1" sqref="D98:F98"/>
    <protectedRange name="Formulas trigo_4_1" sqref="D94:F95"/>
  </protectedRanges>
  <mergeCells>
    <mergeCell ref="B1:W1"/>
    <mergeCell ref="AH1:AM1"/>
    <mergeCell ref="AN1:AX1"/>
    <mergeCell ref="B2:Q2"/>
    <mergeCell ref="R2:T2"/>
    <mergeCell ref="V2:W2"/>
    <mergeCell ref="X2:Z2"/>
    <mergeCell ref="AA2:AC2"/>
    <mergeCell ref="AF2:AM2"/>
    <mergeCell ref="AN2:AP2"/>
    <mergeCell ref="AE48:AF48"/>
    <mergeCell ref="AQ2:AU2"/>
    <mergeCell ref="AW2:BF2"/>
    <mergeCell ref="AW4:AW33"/>
    <mergeCell ref="AX4:AX33"/>
    <mergeCell ref="AY4:AY33"/>
    <mergeCell ref="AZ4:AZ33"/>
    <mergeCell ref="BA4:BA33"/>
    <mergeCell ref="BB4:BB33"/>
    <mergeCell ref="BC4:BC33"/>
    <mergeCell ref="BD4:BD33"/>
    <mergeCell ref="BE4:BE33"/>
    <mergeCell ref="BF4:BF33"/>
    <mergeCell ref="AD38:AE38"/>
    <mergeCell ref="AE39:AF39"/>
    <mergeCell ref="AD47:AE47"/>
    <mergeCell ref="R49:U49"/>
    <mergeCell ref="F50:G50"/>
    <mergeCell ref="K50:L50"/>
    <mergeCell ref="O50:P50"/>
    <mergeCell ref="S50:T50"/>
    <mergeCell ref="A49:B49"/>
    <mergeCell ref="C49:C50"/>
    <mergeCell ref="F49:H49"/>
    <mergeCell ref="K49:M49"/>
    <mergeCell ref="O49:Q49"/>
    <mergeCell ref="V50:W50"/>
    <mergeCell ref="F51:G51"/>
    <mergeCell ref="K51:L51"/>
    <mergeCell ref="O51:P51"/>
    <mergeCell ref="S51:T51"/>
    <mergeCell ref="V51:W51"/>
    <mergeCell ref="G53:H53"/>
    <mergeCell ref="K53:L53"/>
    <mergeCell ref="O53:P53"/>
    <mergeCell ref="S53:T53"/>
    <mergeCell ref="V53:W53"/>
    <mergeCell ref="F52:G52"/>
    <mergeCell ref="K52:L52"/>
    <mergeCell ref="O52:P52"/>
    <mergeCell ref="S52:T52"/>
    <mergeCell ref="V52:W52"/>
    <mergeCell ref="G55:H55"/>
    <mergeCell ref="K55:L55"/>
    <mergeCell ref="O55:P55"/>
    <mergeCell ref="S55:T55"/>
    <mergeCell ref="V55:W55"/>
    <mergeCell ref="G54:I54"/>
    <mergeCell ref="K54:L54"/>
    <mergeCell ref="O54:P54"/>
    <mergeCell ref="S54:T54"/>
    <mergeCell ref="V54:W54"/>
    <mergeCell ref="F65:H65"/>
    <mergeCell ref="U65:V65"/>
    <mergeCell ref="G56:H56"/>
    <mergeCell ref="F57:G57"/>
    <mergeCell ref="K57:O57"/>
    <mergeCell ref="G60:H60"/>
    <mergeCell ref="T60:V60"/>
    <mergeCell ref="U61:V61"/>
    <mergeCell ref="F62:H62"/>
    <mergeCell ref="K62:O62"/>
    <mergeCell ref="U62:V62"/>
    <mergeCell ref="F63:G63"/>
    <mergeCell ref="T64:V64"/>
    <mergeCell ref="F70:G70"/>
    <mergeCell ref="V71:V72"/>
    <mergeCell ref="F66:G66"/>
    <mergeCell ref="U66:V66"/>
    <mergeCell ref="U67:V67"/>
    <mergeCell ref="G68:H68"/>
    <mergeCell ref="U68:V68"/>
    <mergeCell ref="G69:H69"/>
    <mergeCell ref="M69:O69"/>
  </mergeCells>
  <conditionalFormatting sqref="I55">
    <cfRule type="cellIs" dxfId="0" priority="4" operator="lessThan" stopIfTrue="1">
      <formula>0.935</formula>
    </cfRule>
  </conditionalFormatting>
  <conditionalFormatting sqref="AF3">
    <cfRule type="cellIs" dxfId="1" priority="3" operator="lessThan" stopIfTrue="1">
      <formula>0.76</formula>
    </cfRule>
  </conditionalFormatting>
  <conditionalFormatting sqref="AF4:AF35">
    <cfRule type="cellIs" dxfId="2" priority="5" operator="lessThan" stopIfTrue="1">
      <formula>0.765</formula>
    </cfRule>
  </conditionalFormatting>
  <conditionalFormatting sqref="AF36 AE76:AE77 AE79:AE91 Z92:AC117 AG118:AI119 AK118:AK119 AH120:AI122 AK120:AL122 Z123:AC124">
    <cfRule type="cellIs" dxfId="1" priority="6" operator="lessThan" stopIfTrue="1">
      <formula>0.76</formula>
    </cfRule>
  </conditionalFormatting>
  <conditionalFormatting sqref="AF42:AF45">
    <cfRule type="cellIs" dxfId="2" priority="1" operator="lessThan" stopIfTrue="1">
      <formula>0.765</formula>
    </cfRule>
  </conditionalFormatting>
  <conditionalFormatting sqref="AH1:AI1 AJ118:AJ122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  <legacyDrawing r:id="rId_comments_vml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29"/>
  <sheetViews>
    <sheetView tabSelected="0" workbookViewId="0" showGridLines="true" showRowColHeaders="1">
      <selection activeCell="A1" sqref="A1"/>
    </sheetView>
  </sheetViews>
  <sheetFormatPr defaultRowHeight="14.4" defaultColWidth="14.42578125" outlineLevelRow="0" outlineLevelCol="0"/>
  <cols>
    <col min="1" max="1" width="11.5703125" customWidth="true" style="1"/>
    <col min="2" max="2" width="16.5703125" customWidth="true" style="1"/>
    <col min="3" max="3" width="13.42578125" customWidth="true" style="1"/>
    <col min="4" max="4" width="10.570312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3.42578125" customWidth="true" style="1"/>
    <col min="10" max="10" width="12.28515625" customWidth="true" style="1"/>
    <col min="11" max="11" width="11.42578125" customWidth="true" style="1"/>
    <col min="12" max="12" width="10.7109375" customWidth="true" style="1"/>
    <col min="13" max="13" width="8.28515625" customWidth="true" style="1"/>
    <col min="14" max="14" width="12.28515625" customWidth="true" style="1"/>
    <col min="15" max="15" width="12" customWidth="true" style="1"/>
    <col min="16" max="16" width="12" customWidth="true" style="1"/>
    <col min="17" max="17" width="10.28515625" customWidth="true" style="1"/>
    <col min="18" max="18" width="13.42578125" customWidth="true" style="1"/>
    <col min="19" max="19" width="10.5703125" customWidth="true" style="1"/>
    <col min="20" max="20" width="12.28515625" customWidth="true" style="1"/>
    <col min="21" max="21" width="11.42578125" customWidth="true" style="1"/>
    <col min="22" max="22" width="8.28515625" customWidth="true" style="1"/>
    <col min="23" max="23" width="10.28515625" customWidth="true" style="1"/>
    <col min="24" max="24" width="13.42578125" customWidth="true" style="1"/>
    <col min="25" max="25" width="9.42578125" customWidth="true" style="1"/>
    <col min="26" max="26" width="7.5703125" customWidth="true" style="1"/>
    <col min="27" max="27" width="9.5703125" customWidth="true" style="1"/>
    <col min="28" max="28" width="9.5703125" customWidth="true" style="1"/>
    <col min="29" max="29" width="11.7109375" customWidth="true" style="1"/>
    <col min="30" max="30" width="10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0.5703125" customWidth="true" style="1"/>
    <col min="51" max="51" width="11.42578125" customWidth="true" style="1"/>
    <col min="52" max="52" width="8.28515625" customWidth="true" style="1"/>
    <col min="53" max="53" width="12" customWidth="true" style="1"/>
    <col min="54" max="54" width="12" customWidth="true" style="1"/>
    <col min="55" max="55" width="12" customWidth="true" style="1"/>
    <col min="56" max="56" width="14.42578125" style="1"/>
  </cols>
  <sheetData>
    <row r="1" spans="1:58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8" customHeight="1" ht="18.75">
      <c r="B2" s="701" t="s">
        <v>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2"/>
      <c r="Q2" s="703"/>
      <c r="R2" s="704" t="s">
        <v>4</v>
      </c>
      <c r="S2" s="705"/>
      <c r="T2" s="706"/>
      <c r="U2" s="416" t="s">
        <v>5</v>
      </c>
      <c r="V2" s="704" t="s">
        <v>6</v>
      </c>
      <c r="W2" s="707"/>
      <c r="X2" s="708" t="s">
        <v>7</v>
      </c>
      <c r="Y2" s="708"/>
      <c r="Z2" s="708"/>
      <c r="AA2" s="709" t="s">
        <v>8</v>
      </c>
      <c r="AB2" s="709"/>
      <c r="AC2" s="709"/>
      <c r="AD2" s="6"/>
      <c r="AE2" s="6"/>
      <c r="AF2" s="710" t="s">
        <v>9</v>
      </c>
      <c r="AG2" s="710"/>
      <c r="AH2" s="710"/>
      <c r="AI2" s="710"/>
      <c r="AJ2" s="710"/>
      <c r="AK2" s="710"/>
      <c r="AL2" s="710"/>
      <c r="AM2" s="710"/>
      <c r="AN2" s="711" t="s">
        <v>10</v>
      </c>
      <c r="AO2" s="711"/>
      <c r="AP2" s="711"/>
      <c r="AQ2" s="712" t="s">
        <v>11</v>
      </c>
      <c r="AR2" s="712"/>
      <c r="AS2" s="712"/>
      <c r="AT2" s="712"/>
      <c r="AU2" s="712"/>
      <c r="AV2" s="471" t="s">
        <v>12</v>
      </c>
      <c r="AW2" s="712" t="s">
        <v>13</v>
      </c>
      <c r="AX2" s="712"/>
      <c r="AY2" s="712"/>
      <c r="AZ2" s="712"/>
      <c r="BA2" s="712"/>
      <c r="BB2" s="712"/>
      <c r="BC2" s="712"/>
      <c r="BD2" s="712"/>
      <c r="BE2" s="712"/>
      <c r="BF2" s="712"/>
    </row>
    <row r="3" spans="1:58" customHeight="1" ht="53.25" s="40" customFormat="1">
      <c r="A3" s="8" t="s">
        <v>14</v>
      </c>
      <c r="B3" s="333" t="s">
        <v>15</v>
      </c>
      <c r="C3" s="566" t="s">
        <v>16</v>
      </c>
      <c r="D3" s="567" t="s">
        <v>17</v>
      </c>
      <c r="E3" s="549" t="s">
        <v>18</v>
      </c>
      <c r="F3" s="550" t="s">
        <v>19</v>
      </c>
      <c r="G3" s="551" t="s">
        <v>20</v>
      </c>
      <c r="H3" s="552" t="s">
        <v>21</v>
      </c>
      <c r="I3" s="553" t="s">
        <v>22</v>
      </c>
      <c r="J3" s="553" t="s">
        <v>23</v>
      </c>
      <c r="K3" s="554" t="s">
        <v>24</v>
      </c>
      <c r="L3" s="554" t="s">
        <v>25</v>
      </c>
      <c r="M3" s="555" t="s">
        <v>26</v>
      </c>
      <c r="N3" s="553" t="s">
        <v>27</v>
      </c>
      <c r="O3" s="553" t="s">
        <v>28</v>
      </c>
      <c r="P3" s="556" t="s">
        <v>29</v>
      </c>
      <c r="Q3" s="557" t="s">
        <v>30</v>
      </c>
      <c r="R3" s="409" t="s">
        <v>31</v>
      </c>
      <c r="S3" s="284" t="s">
        <v>32</v>
      </c>
      <c r="T3" s="559" t="s">
        <v>33</v>
      </c>
      <c r="U3" s="558" t="s">
        <v>34</v>
      </c>
      <c r="V3" s="405" t="s">
        <v>35</v>
      </c>
      <c r="W3" s="562" t="s">
        <v>36</v>
      </c>
      <c r="X3" s="560" t="s">
        <v>37</v>
      </c>
      <c r="Y3" s="561" t="s">
        <v>38</v>
      </c>
      <c r="Z3" s="565" t="s">
        <v>39</v>
      </c>
      <c r="AA3" s="563" t="s">
        <v>40</v>
      </c>
      <c r="AB3" s="334" t="s">
        <v>41</v>
      </c>
      <c r="AC3" s="564" t="s">
        <v>42</v>
      </c>
      <c r="AD3" s="27" t="s">
        <v>43</v>
      </c>
      <c r="AE3" s="27" t="s">
        <v>44</v>
      </c>
      <c r="AF3" s="335" t="s">
        <v>45</v>
      </c>
      <c r="AG3" s="336" t="s">
        <v>46</v>
      </c>
      <c r="AH3" s="337" t="str">
        <f>X3</f>
        <v>Germen 
25</v>
      </c>
      <c r="AI3" s="338" t="s">
        <v>47</v>
      </c>
      <c r="AJ3" s="337" t="str">
        <f>AA3</f>
        <v>Salvado 
25</v>
      </c>
      <c r="AK3" s="339" t="str">
        <f>AB3</f>
        <v>Mogolla 
40</v>
      </c>
      <c r="AL3" s="339" t="str">
        <f>AC3</f>
        <v>Segunda  
50</v>
      </c>
      <c r="AM3" s="340" t="str">
        <f>B3</f>
        <v>Fecha</v>
      </c>
      <c r="AN3" s="341" t="s">
        <v>48</v>
      </c>
      <c r="AO3" s="342" t="s">
        <v>49</v>
      </c>
      <c r="AP3" s="342" t="s">
        <v>50</v>
      </c>
      <c r="AQ3" s="343" t="s">
        <v>51</v>
      </c>
      <c r="AR3" s="344" t="s">
        <v>52</v>
      </c>
      <c r="AS3" s="344" t="s">
        <v>53</v>
      </c>
      <c r="AT3" s="344" t="s">
        <v>54</v>
      </c>
      <c r="AU3" s="344" t="s">
        <v>55</v>
      </c>
      <c r="AV3" s="343" t="s">
        <v>56</v>
      </c>
      <c r="AW3" s="345" t="s">
        <v>57</v>
      </c>
      <c r="AX3" s="345" t="s">
        <v>58</v>
      </c>
      <c r="AY3" s="345" t="s">
        <v>59</v>
      </c>
      <c r="AZ3" s="345" t="s">
        <v>60</v>
      </c>
      <c r="BA3" s="346" t="s">
        <v>61</v>
      </c>
      <c r="BB3" s="346" t="s">
        <v>62</v>
      </c>
      <c r="BC3" s="347" t="s">
        <v>63</v>
      </c>
      <c r="BD3" s="345" t="s">
        <v>64</v>
      </c>
      <c r="BE3" s="348" t="s">
        <v>65</v>
      </c>
      <c r="BF3" s="349" t="s">
        <v>66</v>
      </c>
    </row>
    <row r="4" spans="1:58" customHeight="1" ht="13.9">
      <c r="A4" s="485" t="str">
        <f>IF(B4="","",1)</f>
        <v/>
      </c>
      <c r="B4" s="42"/>
      <c r="C4" s="43"/>
      <c r="D4" s="526"/>
      <c r="E4" s="527"/>
      <c r="F4" s="241"/>
      <c r="G4" s="528"/>
      <c r="H4" s="44"/>
      <c r="I4" s="48"/>
      <c r="J4" s="48"/>
      <c r="K4" s="44"/>
      <c r="L4" s="493"/>
      <c r="M4" s="493"/>
      <c r="N4" s="244"/>
      <c r="O4" s="244"/>
      <c r="P4" s="465"/>
      <c r="Q4" s="529"/>
      <c r="R4" s="497"/>
      <c r="S4" s="275"/>
      <c r="T4" s="241"/>
      <c r="U4" s="450"/>
      <c r="V4" s="406"/>
      <c r="W4" s="241"/>
      <c r="X4" s="451"/>
      <c r="Y4" s="52"/>
      <c r="Z4" s="530"/>
      <c r="AA4" s="280"/>
      <c r="AB4" s="53"/>
      <c r="AC4" s="54"/>
      <c r="AD4" s="55" t="str">
        <f>IF(B4="","",(((C4+F4+H4+K4+Q4+N4+O4)*50))+((E4*10))+(((I4+J4+D4+G4+L4+M4+U4)*25)+(X4*25)+(Y4*25)+(Z4*25)+(AA4*25)+(AB4*40)+(AC4*50)+(R4*1)+(S4*1)+(T4*1)))</f>
        <v/>
      </c>
      <c r="AE4" s="55" t="str">
        <f>IF(B4="","",C4+F4+H4+K4+Q4+N4+O4+((I4+J4+D4+G4)/2)+(R4/50)+(S4/50)+(T4/50)+(U4/2)+(E4/5))</f>
        <v/>
      </c>
      <c r="AF4" s="56" t="str">
        <f>IF(B4="","",((AE4*50)/AD4))</f>
        <v/>
      </c>
      <c r="AG4" s="57" t="str">
        <f>IF(C4="","",((Z4)*25)/AD4)</f>
        <v/>
      </c>
      <c r="AH4" s="57" t="str">
        <f>IF(B4="","",(X4*25)/AD4)</f>
        <v/>
      </c>
      <c r="AI4" s="57" t="str">
        <f>IF(B4="","",(Y4*25)/AD4)</f>
        <v/>
      </c>
      <c r="AJ4" s="57" t="str">
        <f>IF(B4="","",(AA4*25)/AD4)</f>
        <v/>
      </c>
      <c r="AK4" s="58" t="str">
        <f>IF(B4="","",(AB4*40)/AD4)</f>
        <v/>
      </c>
      <c r="AL4" s="58" t="str">
        <f>IF(B4="","",(AC4*50)/AD4)</f>
        <v/>
      </c>
      <c r="AM4" s="59" t="str">
        <f>IF(B4="","",B4)</f>
        <v/>
      </c>
      <c r="AN4" s="235"/>
      <c r="AO4" s="61"/>
      <c r="AP4" s="236"/>
      <c r="AQ4" s="63" t="str">
        <f>IF(AN4="","",AN4/AO4)</f>
        <v/>
      </c>
      <c r="AR4" s="64" t="str">
        <f>IF(AN4="","",(AD4/AN4)/1000)</f>
        <v/>
      </c>
      <c r="AS4" s="64" t="str">
        <f>IF(AN4="","",AR4*24)</f>
        <v/>
      </c>
      <c r="AT4" s="65" t="str">
        <f>IF(AN4="","",(AD4/1000)*100%/AS4)</f>
        <v/>
      </c>
      <c r="AU4" s="64" t="str">
        <f>IF(AN4="","",(AE4/AN4))</f>
        <v/>
      </c>
      <c r="AV4" s="229" t="str">
        <f>IF(AN4="","",(AD4/AO4)/1000)</f>
        <v/>
      </c>
      <c r="AW4" s="713"/>
      <c r="AX4" s="713"/>
      <c r="AY4" s="713"/>
      <c r="AZ4" s="722"/>
      <c r="BA4" s="713"/>
      <c r="BB4" s="724"/>
      <c r="BC4" s="726"/>
      <c r="BD4" s="726"/>
      <c r="BE4" s="726"/>
      <c r="BF4" s="728"/>
    </row>
    <row r="5" spans="1:58" customHeight="1" ht="13.9">
      <c r="A5" s="485" t="str">
        <f>IF(B5="","",2)</f>
        <v/>
      </c>
      <c r="B5" s="68"/>
      <c r="C5" s="69"/>
      <c r="D5" s="70"/>
      <c r="E5" s="76"/>
      <c r="F5" s="70"/>
      <c r="G5" s="76"/>
      <c r="H5" s="70"/>
      <c r="I5" s="75"/>
      <c r="J5" s="75"/>
      <c r="K5" s="70"/>
      <c r="L5" s="494"/>
      <c r="M5" s="494"/>
      <c r="N5" s="76"/>
      <c r="O5" s="248"/>
      <c r="P5" s="466"/>
      <c r="Q5" s="412"/>
      <c r="R5" s="410"/>
      <c r="S5" s="277"/>
      <c r="T5" s="401"/>
      <c r="U5" s="407"/>
      <c r="V5" s="249"/>
      <c r="W5" s="401"/>
      <c r="X5" s="278"/>
      <c r="Y5" s="78"/>
      <c r="Z5" s="403"/>
      <c r="AA5" s="281"/>
      <c r="AB5" s="79"/>
      <c r="AC5" s="80"/>
      <c r="AD5" s="55" t="str">
        <f>IF(B5="","",(((C5+F5+H5+K5+Q5+N5+O5)*50))+((E5*10))+(((I5+J5+D5+G5+L5+M5+U5)*25)+(X5*25)+(Y5*25)+(Z5*25)+(AA5*25)+(AB5*40)+(AC5*50)+(R5*1)+(S5*1)+(T5*1)))</f>
        <v/>
      </c>
      <c r="AE5" s="55" t="str">
        <f>IF(B5="","",C5+F5+H5+K5+Q5+N5+O5+((I5+J5+D5+G5+U5)/2)+(R5/50)+(S5/50)+(T5/50)+(E5/5))</f>
        <v/>
      </c>
      <c r="AF5" s="56" t="str">
        <f>IF(B5="","",((AE5*50)/AD5))</f>
        <v/>
      </c>
      <c r="AG5" s="57" t="str">
        <f>IF(C5="","",((Z5)*25)/AD5)</f>
        <v/>
      </c>
      <c r="AH5" s="57" t="str">
        <f>IF(B5="","",(X5*25)/AD5)</f>
        <v/>
      </c>
      <c r="AI5" s="57" t="str">
        <f>IF(B5="","",(Y5*25)/AD5)</f>
        <v/>
      </c>
      <c r="AJ5" s="57" t="str">
        <f>IF(B5="","",(AA5*25)/AD5)</f>
        <v/>
      </c>
      <c r="AK5" s="58" t="str">
        <f>IF(B5="","",(AB5*40)/AD5)</f>
        <v/>
      </c>
      <c r="AL5" s="58" t="str">
        <f>IF(B5="","",(AC5*50)/AD5)</f>
        <v/>
      </c>
      <c r="AM5" s="59" t="str">
        <f>IF(B5="","",B5)</f>
        <v/>
      </c>
      <c r="AN5" s="233"/>
      <c r="AO5" s="82"/>
      <c r="AP5" s="234"/>
      <c r="AQ5" s="63" t="str">
        <f>IF(AN5="","",AN5/AO5)</f>
        <v/>
      </c>
      <c r="AR5" s="64" t="str">
        <f>IF(AN5="","",(AD5/AN5)/1000)</f>
        <v/>
      </c>
      <c r="AS5" s="64" t="str">
        <f>IF(AN5="","",AR5*24)</f>
        <v/>
      </c>
      <c r="AT5" s="65" t="str">
        <f>IF(AN5="","",(AD5/1000)*100%/AS5)</f>
        <v/>
      </c>
      <c r="AU5" s="64" t="str">
        <f>IF(AN5="","",(AE5/AN5))</f>
        <v/>
      </c>
      <c r="AV5" s="229" t="str">
        <f>IF(AN5="","",(AD5/AO5)/1000)</f>
        <v/>
      </c>
      <c r="AW5" s="714"/>
      <c r="AX5" s="714"/>
      <c r="AY5" s="714"/>
      <c r="AZ5" s="723"/>
      <c r="BA5" s="714"/>
      <c r="BB5" s="725"/>
      <c r="BC5" s="727"/>
      <c r="BD5" s="727"/>
      <c r="BE5" s="727"/>
      <c r="BF5" s="729"/>
    </row>
    <row r="6" spans="1:58" customHeight="1" ht="13.9">
      <c r="A6" s="485" t="str">
        <f>IF(B6="","",3)</f>
        <v/>
      </c>
      <c r="B6" s="68"/>
      <c r="C6" s="69"/>
      <c r="D6" s="70"/>
      <c r="E6" s="76"/>
      <c r="F6" s="70"/>
      <c r="G6" s="76"/>
      <c r="H6" s="70"/>
      <c r="I6" s="491"/>
      <c r="J6" s="491"/>
      <c r="K6" s="70"/>
      <c r="L6" s="494"/>
      <c r="M6" s="494"/>
      <c r="N6" s="76"/>
      <c r="O6" s="76"/>
      <c r="P6" s="467"/>
      <c r="Q6" s="412"/>
      <c r="R6" s="410"/>
      <c r="S6" s="276"/>
      <c r="T6" s="401"/>
      <c r="U6" s="407"/>
      <c r="V6" s="249"/>
      <c r="W6" s="401"/>
      <c r="X6" s="278"/>
      <c r="Y6" s="78"/>
      <c r="Z6" s="403"/>
      <c r="AA6" s="281"/>
      <c r="AB6" s="79"/>
      <c r="AC6" s="85"/>
      <c r="AD6" s="55" t="str">
        <f>IF(B6="","",(((C6+F6+H6+K6+Q6+N6+O6)*50))+((E6*10))+(((I6+J6+D6+G6+L6+M6+U6)*25)+(X6*25)+(Y6*25)+(Z6*25)+(AA6*25)+(AB6*40)+(AC6*50)+(R6*1)+(S6*1)+(T6*1)))</f>
        <v/>
      </c>
      <c r="AE6" s="55" t="str">
        <f>IF(B6="","",C6+F6+H6+K6+Q6+N6+O6+((I6+J6+D6+G6+U6)/2)+(R6/50)+(S6/50)+(T6/50)+(E6/5))</f>
        <v/>
      </c>
      <c r="AF6" s="56" t="str">
        <f>IF(B6="","",((AE6*50)/AD6))</f>
        <v/>
      </c>
      <c r="AG6" s="57" t="str">
        <f>IF(C6="","",((Z6)*25)/AD6)</f>
        <v/>
      </c>
      <c r="AH6" s="57" t="str">
        <f>IF(B6="","",(X6*25)/AD6)</f>
        <v/>
      </c>
      <c r="AI6" s="57" t="str">
        <f>IF(B6="","",(Y6*25)/AD6)</f>
        <v/>
      </c>
      <c r="AJ6" s="57" t="str">
        <f>IF(B6="","",(AA6*25)/AD6)</f>
        <v/>
      </c>
      <c r="AK6" s="58" t="str">
        <f>IF(B6="","",(AB6*40)/AD6)</f>
        <v/>
      </c>
      <c r="AL6" s="58" t="str">
        <f>IF(B6="","",(AC6*50)/AD6)</f>
        <v/>
      </c>
      <c r="AM6" s="59" t="str">
        <f>IF(B6="","",B6)</f>
        <v/>
      </c>
      <c r="AN6" s="233"/>
      <c r="AO6" s="82"/>
      <c r="AP6" s="234"/>
      <c r="AQ6" s="63" t="str">
        <f>IF(AN6="","",AN6/AO6)</f>
        <v/>
      </c>
      <c r="AR6" s="64" t="str">
        <f>IF(AN6="","",(AD6/AN6)/1000)</f>
        <v/>
      </c>
      <c r="AS6" s="64" t="str">
        <f>IF(AN6="","",AR6*24)</f>
        <v/>
      </c>
      <c r="AT6" s="65" t="str">
        <f>IF(AN6="","",(AD6/1000)*100%/AS6)</f>
        <v/>
      </c>
      <c r="AU6" s="64" t="str">
        <f>IF(AN6="","",(AE6/AN6))</f>
        <v/>
      </c>
      <c r="AV6" s="229" t="str">
        <f>IF(AN6="","",(AD6/AO6)/1000)</f>
        <v/>
      </c>
      <c r="AW6" s="714"/>
      <c r="AX6" s="714"/>
      <c r="AY6" s="714"/>
      <c r="AZ6" s="723"/>
      <c r="BA6" s="714"/>
      <c r="BB6" s="725"/>
      <c r="BC6" s="727"/>
      <c r="BD6" s="727"/>
      <c r="BE6" s="727"/>
      <c r="BF6" s="729"/>
    </row>
    <row r="7" spans="1:58" customHeight="1" ht="13.9">
      <c r="A7" s="485" t="str">
        <f>IF(B7="","",4)</f>
        <v/>
      </c>
      <c r="B7" s="68"/>
      <c r="C7" s="69"/>
      <c r="D7" s="70"/>
      <c r="E7" s="76"/>
      <c r="F7" s="70"/>
      <c r="G7" s="76"/>
      <c r="H7" s="70"/>
      <c r="I7" s="414"/>
      <c r="J7" s="414"/>
      <c r="K7" s="70"/>
      <c r="L7" s="494"/>
      <c r="M7" s="494"/>
      <c r="N7" s="76"/>
      <c r="O7" s="76"/>
      <c r="P7" s="467"/>
      <c r="Q7" s="412"/>
      <c r="R7" s="410"/>
      <c r="S7" s="274"/>
      <c r="T7" s="401"/>
      <c r="U7" s="407"/>
      <c r="V7" s="249"/>
      <c r="W7" s="401"/>
      <c r="X7" s="278"/>
      <c r="Y7" s="78"/>
      <c r="Z7" s="403"/>
      <c r="AA7" s="281"/>
      <c r="AB7" s="79"/>
      <c r="AC7" s="85"/>
      <c r="AD7" s="55" t="str">
        <f>IF(B7="","",(((C7+F7+H7+K7+Q7+N7+O7)*50))+((E7*10))+(((I7+J7+D7+G7+L7+M7+U7)*25)+(X7*25)+(Y7*25)+(Z7*25)+(AA7*25)+(AB7*40)+(AC7*50)+(R7*1)+(S7*1)+(T7*1)))</f>
        <v/>
      </c>
      <c r="AE7" s="55" t="str">
        <f>IF(B7="","",C7+F7+H7+K7+Q7+N7+O7+((I7+J7+D7+G7+U7)/2)+(R7/50)+(S7/50)+(T7/50)+(E7/5))</f>
        <v/>
      </c>
      <c r="AF7" s="56" t="str">
        <f>IF(B7="","",((AE7*50)/AD7))</f>
        <v/>
      </c>
      <c r="AG7" s="57" t="str">
        <f>IF(C7="","",((Z7)*25)/AD7)</f>
        <v/>
      </c>
      <c r="AH7" s="57" t="str">
        <f>IF(B7="","",(X7*25)/AD7)</f>
        <v/>
      </c>
      <c r="AI7" s="57" t="str">
        <f>IF(B7="","",(Y7*25)/AD7)</f>
        <v/>
      </c>
      <c r="AJ7" s="57" t="str">
        <f>IF(B7="","",(AA7*25)/AD7)</f>
        <v/>
      </c>
      <c r="AK7" s="58" t="str">
        <f>IF(B7="","",(AB7*40)/AD7)</f>
        <v/>
      </c>
      <c r="AL7" s="58" t="str">
        <f>IF(B7="","",(AC7*50)/AD7)</f>
        <v/>
      </c>
      <c r="AM7" s="59" t="str">
        <f>IF(B7="","",B7)</f>
        <v/>
      </c>
      <c r="AN7" s="233"/>
      <c r="AO7" s="82"/>
      <c r="AP7" s="234"/>
      <c r="AQ7" s="63" t="str">
        <f>IF(AN7="","",AN7/AO7)</f>
        <v/>
      </c>
      <c r="AR7" s="64" t="str">
        <f>IF(AN7="","",(AD7/AN7)/1000)</f>
        <v/>
      </c>
      <c r="AS7" s="64" t="str">
        <f>IF(AN7="","",AR7*24)</f>
        <v/>
      </c>
      <c r="AT7" s="65" t="str">
        <f>IF(AN7="","",(AD7/1000)*100%/AS7)</f>
        <v/>
      </c>
      <c r="AU7" s="64" t="str">
        <f>IF(AN7="","",(AE7/AN7))</f>
        <v/>
      </c>
      <c r="AV7" s="229" t="str">
        <f>IF(AN7="","",(AD7/AO7)/1000)</f>
        <v/>
      </c>
      <c r="AW7" s="714"/>
      <c r="AX7" s="714"/>
      <c r="AY7" s="714"/>
      <c r="AZ7" s="723"/>
      <c r="BA7" s="714"/>
      <c r="BB7" s="725"/>
      <c r="BC7" s="727"/>
      <c r="BD7" s="727"/>
      <c r="BE7" s="727"/>
      <c r="BF7" s="729"/>
    </row>
    <row r="8" spans="1:58" customHeight="1" ht="13.9">
      <c r="A8" s="485" t="str">
        <f>IF(B8="","",5)</f>
        <v/>
      </c>
      <c r="B8" s="68"/>
      <c r="C8" s="69"/>
      <c r="D8" s="70"/>
      <c r="E8" s="76"/>
      <c r="F8" s="70"/>
      <c r="G8" s="76"/>
      <c r="H8" s="70"/>
      <c r="I8" s="491"/>
      <c r="J8" s="491"/>
      <c r="K8" s="70"/>
      <c r="L8" s="494"/>
      <c r="M8" s="494"/>
      <c r="N8" s="76"/>
      <c r="O8" s="76"/>
      <c r="P8" s="467"/>
      <c r="Q8" s="412"/>
      <c r="R8" s="422"/>
      <c r="S8" s="274"/>
      <c r="T8" s="401"/>
      <c r="U8" s="407"/>
      <c r="V8" s="249"/>
      <c r="W8" s="401"/>
      <c r="X8" s="278"/>
      <c r="Y8" s="78"/>
      <c r="Z8" s="403"/>
      <c r="AA8" s="281"/>
      <c r="AB8" s="79"/>
      <c r="AC8" s="85"/>
      <c r="AD8" s="55" t="str">
        <f>IF(B8="","",(((C8+F8+H8+K8+Q8+N8+O8)*50))+((E8*10))+(((I8+J8+D8+G8+L8+M8+U8)*25)+(X8*25)+(Y8*25)+(Z8*25)+(AA8*25)+(AB8*40)+(AC8*50)+(R8*1)+(S8*1)+(T8*1)))</f>
        <v/>
      </c>
      <c r="AE8" s="55" t="str">
        <f>IF(B8="","",C8+F8+H8+K8+Q8+N8+O8+((I8+J8+D8+G8+U8)/2)+(R8/50)+(S8/50)+(T8/50)+(E8/5))</f>
        <v/>
      </c>
      <c r="AF8" s="56" t="str">
        <f>IF(B8="","",((AE8*50)/AD8))</f>
        <v/>
      </c>
      <c r="AG8" s="252" t="str">
        <f>IF(C8="","",((Z8)*25)/AD8)</f>
        <v/>
      </c>
      <c r="AH8" s="57" t="str">
        <f>IF(B8="","",(X8*25)/AD8)</f>
        <v/>
      </c>
      <c r="AI8" s="57" t="str">
        <f>IF(B8="","",(Y8*25)/AD8)</f>
        <v/>
      </c>
      <c r="AJ8" s="57" t="str">
        <f>IF(B8="","",(AA8*25)/AD8)</f>
        <v/>
      </c>
      <c r="AK8" s="58" t="str">
        <f>IF(B8="","",(AB8*40)/AD8)</f>
        <v/>
      </c>
      <c r="AL8" s="58" t="str">
        <f>IF(B8="","",(AC8*50)/AD8)</f>
        <v/>
      </c>
      <c r="AM8" s="59" t="str">
        <f>IF(B8="","",B8)</f>
        <v/>
      </c>
      <c r="AN8" s="233"/>
      <c r="AO8" s="82"/>
      <c r="AP8" s="234"/>
      <c r="AQ8" s="63" t="str">
        <f>IF(AN8="","",AN8/AO8)</f>
        <v/>
      </c>
      <c r="AR8" s="64" t="str">
        <f>IF(AN8="","",(AD8/AN8)/1000)</f>
        <v/>
      </c>
      <c r="AS8" s="64" t="str">
        <f>IF(AN8="","",AR8*24)</f>
        <v/>
      </c>
      <c r="AT8" s="65" t="str">
        <f>IF(AN8="","",(AD8/1000)*100%/AS8)</f>
        <v/>
      </c>
      <c r="AU8" s="64" t="str">
        <f>IF(AN8="","",(AE8/AN8))</f>
        <v/>
      </c>
      <c r="AV8" s="229" t="str">
        <f>IF(AN8="","",(AD8/AO8)/1000)</f>
        <v/>
      </c>
      <c r="AW8" s="714"/>
      <c r="AX8" s="714"/>
      <c r="AY8" s="714"/>
      <c r="AZ8" s="723"/>
      <c r="BA8" s="714"/>
      <c r="BB8" s="725"/>
      <c r="BC8" s="727"/>
      <c r="BD8" s="727"/>
      <c r="BE8" s="727"/>
      <c r="BF8" s="729"/>
    </row>
    <row r="9" spans="1:58" customHeight="1" ht="15">
      <c r="A9" s="485" t="str">
        <f>IF(B9="","",6)</f>
        <v/>
      </c>
      <c r="B9" s="68"/>
      <c r="C9" s="69"/>
      <c r="D9" s="70"/>
      <c r="E9" s="76"/>
      <c r="F9" s="70"/>
      <c r="G9" s="76"/>
      <c r="H9" s="70"/>
      <c r="I9" s="491"/>
      <c r="J9" s="491"/>
      <c r="K9" s="70"/>
      <c r="L9" s="494"/>
      <c r="M9" s="494"/>
      <c r="N9" s="76"/>
      <c r="O9" s="76"/>
      <c r="P9" s="467"/>
      <c r="Q9" s="412"/>
      <c r="R9" s="410"/>
      <c r="S9" s="242"/>
      <c r="T9" s="401"/>
      <c r="U9" s="407"/>
      <c r="V9" s="249"/>
      <c r="W9" s="401"/>
      <c r="X9" s="278"/>
      <c r="Y9" s="78"/>
      <c r="Z9" s="403"/>
      <c r="AA9" s="281"/>
      <c r="AB9" s="79"/>
      <c r="AC9" s="85"/>
      <c r="AD9" s="55" t="str">
        <f>IF(B9="","",(((C9+F9+H9+K9+Q9+N9+O9)*50))+((E9*10))+(((I9+J9+D9+G9+L9+M9+U9)*25)+(X9*25)+(Y9*25)+(Z9*25)+(AA9*25)+(AB9*40)+(AC9*50)+(R9*1)+(S9*1)+(T9*1)))</f>
        <v/>
      </c>
      <c r="AE9" s="55" t="str">
        <f>IF(B9="","",C9+F9+H9+K9+Q9+N9+O9+((I9+J9+D9+G9+U9)/2)+(R9/50)+(S9/50)+(T9/50)+(E9/5))</f>
        <v/>
      </c>
      <c r="AF9" s="56" t="str">
        <f>IF(B9="","",((AE9*50)/AD9))</f>
        <v/>
      </c>
      <c r="AG9" s="57" t="str">
        <f>IF(C9="","",((Z9)*25)/AD9)</f>
        <v/>
      </c>
      <c r="AH9" s="57" t="str">
        <f>IF(B9="","",(X9*25)/AD9)</f>
        <v/>
      </c>
      <c r="AI9" s="57" t="str">
        <f>IF(B9="","",(Y9*25)/AD9)</f>
        <v/>
      </c>
      <c r="AJ9" s="57" t="str">
        <f>IF(B9="","",(AA9*25)/AD9)</f>
        <v/>
      </c>
      <c r="AK9" s="58" t="str">
        <f>IF(B9="","",(AB9*40)/AD9)</f>
        <v/>
      </c>
      <c r="AL9" s="58" t="str">
        <f>IF(B9="","",(AC9*50)/AD9)</f>
        <v/>
      </c>
      <c r="AM9" s="59" t="str">
        <f>IF(B9="","",B9)</f>
        <v/>
      </c>
      <c r="AN9" s="233"/>
      <c r="AO9" s="82"/>
      <c r="AP9" s="234"/>
      <c r="AQ9" s="63" t="str">
        <f>IF(AN9="","",AN9/AO9)</f>
        <v/>
      </c>
      <c r="AR9" s="64" t="str">
        <f>IF(AN9="","",(AD9/AN9)/1000)</f>
        <v/>
      </c>
      <c r="AS9" s="64" t="str">
        <f>IF(AN9="","",AR9*24)</f>
        <v/>
      </c>
      <c r="AT9" s="65" t="str">
        <f>IF(AN9="","",(AD9/1000)*100%/AS9)</f>
        <v/>
      </c>
      <c r="AU9" s="64" t="str">
        <f>IF(AN9="","",(AE9/AN9))</f>
        <v/>
      </c>
      <c r="AV9" s="229" t="str">
        <f>IF(AN9="","",(AD9/AO9)/1000)</f>
        <v/>
      </c>
      <c r="AW9" s="714"/>
      <c r="AX9" s="714"/>
      <c r="AY9" s="714"/>
      <c r="AZ9" s="723"/>
      <c r="BA9" s="714"/>
      <c r="BB9" s="725"/>
      <c r="BC9" s="727"/>
      <c r="BD9" s="727"/>
      <c r="BE9" s="727"/>
      <c r="BF9" s="729"/>
    </row>
    <row r="10" spans="1:58" customHeight="1" ht="13.9">
      <c r="A10" s="485" t="str">
        <f>IF(B10="","",7)</f>
        <v/>
      </c>
      <c r="B10" s="68"/>
      <c r="C10" s="69"/>
      <c r="D10" s="70"/>
      <c r="E10" s="76"/>
      <c r="F10" s="70"/>
      <c r="G10" s="76"/>
      <c r="H10" s="70"/>
      <c r="I10" s="491"/>
      <c r="J10" s="491"/>
      <c r="K10" s="70"/>
      <c r="L10" s="494"/>
      <c r="M10" s="494"/>
      <c r="N10" s="76"/>
      <c r="O10" s="76"/>
      <c r="P10" s="467"/>
      <c r="Q10" s="412"/>
      <c r="R10" s="410"/>
      <c r="S10" s="242"/>
      <c r="T10" s="401"/>
      <c r="U10" s="407"/>
      <c r="V10" s="249"/>
      <c r="W10" s="401"/>
      <c r="X10" s="278"/>
      <c r="Y10" s="78"/>
      <c r="Z10" s="403"/>
      <c r="AA10" s="281"/>
      <c r="AB10" s="79"/>
      <c r="AC10" s="85"/>
      <c r="AD10" s="55" t="str">
        <f>IF(B10="","",(((C10+F10+H10+K10+Q10+N10+O10)*50))+((E10*10))+(((I10+J10+D10+G10+L10+M10+U10)*25)+(X10*25)+(Y10*25)+(Z10*25)+(AA10*25)+(AB10*40)+(AC10*50)+(R10*1)+(S10*1)+(T10*1)))</f>
        <v/>
      </c>
      <c r="AE10" s="55" t="str">
        <f>IF(B10="","",C10+F10+H10+K10+Q10+N10+O10+((I10+J10+D10+G10+U10)/2)+(R10/50)+(S10/50)+(T10/50)+(E10/5))</f>
        <v/>
      </c>
      <c r="AF10" s="56" t="str">
        <f>IF(B10="","",((AE10*50)/AD10))</f>
        <v/>
      </c>
      <c r="AG10" s="57" t="str">
        <f>IF(C10="","",((Z10)*25)/AD10)</f>
        <v/>
      </c>
      <c r="AH10" s="57" t="str">
        <f>IF(B10="","",(X10*25)/AD10)</f>
        <v/>
      </c>
      <c r="AI10" s="57" t="str">
        <f>IF(B10="","",(Y10*25)/AD10)</f>
        <v/>
      </c>
      <c r="AJ10" s="57" t="str">
        <f>IF(B10="","",(AA10*25)/AD10)</f>
        <v/>
      </c>
      <c r="AK10" s="58" t="str">
        <f>IF(B10="","",(AB10*40)/AD10)</f>
        <v/>
      </c>
      <c r="AL10" s="58" t="str">
        <f>IF(B10="","",(AC10*50)/AD10)</f>
        <v/>
      </c>
      <c r="AM10" s="59" t="str">
        <f>IF(B10="","",B10)</f>
        <v/>
      </c>
      <c r="AN10" s="233"/>
      <c r="AO10" s="82"/>
      <c r="AP10" s="234"/>
      <c r="AQ10" s="63" t="str">
        <f>IF(AN10="","",AN10/AO10)</f>
        <v/>
      </c>
      <c r="AR10" s="64" t="str">
        <f>IF(AN10="","",(AD10/AN10)/1000)</f>
        <v/>
      </c>
      <c r="AS10" s="64" t="str">
        <f>IF(AN10="","",AR10*24)</f>
        <v/>
      </c>
      <c r="AT10" s="65" t="str">
        <f>IF(AN10="","",(AD10/1000)*100%/AS10)</f>
        <v/>
      </c>
      <c r="AU10" s="64" t="str">
        <f>IF(AN10="","",(AE10/AN10))</f>
        <v/>
      </c>
      <c r="AV10" s="229" t="str">
        <f>IF(AN10="","",(AD10/AO10)/1000)</f>
        <v/>
      </c>
      <c r="AW10" s="714"/>
      <c r="AX10" s="714"/>
      <c r="AY10" s="714"/>
      <c r="AZ10" s="723"/>
      <c r="BA10" s="714"/>
      <c r="BB10" s="725"/>
      <c r="BC10" s="727"/>
      <c r="BD10" s="727"/>
      <c r="BE10" s="727"/>
      <c r="BF10" s="729"/>
    </row>
    <row r="11" spans="1:58" customHeight="1" ht="13.9">
      <c r="A11" s="485" t="str">
        <f>IF(B11="","",8)</f>
        <v/>
      </c>
      <c r="B11" s="226"/>
      <c r="C11" s="69"/>
      <c r="D11" s="70"/>
      <c r="E11" s="76"/>
      <c r="F11" s="70"/>
      <c r="G11" s="76"/>
      <c r="H11" s="70"/>
      <c r="I11" s="491"/>
      <c r="J11" s="491"/>
      <c r="K11" s="70"/>
      <c r="L11" s="494"/>
      <c r="M11" s="494"/>
      <c r="N11" s="76"/>
      <c r="O11" s="76"/>
      <c r="P11" s="467"/>
      <c r="Q11" s="412"/>
      <c r="R11" s="410"/>
      <c r="S11" s="242"/>
      <c r="T11" s="401"/>
      <c r="U11" s="407"/>
      <c r="V11" s="249"/>
      <c r="W11" s="401"/>
      <c r="X11" s="278"/>
      <c r="Y11" s="78"/>
      <c r="Z11" s="403"/>
      <c r="AA11" s="281"/>
      <c r="AB11" s="79"/>
      <c r="AC11" s="85"/>
      <c r="AD11" s="55" t="str">
        <f>IF(B11="","",(((C11+F11+H11+K11+Q11+N11+O11)*50))+((E11*10))+(((I11+J11+D11+G11+L11+M11+U11)*25)+(X11*25)+(Y11*25)+(Z11*25)+(AA11*25)+(AB11*40)+(AC11*50)+(R11*1)+(S11*1)+(T11*1)))</f>
        <v/>
      </c>
      <c r="AE11" s="55" t="str">
        <f>IF(B11="","",C11+F11+H11+K11+Q11+N11+O11+((I11+J11+D11+G11+U11+P11)/2)+(R11/50)+(S11/50)+(T11/50)+(E11/5))</f>
        <v/>
      </c>
      <c r="AF11" s="56" t="str">
        <f>IF(B11="","",((AE11*50)/AD11))</f>
        <v/>
      </c>
      <c r="AG11" s="57" t="str">
        <f>IF(C11="","",((Z11)*25)/AD11)</f>
        <v/>
      </c>
      <c r="AH11" s="57" t="str">
        <f>IF(B11="","",(X11*25)/AD11)</f>
        <v/>
      </c>
      <c r="AI11" s="57" t="str">
        <f>IF(B11="","",(Y11*25)/AD11)</f>
        <v/>
      </c>
      <c r="AJ11" s="57" t="str">
        <f>IF(B11="","",(AA11*25)/AD11)</f>
        <v/>
      </c>
      <c r="AK11" s="58" t="str">
        <f>IF(B11="","",(AB11*40)/AD11)</f>
        <v/>
      </c>
      <c r="AL11" s="58" t="str">
        <f>IF(B11="","",(AC11*50)/AD11)</f>
        <v/>
      </c>
      <c r="AM11" s="59" t="str">
        <f>IF(B11="","",B11)</f>
        <v/>
      </c>
      <c r="AN11" s="233"/>
      <c r="AO11" s="82"/>
      <c r="AP11" s="234"/>
      <c r="AQ11" s="63" t="str">
        <f>IF(AN11="","",AN11/AO11)</f>
        <v/>
      </c>
      <c r="AR11" s="64" t="str">
        <f>IF(AN11="","",(AD11/AN11)/1000)</f>
        <v/>
      </c>
      <c r="AS11" s="64" t="str">
        <f>IF(AN11="","",AR11*24)</f>
        <v/>
      </c>
      <c r="AT11" s="65" t="str">
        <f>IF(AN11="","",(AD11/1000)*100%/AS11)</f>
        <v/>
      </c>
      <c r="AU11" s="64" t="str">
        <f>IF(AN11="","",(AE11/AN11))</f>
        <v/>
      </c>
      <c r="AV11" s="229" t="str">
        <f>IF(AN11="","",(AD11/AO11)/1000)</f>
        <v/>
      </c>
      <c r="AW11" s="714"/>
      <c r="AX11" s="714"/>
      <c r="AY11" s="714"/>
      <c r="AZ11" s="723"/>
      <c r="BA11" s="714"/>
      <c r="BB11" s="725"/>
      <c r="BC11" s="727"/>
      <c r="BD11" s="727"/>
      <c r="BE11" s="727"/>
      <c r="BF11" s="729"/>
    </row>
    <row r="12" spans="1:58" customHeight="1" ht="13.9">
      <c r="A12" s="485" t="str">
        <f>IF(B12="","",9)</f>
        <v/>
      </c>
      <c r="B12" s="226"/>
      <c r="C12" s="69"/>
      <c r="D12" s="70"/>
      <c r="E12" s="76"/>
      <c r="F12" s="70"/>
      <c r="G12" s="76"/>
      <c r="H12" s="70"/>
      <c r="I12" s="491"/>
      <c r="J12" s="491"/>
      <c r="K12" s="70"/>
      <c r="L12" s="494"/>
      <c r="M12" s="494"/>
      <c r="N12" s="76"/>
      <c r="O12" s="76"/>
      <c r="P12" s="467"/>
      <c r="Q12" s="412"/>
      <c r="R12" s="410"/>
      <c r="S12" s="242"/>
      <c r="T12" s="401"/>
      <c r="U12" s="407"/>
      <c r="V12" s="249"/>
      <c r="W12" s="401"/>
      <c r="X12" s="278"/>
      <c r="Y12" s="78"/>
      <c r="Z12" s="403"/>
      <c r="AA12" s="281"/>
      <c r="AB12" s="79"/>
      <c r="AC12" s="85"/>
      <c r="AD12" s="55" t="str">
        <f>IF(B12="","",(((C12+F12+H12+K12+Q12+N12+O12)*50))+((E12*10))+(((I12+J12+D12+G12+L12+M12+U12)*25)+(X12*25)+(Y12*25)+(Z12*25)+(AA12*25)+(AB12*40)+(AC12*50)+(R12*1)+(S12*1)+(T12*1)))</f>
        <v/>
      </c>
      <c r="AE12" s="55" t="str">
        <f>IF(B12="","",C12+F12+H12+K12+Q12+N12+O12+((I12+J12+D12+G12+U12)/2)+(R12/50)+(S12/50)+(T12/50)+(E12/5))</f>
        <v/>
      </c>
      <c r="AF12" s="56" t="str">
        <f>IF(B12="","",((AE12*50)/AD12))</f>
        <v/>
      </c>
      <c r="AG12" s="57" t="str">
        <f>IF(C12="","",((Z12)*25)/AD12)</f>
        <v/>
      </c>
      <c r="AH12" s="57" t="str">
        <f>IF(B12="","",(X12*25)/AD12)</f>
        <v/>
      </c>
      <c r="AI12" s="57" t="str">
        <f>IF(B12="","",(Y12*25)/AD12)</f>
        <v/>
      </c>
      <c r="AJ12" s="57" t="str">
        <f>IF(B12="","",(AA12*25)/AD12)</f>
        <v/>
      </c>
      <c r="AK12" s="58" t="str">
        <f>IF(B12="","",(AB12*40)/AD12)</f>
        <v/>
      </c>
      <c r="AL12" s="58" t="str">
        <f>IF(B12="","",(AC12*50)/AD12)</f>
        <v/>
      </c>
      <c r="AM12" s="59" t="str">
        <f>IF(B12="","",B12)</f>
        <v/>
      </c>
      <c r="AN12" s="233"/>
      <c r="AO12" s="82"/>
      <c r="AP12" s="234"/>
      <c r="AQ12" s="63" t="str">
        <f>IF(AN12="","",AN12/AO12)</f>
        <v/>
      </c>
      <c r="AR12" s="64" t="str">
        <f>IF(AN12="","",(AD12/AN12)/1000)</f>
        <v/>
      </c>
      <c r="AS12" s="64" t="str">
        <f>IF(AN12="","",AR12*24)</f>
        <v/>
      </c>
      <c r="AT12" s="65" t="str">
        <f>IF(AN12="","",(AD12/1000)*100%/AS12)</f>
        <v/>
      </c>
      <c r="AU12" s="64" t="str">
        <f>IF(AN12="","",(AE12/AN12))</f>
        <v/>
      </c>
      <c r="AV12" s="229" t="str">
        <f>IF(AN12="","",(AD12/AO12)/1000)</f>
        <v/>
      </c>
      <c r="AW12" s="714"/>
      <c r="AX12" s="714"/>
      <c r="AY12" s="714"/>
      <c r="AZ12" s="723"/>
      <c r="BA12" s="714"/>
      <c r="BB12" s="725"/>
      <c r="BC12" s="727"/>
      <c r="BD12" s="727"/>
      <c r="BE12" s="727"/>
      <c r="BF12" s="729"/>
    </row>
    <row r="13" spans="1:58" customHeight="1" ht="13.9">
      <c r="A13" s="485" t="str">
        <f>IF(B13="","",11)</f>
        <v/>
      </c>
      <c r="B13" s="226"/>
      <c r="C13" s="69"/>
      <c r="D13" s="70"/>
      <c r="E13" s="76"/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/>
      <c r="S13" s="242"/>
      <c r="T13" s="401"/>
      <c r="U13" s="407"/>
      <c r="V13" s="249"/>
      <c r="W13" s="401"/>
      <c r="X13" s="278"/>
      <c r="Y13" s="78"/>
      <c r="Z13" s="403"/>
      <c r="AA13" s="281"/>
      <c r="AB13" s="79"/>
      <c r="AC13" s="85"/>
      <c r="AD13" s="55" t="str">
        <f>IF(B13="","",(((C13+F13+H13+K13+Q13+N13+O13)*50))+((E13*10))+(((I13+J13+D13+G13+L13+M13+U13)*25)+(X13*25)+(Y13*25)+(Z13*25)+(AA13*25)+(AB13*40)+(AC13*50)+(R13*1)+(S13*1)+(T13*1)))</f>
        <v/>
      </c>
      <c r="AE13" s="55" t="str">
        <f>IF(B13="","",C13+F13+H13+K13+Q13+N13+O13+((I13+J13+D13+G13+U13)/2)+(R13/50)+(S13/50)+(T13/50)+(E13/5))</f>
        <v/>
      </c>
      <c r="AF13" s="56" t="str">
        <f>IF(B13="","",((AE13*50)/AD13))</f>
        <v/>
      </c>
      <c r="AG13" s="57" t="str">
        <f>IF(C13="","",((Z13)*25)/AD13)</f>
        <v/>
      </c>
      <c r="AH13" s="57" t="str">
        <f>IF(B13="","",(X13*25)/AD13)</f>
        <v/>
      </c>
      <c r="AI13" s="57" t="str">
        <f>IF(B13="","",(Y13*25)/AD13)</f>
        <v/>
      </c>
      <c r="AJ13" s="57" t="str">
        <f>IF(B13="","",(AA13*25)/AD13)</f>
        <v/>
      </c>
      <c r="AK13" s="58" t="str">
        <f>IF(B13="","",(AB13*40)/AD13)</f>
        <v/>
      </c>
      <c r="AL13" s="58" t="str">
        <f>IF(B13="","",(AC13*50)/AD13)</f>
        <v/>
      </c>
      <c r="AM13" s="59" t="str">
        <f>IF(B13="","",B13)</f>
        <v/>
      </c>
      <c r="AN13" s="233"/>
      <c r="AO13" s="82"/>
      <c r="AP13" s="234"/>
      <c r="AQ13" s="63" t="str">
        <f>IF(AN13="","",AN13/AO13)</f>
        <v/>
      </c>
      <c r="AR13" s="64" t="str">
        <f>IF(AN13="","",(AD13/AN13)/1000)</f>
        <v/>
      </c>
      <c r="AS13" s="64" t="str">
        <f>IF(AN13="","",AR13*24)</f>
        <v/>
      </c>
      <c r="AT13" s="65" t="str">
        <f>IF(AN13="","",(AD13/1000)*100%/AS13)</f>
        <v/>
      </c>
      <c r="AU13" s="64" t="str">
        <f>IF(AN13="","",(AE13/AN13))</f>
        <v/>
      </c>
      <c r="AV13" s="229" t="str">
        <f>IF(AN13="","",(AD13/AO13)/1000)</f>
        <v/>
      </c>
      <c r="AW13" s="714"/>
      <c r="AX13" s="714"/>
      <c r="AY13" s="714"/>
      <c r="AZ13" s="723"/>
      <c r="BA13" s="714"/>
      <c r="BB13" s="725"/>
      <c r="BC13" s="727"/>
      <c r="BD13" s="727"/>
      <c r="BE13" s="727"/>
      <c r="BF13" s="729"/>
    </row>
    <row r="14" spans="1:58" customHeight="1" ht="13.9">
      <c r="A14" s="485" t="str">
        <f>IF(B14="","",12)</f>
        <v/>
      </c>
      <c r="B14" s="226"/>
      <c r="C14" s="69"/>
      <c r="D14" s="70"/>
      <c r="E14" s="76"/>
      <c r="F14" s="70"/>
      <c r="G14" s="76"/>
      <c r="H14" s="70"/>
      <c r="I14" s="491"/>
      <c r="J14" s="491"/>
      <c r="K14" s="70"/>
      <c r="L14" s="494"/>
      <c r="M14" s="494"/>
      <c r="N14" s="76"/>
      <c r="O14" s="76"/>
      <c r="P14" s="467"/>
      <c r="Q14" s="412"/>
      <c r="R14" s="410"/>
      <c r="S14" s="242"/>
      <c r="T14" s="401"/>
      <c r="U14" s="407"/>
      <c r="V14" s="249"/>
      <c r="W14" s="401"/>
      <c r="X14" s="278"/>
      <c r="Y14" s="78"/>
      <c r="Z14" s="403"/>
      <c r="AA14" s="281"/>
      <c r="AB14" s="79"/>
      <c r="AC14" s="85"/>
      <c r="AD14" s="55" t="str">
        <f>IF(B14="","",(((C14+F14+H14+K14+Q14+N14+O14)*50))+((E14*10))+(((I14+J14+D14+G14+L14+M14+U14)*25)+(X14*25)+(Y14*25)+(Z14*25)+(AA14*25)+(AB14*40)+(AC14*50)+(R14*1)+(S14*1)+(T14*1)))</f>
        <v/>
      </c>
      <c r="AE14" s="55" t="str">
        <f>IF(B14="","",C14+F14+H14+K14+Q14+N14+O14+((I14+J14+D14+G14+U14)/2)+(R14/50)+(S14/50)+(T14/50)+(E14/5))</f>
        <v/>
      </c>
      <c r="AF14" s="56" t="str">
        <f>IF(B14="","",((AE14*50)/AD14))</f>
        <v/>
      </c>
      <c r="AG14" s="57" t="str">
        <f>IF(C14="","",((Z14)*25)/AD14)</f>
        <v/>
      </c>
      <c r="AH14" s="57" t="str">
        <f>IF(B14="","",(X14*25)/AD14)</f>
        <v/>
      </c>
      <c r="AI14" s="57" t="str">
        <f>IF(B14="","",(Y14*25)/AD14)</f>
        <v/>
      </c>
      <c r="AJ14" s="57" t="str">
        <f>IF(B14="","",(AA14*25)/AD14)</f>
        <v/>
      </c>
      <c r="AK14" s="58" t="str">
        <f>IF(B14="","",(AB14*40)/AD14)</f>
        <v/>
      </c>
      <c r="AL14" s="58" t="str">
        <f>IF(B14="","",(AC14*50)/AD14)</f>
        <v/>
      </c>
      <c r="AM14" s="59" t="str">
        <f>IF(B14="","",B14)</f>
        <v/>
      </c>
      <c r="AN14" s="233"/>
      <c r="AO14" s="82"/>
      <c r="AP14" s="234"/>
      <c r="AQ14" s="63" t="str">
        <f>IF(AN14="","",AN14/AO14)</f>
        <v/>
      </c>
      <c r="AR14" s="64" t="str">
        <f>IF(AN14="","",(AD14/AN14)/1000)</f>
        <v/>
      </c>
      <c r="AS14" s="64" t="str">
        <f>IF(AN14="","",AR14*24)</f>
        <v/>
      </c>
      <c r="AT14" s="65" t="str">
        <f>IF(AN14="","",(AD14/1000)*100%/AS14)</f>
        <v/>
      </c>
      <c r="AU14" s="64" t="str">
        <f>IF(AN14="","",(AE14/AN14))</f>
        <v/>
      </c>
      <c r="AV14" s="229" t="str">
        <f>IF(AN14="","",(AD14/AO14)/1000)</f>
        <v/>
      </c>
      <c r="AW14" s="714"/>
      <c r="AX14" s="714"/>
      <c r="AY14" s="714"/>
      <c r="AZ14" s="723"/>
      <c r="BA14" s="714"/>
      <c r="BB14" s="725"/>
      <c r="BC14" s="727"/>
      <c r="BD14" s="727"/>
      <c r="BE14" s="727"/>
      <c r="BF14" s="729"/>
    </row>
    <row r="15" spans="1:58" customHeight="1" ht="13.9">
      <c r="A15" s="485" t="str">
        <f>IF(B15="","",13)</f>
        <v/>
      </c>
      <c r="B15" s="226"/>
      <c r="C15" s="69"/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/>
      <c r="S15" s="242"/>
      <c r="T15" s="401"/>
      <c r="U15" s="407"/>
      <c r="V15" s="249"/>
      <c r="W15" s="401"/>
      <c r="X15" s="278"/>
      <c r="Y15" s="78"/>
      <c r="Z15" s="403"/>
      <c r="AA15" s="281"/>
      <c r="AC15" s="79"/>
      <c r="AD15" s="55" t="str">
        <f>IF(B15="","",(((C15+F15+H15+K15+Q15+N15+O15)*50))+((E15*10))+(((I15+J15+D15+G15+L15+M15+U15)*25)+(X15*25)+(Y15*25)+(Z15*25)+(AA15*25)+(AB15*40)+(AC15*50)+(R15*1)+(S15*1)+(T15*1)))</f>
        <v/>
      </c>
      <c r="AE15" s="55" t="str">
        <f>IF(B15="","",C15+F15+H15+K15+Q15+N15+O15+((I15+J15+D15+G15+U15)/2)+(R15/50)+(S15/50)+(T15/50)+(E15/5))</f>
        <v/>
      </c>
      <c r="AF15" s="56" t="str">
        <f>IF(B15="","",((AE15*50)/AD15))</f>
        <v/>
      </c>
      <c r="AG15" s="57" t="str">
        <f>IF(C15="","",((Z15)*25)/AD15)</f>
        <v/>
      </c>
      <c r="AH15" s="57" t="str">
        <f>IF(B15="","",(X15*25)/AD15)</f>
        <v/>
      </c>
      <c r="AI15" s="57" t="str">
        <f>IF(B15="","",(Y15*25)/AD15)</f>
        <v/>
      </c>
      <c r="AJ15" s="57" t="str">
        <f>IF(B15="","",(AA15*25)/AD15)</f>
        <v/>
      </c>
      <c r="AK15" s="58" t="str">
        <f>IF(B15="","",(AC15*40)/AD15)</f>
        <v/>
      </c>
      <c r="AL15" s="58" t="str">
        <f>IF(B15="","",(AC15*50)/AD15)</f>
        <v/>
      </c>
      <c r="AM15" s="59" t="str">
        <f>IF(B15="","",B15)</f>
        <v/>
      </c>
      <c r="AN15" s="233"/>
      <c r="AO15" s="82"/>
      <c r="AP15" s="234"/>
      <c r="AQ15" s="63" t="str">
        <f>IF(AN15="","",AN15/AO15)</f>
        <v/>
      </c>
      <c r="AR15" s="64" t="str">
        <f>IF(AN15="","",(AD15/AN15)/1000)</f>
        <v/>
      </c>
      <c r="AS15" s="64" t="str">
        <f>IF(AN15="","",AR15*24)</f>
        <v/>
      </c>
      <c r="AT15" s="65" t="str">
        <f>IF(AN15="","",(AD15/1000)*100%/AS15)</f>
        <v/>
      </c>
      <c r="AU15" s="64" t="str">
        <f>IF(AN15="","",(AE15/AN15))</f>
        <v/>
      </c>
      <c r="AV15" s="229" t="str">
        <f>IF(AN15="","",(AD15/AO15)/1000)</f>
        <v/>
      </c>
      <c r="AW15" s="714"/>
      <c r="AX15" s="714"/>
      <c r="AY15" s="714"/>
      <c r="AZ15" s="723"/>
      <c r="BA15" s="714"/>
      <c r="BB15" s="725"/>
      <c r="BC15" s="727"/>
      <c r="BD15" s="727"/>
      <c r="BE15" s="727"/>
      <c r="BF15" s="729"/>
    </row>
    <row r="16" spans="1:58" customHeight="1" ht="13.9">
      <c r="A16" s="485" t="str">
        <f>IF(B16="","",1+A15)</f>
        <v/>
      </c>
      <c r="B16" s="226"/>
      <c r="C16" s="69"/>
      <c r="D16" s="70"/>
      <c r="E16" s="76"/>
      <c r="F16" s="70"/>
      <c r="G16" s="76"/>
      <c r="H16" s="70"/>
      <c r="I16" s="491"/>
      <c r="J16" s="491"/>
      <c r="K16" s="70"/>
      <c r="L16" s="494"/>
      <c r="M16" s="494"/>
      <c r="N16" s="76"/>
      <c r="O16" s="76"/>
      <c r="P16" s="467"/>
      <c r="Q16" s="412"/>
      <c r="R16" s="410"/>
      <c r="S16" s="242"/>
      <c r="T16" s="401"/>
      <c r="U16" s="407"/>
      <c r="V16" s="249"/>
      <c r="W16" s="401"/>
      <c r="X16" s="278"/>
      <c r="Y16" s="78"/>
      <c r="Z16" s="403"/>
      <c r="AA16" s="281"/>
      <c r="AB16" s="79"/>
      <c r="AC16" s="85"/>
      <c r="AD16" s="55" t="str">
        <f>IF(B16="","",(((C16+F16+H16+K16+Q16+N16+O16)*50))+((E16*10))+(((I16+J16+D16+G16+L16+M16+U16)*25)+(X16*25)+(Y16*25)+(Z16*25)+(AA16*25)+(AB16*40)+(AC16*50)+(R16*1)+(S16*1)+(T16*1)))</f>
        <v/>
      </c>
      <c r="AE16" s="55" t="str">
        <f>IF(B16="","",C16+F16+H16+K16+Q16+N16+O16+((I16+J16+D16+G16+U16)/2)+(R16/50)+(S16/50)+(T16/50)+(E16/5))</f>
        <v/>
      </c>
      <c r="AF16" s="56" t="str">
        <f>IF(B16="","",((AE16*50)/AD16))</f>
        <v/>
      </c>
      <c r="AG16" s="57" t="str">
        <f>IF(C16="","",((Z16)*25)/AD16)</f>
        <v/>
      </c>
      <c r="AH16" s="57" t="str">
        <f>IF(B16="","",(X16*25)/AD16)</f>
        <v/>
      </c>
      <c r="AI16" s="57" t="str">
        <f>IF(B16="","",(Y16*25)/AD16)</f>
        <v/>
      </c>
      <c r="AJ16" s="57" t="str">
        <f>IF(B16="","",(AA16*25)/AD16)</f>
        <v/>
      </c>
      <c r="AK16" s="58" t="str">
        <f>IF(B16="","",(AB16*40)/AD16)</f>
        <v/>
      </c>
      <c r="AL16" s="58" t="str">
        <f>IF(B16="","",(AC16*50)/AD16)</f>
        <v/>
      </c>
      <c r="AM16" s="59" t="str">
        <f>IF(B16="","",B16)</f>
        <v/>
      </c>
      <c r="AN16" s="233"/>
      <c r="AO16" s="82"/>
      <c r="AP16" s="234"/>
      <c r="AQ16" s="63" t="str">
        <f>IF(AN16="","",AN16/AO16)</f>
        <v/>
      </c>
      <c r="AR16" s="64" t="str">
        <f>IF(AN16="","",(AD16/AN16)/1000)</f>
        <v/>
      </c>
      <c r="AS16" s="64" t="str">
        <f>IF(AN16="","",AR16*24)</f>
        <v/>
      </c>
      <c r="AT16" s="65" t="str">
        <f>IF(AN16="","",(AD16/1000)*100%/AS16)</f>
        <v/>
      </c>
      <c r="AU16" s="64" t="str">
        <f>IF(AN16="","",(AE16/AN16))</f>
        <v/>
      </c>
      <c r="AV16" s="229" t="str">
        <f>IF(AN16="","",(AD16/AO16)/1000)</f>
        <v/>
      </c>
      <c r="AW16" s="714"/>
      <c r="AX16" s="714"/>
      <c r="AY16" s="714"/>
      <c r="AZ16" s="723"/>
      <c r="BA16" s="714"/>
      <c r="BB16" s="725"/>
      <c r="BC16" s="727"/>
      <c r="BD16" s="727"/>
      <c r="BE16" s="727"/>
      <c r="BF16" s="729"/>
    </row>
    <row r="17" spans="1:58" customHeight="1" ht="13.9">
      <c r="A17" s="485" t="str">
        <f>IF(B17="","",15)</f>
        <v/>
      </c>
      <c r="B17" s="226"/>
      <c r="C17" s="69"/>
      <c r="D17" s="70"/>
      <c r="E17" s="76"/>
      <c r="F17" s="70"/>
      <c r="G17" s="76"/>
      <c r="H17" s="70"/>
      <c r="I17" s="491"/>
      <c r="J17" s="491"/>
      <c r="K17" s="70"/>
      <c r="L17" s="494"/>
      <c r="M17" s="494"/>
      <c r="N17" s="76"/>
      <c r="O17" s="76"/>
      <c r="P17" s="467"/>
      <c r="Q17" s="412"/>
      <c r="R17" s="410"/>
      <c r="S17" s="242"/>
      <c r="T17" s="401"/>
      <c r="U17" s="407"/>
      <c r="V17" s="249"/>
      <c r="W17" s="401"/>
      <c r="X17" s="278"/>
      <c r="Y17" s="78"/>
      <c r="Z17" s="403"/>
      <c r="AA17" s="281"/>
      <c r="AB17" s="79"/>
      <c r="AC17" s="85"/>
      <c r="AD17" s="55" t="str">
        <f>IF(B17="","",(((C17+F17+H17+K17+Q17+N17+O17)*50))+((E17*10))+(((I17+J17+D17+G17+L17+M17+U17)*25)+(X17*25)+(Y17*25)+(Z17*25)+(AA17*25)+(AB17*40)+(AC17*50)+(R17*1)+(S17*1)+(T17*1)))</f>
        <v/>
      </c>
      <c r="AE17" s="55" t="str">
        <f>IF(B17="","",C17+F17+H17+K17+Q17+N17+O17+((I17+J17+D17+G17+U17)/2)+(R17/50)+(S17/50)+(T17/50)+(E17/5))</f>
        <v/>
      </c>
      <c r="AF17" s="56" t="str">
        <f>IF(B17="","",((AE17*50)/AD17))</f>
        <v/>
      </c>
      <c r="AG17" s="57" t="str">
        <f>IF(C17="","",((Z17)*25)/AD17)</f>
        <v/>
      </c>
      <c r="AH17" s="57" t="str">
        <f>IF(B17="","",(X17*25)/AD17)</f>
        <v/>
      </c>
      <c r="AI17" s="57" t="str">
        <f>IF(B17="","",(Y17*25)/AD17)</f>
        <v/>
      </c>
      <c r="AJ17" s="57" t="str">
        <f>IF(B17="","",(AA17*25)/AD17)</f>
        <v/>
      </c>
      <c r="AK17" s="58" t="str">
        <f>IF(B17="","",(AB17*40)/AD17)</f>
        <v/>
      </c>
      <c r="AL17" s="58" t="str">
        <f>IF(B17="","",(AC17*50)/AD17)</f>
        <v/>
      </c>
      <c r="AM17" s="59" t="str">
        <f>IF(B17="","",B17)</f>
        <v/>
      </c>
      <c r="AN17" s="233"/>
      <c r="AO17" s="82"/>
      <c r="AP17" s="234"/>
      <c r="AQ17" s="63" t="str">
        <f>IF(AN17="","",AN17/AO17)</f>
        <v/>
      </c>
      <c r="AR17" s="64" t="str">
        <f>IF(AN17="","",(AD17/AN17)/1000)</f>
        <v/>
      </c>
      <c r="AS17" s="64" t="str">
        <f>IF(AN17="","",AR17*24)</f>
        <v/>
      </c>
      <c r="AT17" s="65" t="str">
        <f>IF(AN17="","",(AD17/1000)*100%/AS17)</f>
        <v/>
      </c>
      <c r="AU17" s="64" t="str">
        <f>IF(AN17="","",(AE17/AN17))</f>
        <v/>
      </c>
      <c r="AV17" s="229" t="str">
        <f>IF(AN17="","",(AD17/AO17)/1000)</f>
        <v/>
      </c>
      <c r="AW17" s="714"/>
      <c r="AX17" s="714"/>
      <c r="AY17" s="714"/>
      <c r="AZ17" s="723"/>
      <c r="BA17" s="714"/>
      <c r="BB17" s="725"/>
      <c r="BC17" s="727"/>
      <c r="BD17" s="727"/>
      <c r="BE17" s="727"/>
      <c r="BF17" s="729"/>
    </row>
    <row r="18" spans="1:58" customHeight="1" ht="13.9">
      <c r="A18" s="485" t="str">
        <f>IF(B18="","",16)</f>
        <v/>
      </c>
      <c r="B18" s="226"/>
      <c r="C18" s="69"/>
      <c r="D18" s="70"/>
      <c r="E18" s="76"/>
      <c r="F18" s="70"/>
      <c r="G18" s="76"/>
      <c r="H18" s="70"/>
      <c r="I18" s="491"/>
      <c r="J18" s="491"/>
      <c r="K18" s="70"/>
      <c r="L18" s="494"/>
      <c r="M18" s="494"/>
      <c r="N18" s="76"/>
      <c r="O18" s="76"/>
      <c r="P18" s="467"/>
      <c r="Q18" s="412"/>
      <c r="R18" s="410"/>
      <c r="S18" s="242"/>
      <c r="T18" s="401"/>
      <c r="U18" s="407"/>
      <c r="V18" s="249"/>
      <c r="W18" s="401"/>
      <c r="X18" s="278"/>
      <c r="Y18" s="78"/>
      <c r="Z18" s="403"/>
      <c r="AA18" s="281"/>
      <c r="AB18" s="79"/>
      <c r="AC18" s="85"/>
      <c r="AD18" s="55" t="str">
        <f>IF(B18="","",(((C18+F18+H18+K18+Q18+N18+O18)*50))+((E18*10))+(((I18+J18+D18+G18+L18+M18+U18)*25)+(X18*25)+(Y18*25)+(Z18*25)+(AA18*25)+(AB18*40)+(AC18*50)+(R18*1)+(S18*1)+(T18*1)))</f>
        <v/>
      </c>
      <c r="AE18" s="55" t="str">
        <f>IF(B18="","",C18+F18+H18+K18+Q18+N18+O18+((I18+J18+D18+G18+U18)/2)+(R18/50)+(S18/50)+(T18/50)+(E18/5))</f>
        <v/>
      </c>
      <c r="AF18" s="56" t="str">
        <f>IF(B18="","",((AE18*50)/AD18))</f>
        <v/>
      </c>
      <c r="AG18" s="57" t="str">
        <f>IF(C18="","",((Z18)*25)/AD18)</f>
        <v/>
      </c>
      <c r="AH18" s="57" t="str">
        <f>IF(B18="","",(X18*25)/AD18)</f>
        <v/>
      </c>
      <c r="AI18" s="57" t="str">
        <f>IF(B18="","",(Y18*25)/AD18)</f>
        <v/>
      </c>
      <c r="AJ18" s="57" t="str">
        <f>IF(B18="","",(AA18*25)/AD18)</f>
        <v/>
      </c>
      <c r="AK18" s="58" t="str">
        <f>IF(B18="","",(AB18*40)/AD18)</f>
        <v/>
      </c>
      <c r="AL18" s="58" t="str">
        <f>IF(B18="","",(AC18*50)/AD18)</f>
        <v/>
      </c>
      <c r="AM18" s="59" t="str">
        <f>IF(B18="","",B18)</f>
        <v/>
      </c>
      <c r="AN18" s="233"/>
      <c r="AO18" s="82"/>
      <c r="AP18" s="234"/>
      <c r="AQ18" s="63" t="str">
        <f>IF(AN18="","",AN18/AO18)</f>
        <v/>
      </c>
      <c r="AR18" s="64" t="str">
        <f>IF(AN18="","",(AD18/AN18)/1000)</f>
        <v/>
      </c>
      <c r="AS18" s="64" t="str">
        <f>IF(AN18="","",AR18*24)</f>
        <v/>
      </c>
      <c r="AT18" s="65" t="str">
        <f>IF(AN18="","",(AD18/1000)*100%/AS18)</f>
        <v/>
      </c>
      <c r="AU18" s="64" t="str">
        <f>IF(AN18="","",(AE18/AN18))</f>
        <v/>
      </c>
      <c r="AV18" s="229" t="str">
        <f>IF(AN18="","",(AD18/AO18)/1000)</f>
        <v/>
      </c>
      <c r="AW18" s="714"/>
      <c r="AX18" s="714"/>
      <c r="AY18" s="714"/>
      <c r="AZ18" s="723"/>
      <c r="BA18" s="714"/>
      <c r="BB18" s="725"/>
      <c r="BC18" s="727"/>
      <c r="BD18" s="727"/>
      <c r="BE18" s="727"/>
      <c r="BF18" s="729"/>
    </row>
    <row r="19" spans="1:58" customHeight="1" ht="13.9">
      <c r="A19" s="485" t="str">
        <f>IF(B19="","",17)</f>
        <v/>
      </c>
      <c r="B19" s="68"/>
      <c r="C19" s="69"/>
      <c r="D19" s="70"/>
      <c r="E19" s="76"/>
      <c r="F19" s="70"/>
      <c r="G19" s="76"/>
      <c r="H19" s="70"/>
      <c r="I19" s="491"/>
      <c r="J19" s="491"/>
      <c r="K19" s="70"/>
      <c r="L19" s="494"/>
      <c r="M19" s="494"/>
      <c r="N19" s="76"/>
      <c r="O19" s="76"/>
      <c r="P19" s="467"/>
      <c r="Q19" s="412"/>
      <c r="R19" s="410"/>
      <c r="S19" s="242"/>
      <c r="T19" s="401"/>
      <c r="U19" s="407"/>
      <c r="V19" s="249"/>
      <c r="W19" s="401"/>
      <c r="X19" s="278"/>
      <c r="Y19" s="78"/>
      <c r="Z19" s="403"/>
      <c r="AA19" s="281"/>
      <c r="AB19" s="79"/>
      <c r="AC19" s="85"/>
      <c r="AD19" s="55" t="str">
        <f>IF(B19="","",(((C19+F19+H19+K19+Q19+N19+O19)*50))+((E19*10))+(((I19+J19+D19+G19+L19+M19+U19)*25)+(X19*25)+(Y19*25)+(Z19*25)+(AA19*25)+(AB19*40)+(AC19*50)+(R19*1)+(S19*1)+(T19*1)))</f>
        <v/>
      </c>
      <c r="AE19" s="55" t="str">
        <f>IF(B19="","",C19+F19+H19+K19+Q19+N19+O19+((I19+J19+D19+G19+U19)/2)+(R19/50)+(S19/50)+(T19/50)+(E19/5))</f>
        <v/>
      </c>
      <c r="AF19" s="56" t="str">
        <f>IF(B19="","",((AE19*50)/AD19))</f>
        <v/>
      </c>
      <c r="AG19" s="57" t="str">
        <f>IF(C19="","",((Z19)*25)/AD19)</f>
        <v/>
      </c>
      <c r="AH19" s="57" t="str">
        <f>IF(B19="","",(X19*25)/AD19)</f>
        <v/>
      </c>
      <c r="AI19" s="57" t="str">
        <f>IF(B19="","",(Y19*25)/AD19)</f>
        <v/>
      </c>
      <c r="AJ19" s="57" t="str">
        <f>IF(B19="","",(AA19*25)/AD19)</f>
        <v/>
      </c>
      <c r="AK19" s="58" t="str">
        <f>IF(B19="","",(AB19*40)/AD19)</f>
        <v/>
      </c>
      <c r="AL19" s="58" t="str">
        <f>IF(B19="","",(AC19*50)/AD19)</f>
        <v/>
      </c>
      <c r="AM19" s="59" t="str">
        <f>IF(B19="","",B19)</f>
        <v/>
      </c>
      <c r="AN19" s="233"/>
      <c r="AO19" s="82"/>
      <c r="AP19" s="234"/>
      <c r="AQ19" s="63" t="str">
        <f>IF(AN19="","",AN19/AO19)</f>
        <v/>
      </c>
      <c r="AR19" s="64" t="str">
        <f>IF(AN19="","",(AD19/AN19)/1000)</f>
        <v/>
      </c>
      <c r="AS19" s="64" t="str">
        <f>IF(AN19="","",AR19*24)</f>
        <v/>
      </c>
      <c r="AT19" s="65" t="str">
        <f>IF(AN19="","",(AD19/1000)*100%/AS19)</f>
        <v/>
      </c>
      <c r="AU19" s="64" t="str">
        <f>IF(AN19="","",(AE19/AN19))</f>
        <v/>
      </c>
      <c r="AV19" s="229" t="str">
        <f>IF(AN19="","",(AD19/AO19)/1000)</f>
        <v/>
      </c>
      <c r="AW19" s="714"/>
      <c r="AX19" s="714"/>
      <c r="AY19" s="714"/>
      <c r="AZ19" s="723"/>
      <c r="BA19" s="714"/>
      <c r="BB19" s="725"/>
      <c r="BC19" s="727"/>
      <c r="BD19" s="727"/>
      <c r="BE19" s="727"/>
      <c r="BF19" s="729"/>
    </row>
    <row r="20" spans="1:58" customHeight="1" ht="13.9">
      <c r="A20" s="485" t="str">
        <f>IF(B20="","",1+A19)</f>
        <v/>
      </c>
      <c r="B20" s="68"/>
      <c r="C20" s="69"/>
      <c r="D20" s="70"/>
      <c r="E20" s="76"/>
      <c r="F20" s="70"/>
      <c r="G20" s="76"/>
      <c r="H20" s="70"/>
      <c r="I20" s="491"/>
      <c r="J20" s="491"/>
      <c r="K20" s="70"/>
      <c r="L20" s="494"/>
      <c r="M20" s="494"/>
      <c r="N20" s="76"/>
      <c r="O20" s="76"/>
      <c r="P20" s="467"/>
      <c r="Q20" s="412"/>
      <c r="R20" s="410"/>
      <c r="S20" s="242"/>
      <c r="T20" s="401"/>
      <c r="U20" s="407"/>
      <c r="V20" s="249"/>
      <c r="W20" s="401"/>
      <c r="X20" s="278"/>
      <c r="Y20" s="78"/>
      <c r="Z20" s="403"/>
      <c r="AA20" s="281"/>
      <c r="AB20" s="79"/>
      <c r="AC20" s="85"/>
      <c r="AD20" s="55" t="str">
        <f>IF(B20="","",(((C20+F20+H20+K20+Q20+N20+O20)*50))+((E20*10))+(((I20+J20+D20+G20+L20+M20+U20)*25)+(X20*25)+(Y20*25)+(Z20*25)+(AA20*25)+(AB20*40)+(AC20*50)+(R20*1)+(S20*1)+(T20*1)))</f>
        <v/>
      </c>
      <c r="AE20" s="55" t="str">
        <f>IF(B20="","",C20+F20+H20+K20+Q20+N20+O20+((I20+J20+D20+G20+U20)/2)+(R20/50)+(S20/50)+(T20/50)+(E20/5))</f>
        <v/>
      </c>
      <c r="AF20" s="56" t="str">
        <f>IF(B20="","",((AE20*50)/AD20))</f>
        <v/>
      </c>
      <c r="AG20" s="57" t="str">
        <f>IF(C20="","",((Z20)*25)/AD20)</f>
        <v/>
      </c>
      <c r="AH20" s="57" t="str">
        <f>IF(B20="","",(X20*25)/AD20)</f>
        <v/>
      </c>
      <c r="AI20" s="57" t="str">
        <f>IF(B20="","",(Y20*25)/AD20)</f>
        <v/>
      </c>
      <c r="AJ20" s="57" t="str">
        <f>IF(B20="","",(AA20*25)/AD20)</f>
        <v/>
      </c>
      <c r="AK20" s="58" t="str">
        <f>IF(B20="","",(AB20*40)/AD20)</f>
        <v/>
      </c>
      <c r="AL20" s="58" t="str">
        <f>IF(B20="","",(AC20*50)/AD20)</f>
        <v/>
      </c>
      <c r="AM20" s="59" t="str">
        <f>IF(B20="","",B20)</f>
        <v/>
      </c>
      <c r="AN20" s="233"/>
      <c r="AO20" s="82"/>
      <c r="AP20" s="234"/>
      <c r="AQ20" s="63" t="str">
        <f>IF(AN20="","",AN20/AO20)</f>
        <v/>
      </c>
      <c r="AR20" s="64" t="str">
        <f>IF(AN20="","",(AD20/AN20)/1000)</f>
        <v/>
      </c>
      <c r="AS20" s="64" t="str">
        <f>IF(AN20="","",AR20*24)</f>
        <v/>
      </c>
      <c r="AT20" s="65" t="str">
        <f>IF(AN20="","",(AD20/1000)*100%/AS20)</f>
        <v/>
      </c>
      <c r="AU20" s="64" t="str">
        <f>IF(AN20="","",(AE20/AN20))</f>
        <v/>
      </c>
      <c r="AV20" s="229" t="str">
        <f>IF(AN20="","",(AD20/AO20)/1000)</f>
        <v/>
      </c>
      <c r="AW20" s="714"/>
      <c r="AX20" s="714"/>
      <c r="AY20" s="714"/>
      <c r="AZ20" s="723"/>
      <c r="BA20" s="714"/>
      <c r="BB20" s="725"/>
      <c r="BC20" s="727"/>
      <c r="BD20" s="727"/>
      <c r="BE20" s="727"/>
      <c r="BF20" s="729"/>
    </row>
    <row r="21" spans="1:58" customHeight="1" ht="13.9">
      <c r="A21" s="485" t="str">
        <f>IF(B21="","",1+A20)</f>
        <v/>
      </c>
      <c r="B21" s="68"/>
      <c r="C21" s="69"/>
      <c r="D21" s="70"/>
      <c r="E21" s="76"/>
      <c r="F21" s="70"/>
      <c r="G21" s="76"/>
      <c r="H21" s="70"/>
      <c r="I21" s="491"/>
      <c r="J21" s="491"/>
      <c r="K21" s="70"/>
      <c r="L21" s="494"/>
      <c r="M21" s="494"/>
      <c r="N21" s="76"/>
      <c r="O21" s="76"/>
      <c r="P21" s="467"/>
      <c r="Q21" s="412"/>
      <c r="R21" s="410"/>
      <c r="S21" s="242"/>
      <c r="T21" s="401"/>
      <c r="U21" s="407"/>
      <c r="V21" s="249"/>
      <c r="W21" s="401"/>
      <c r="X21" s="278"/>
      <c r="Y21" s="78"/>
      <c r="Z21" s="403"/>
      <c r="AA21" s="281"/>
      <c r="AB21" s="79"/>
      <c r="AC21" s="85"/>
      <c r="AD21" s="55"/>
      <c r="AE21" s="55" t="str">
        <f>IF(B21="","",C21+F21+H21+K21+Q21+N21+O21+((I21+J21+D21+G21+U21)/2)+(R21/50)+(S21/50)+(T21/50)+(E21/5))</f>
        <v/>
      </c>
      <c r="AF21" s="56" t="str">
        <f>IF(B21="","",((AE21*50)/AD21))</f>
        <v/>
      </c>
      <c r="AG21" s="57" t="str">
        <f>IF(C21="","",((Z21)*25)/AD21)</f>
        <v/>
      </c>
      <c r="AH21" s="57" t="str">
        <f>IF(B21="","",(X21*25)/AD21)</f>
        <v/>
      </c>
      <c r="AI21" s="57" t="str">
        <f>IF(B21="","",(Y21*25)/AD21)</f>
        <v/>
      </c>
      <c r="AJ21" s="57" t="str">
        <f>IF(B21="","",(AA21*25)/AD21)</f>
        <v/>
      </c>
      <c r="AK21" s="58" t="str">
        <f>IF(B21="","",(AB21*40)/AD21)</f>
        <v/>
      </c>
      <c r="AL21" s="58" t="str">
        <f>IF(B21="","",(AC21*50)/AD21)</f>
        <v/>
      </c>
      <c r="AM21" s="59" t="str">
        <f>IF(B21="","",B21)</f>
        <v/>
      </c>
      <c r="AN21" s="233"/>
      <c r="AO21" s="82"/>
      <c r="AP21" s="234"/>
      <c r="AQ21" s="63" t="str">
        <f>IF(AN21="","",AN21/AO21)</f>
        <v/>
      </c>
      <c r="AR21" s="64" t="str">
        <f>IF(AN21="","",(AD21/AN21)/1000)</f>
        <v/>
      </c>
      <c r="AS21" s="64" t="str">
        <f>IF(AN21="","",AR21*24)</f>
        <v/>
      </c>
      <c r="AT21" s="65" t="str">
        <f>IF(AN21="","",(AD21/1000)*100%/AS21)</f>
        <v/>
      </c>
      <c r="AU21" s="64" t="str">
        <f>IF(AN21="","",(AE21/AN21))</f>
        <v/>
      </c>
      <c r="AV21" s="229" t="str">
        <f>IF(AN21="","",(AD21/AO21)/1000)</f>
        <v/>
      </c>
      <c r="AW21" s="714"/>
      <c r="AX21" s="714"/>
      <c r="AY21" s="714"/>
      <c r="AZ21" s="723"/>
      <c r="BA21" s="714"/>
      <c r="BB21" s="725"/>
      <c r="BC21" s="727"/>
      <c r="BD21" s="727"/>
      <c r="BE21" s="727"/>
      <c r="BF21" s="729"/>
    </row>
    <row r="22" spans="1:58" customHeight="1" ht="13.9">
      <c r="A22" s="485" t="str">
        <f>IF(B22="","",1+A21)</f>
        <v/>
      </c>
      <c r="B22" s="68"/>
      <c r="C22" s="69"/>
      <c r="D22" s="70"/>
      <c r="E22" s="76"/>
      <c r="F22" s="70"/>
      <c r="G22" s="76"/>
      <c r="H22" s="70"/>
      <c r="I22" s="76"/>
      <c r="J22" s="76"/>
      <c r="K22" s="70"/>
      <c r="L22" s="494"/>
      <c r="M22" s="494"/>
      <c r="N22" s="76"/>
      <c r="O22" s="76"/>
      <c r="P22" s="467"/>
      <c r="Q22" s="412"/>
      <c r="R22" s="410"/>
      <c r="S22" s="242"/>
      <c r="T22" s="401"/>
      <c r="U22" s="407"/>
      <c r="V22" s="249"/>
      <c r="W22" s="401"/>
      <c r="X22" s="278"/>
      <c r="Y22" s="78"/>
      <c r="Z22" s="403"/>
      <c r="AA22" s="281"/>
      <c r="AB22" s="79"/>
      <c r="AC22" s="85"/>
      <c r="AD22" s="55" t="str">
        <f>IF(B22="","",(((C22+F22+H22+K22+Q22+N22+O22)*50))+((E22*10))+(((I22+J22+D22+G22+L22+M22+U22)*25)+(X22*25)+(Y22*25)+(Z22*25)+(AA22*25)+(AB22*40)+(AC22*50)+(R22*1)+(S22*1)+(T22*1)))</f>
        <v/>
      </c>
      <c r="AE22" s="55" t="str">
        <f>IF(B22="","",C22+F22+H22+K22+Q22+N22+O22+((I22+J22+D22+G22+U22)/2)+(R22/50)+(S22/50)+(T22/50)+(E22/5))</f>
        <v/>
      </c>
      <c r="AF22" s="56" t="str">
        <f>IF(B22="","",((AE22*50)/AD22))</f>
        <v/>
      </c>
      <c r="AG22" s="57" t="str">
        <f>IF(C22="","",((Z22)*25)/AD22)</f>
        <v/>
      </c>
      <c r="AH22" s="57" t="str">
        <f>IF(B22="","",(X22*25)/AD22)</f>
        <v/>
      </c>
      <c r="AI22" s="57" t="str">
        <f>IF(B22="","",(Y22*25)/AD22)</f>
        <v/>
      </c>
      <c r="AJ22" s="57" t="str">
        <f>IF(B22="","",(AA22*25)/AD22)</f>
        <v/>
      </c>
      <c r="AK22" s="58" t="str">
        <f>IF(B22="","",(AB22*40)/AD22)</f>
        <v/>
      </c>
      <c r="AL22" s="58" t="str">
        <f>IF(B22="","",(AC22*50)/AD22)</f>
        <v/>
      </c>
      <c r="AM22" s="59" t="str">
        <f>IF(B22="","",B22)</f>
        <v/>
      </c>
      <c r="AN22" s="233"/>
      <c r="AO22" s="82"/>
      <c r="AP22" s="234"/>
      <c r="AQ22" s="63" t="str">
        <f>IF(AN22="","",AN22/AO22)</f>
        <v/>
      </c>
      <c r="AR22" s="64" t="str">
        <f>IF(AN22="","",(AD22/AN22)/1000)</f>
        <v/>
      </c>
      <c r="AS22" s="64" t="str">
        <f>IF(AN22="","",AR22*24)</f>
        <v/>
      </c>
      <c r="AT22" s="65" t="str">
        <f>IF(AN22="","",(AD22/1000)*100%/AS22)</f>
        <v/>
      </c>
      <c r="AU22" s="64" t="str">
        <f>IF(AN22="","",(AE22/AN22))</f>
        <v/>
      </c>
      <c r="AV22" s="229" t="str">
        <f>IF(AN22="","",(AD22/AO22)/1000)</f>
        <v/>
      </c>
      <c r="AW22" s="714"/>
      <c r="AX22" s="714"/>
      <c r="AY22" s="714"/>
      <c r="AZ22" s="723"/>
      <c r="BA22" s="714"/>
      <c r="BB22" s="725"/>
      <c r="BC22" s="727"/>
      <c r="BD22" s="727"/>
      <c r="BE22" s="727"/>
      <c r="BF22" s="729"/>
    </row>
    <row r="23" spans="1:58" customHeight="1" ht="13.9">
      <c r="A23" s="485" t="str">
        <f>IF(B23="","",1+A22)</f>
        <v/>
      </c>
      <c r="B23" s="68"/>
      <c r="C23" s="69"/>
      <c r="D23" s="70"/>
      <c r="E23" s="76"/>
      <c r="F23" s="70"/>
      <c r="G23" s="76"/>
      <c r="H23" s="70"/>
      <c r="I23" s="76"/>
      <c r="J23" s="76"/>
      <c r="K23" s="70"/>
      <c r="L23" s="494"/>
      <c r="M23" s="494"/>
      <c r="N23" s="76"/>
      <c r="O23" s="76"/>
      <c r="P23" s="467"/>
      <c r="Q23" s="412"/>
      <c r="R23" s="410"/>
      <c r="S23" s="242"/>
      <c r="T23" s="401"/>
      <c r="U23" s="407"/>
      <c r="V23" s="249"/>
      <c r="W23" s="401"/>
      <c r="X23" s="278"/>
      <c r="Y23" s="78"/>
      <c r="Z23" s="403"/>
      <c r="AA23" s="281"/>
      <c r="AB23" s="79"/>
      <c r="AC23" s="85"/>
      <c r="AD23" s="55"/>
      <c r="AE23" s="55" t="str">
        <f>IF(B23="","",C23+F23+H23+K23+Q23+N23+O23+((I23+J23+D23+G23+U23)/2)+(R23/50)+(S23/50)+(T23/50)+(E23/5))</f>
        <v/>
      </c>
      <c r="AF23" s="56" t="str">
        <f>IF(B23="","",((AE23*50)/AD23))</f>
        <v/>
      </c>
      <c r="AG23" s="57" t="str">
        <f>IF(C23="","",((Z23)*25)/AD23)</f>
        <v/>
      </c>
      <c r="AH23" s="57" t="str">
        <f>IF(B23="","",(X23*25)/AD23)</f>
        <v/>
      </c>
      <c r="AI23" s="57" t="str">
        <f>IF(B23="","",(Y23*25)/AD23)</f>
        <v/>
      </c>
      <c r="AJ23" s="57" t="str">
        <f>IF(B23="","",(AA23*25)/AD23)</f>
        <v/>
      </c>
      <c r="AK23" s="58" t="str">
        <f>IF(B23="","",(AB23*40)/AD23)</f>
        <v/>
      </c>
      <c r="AL23" s="58" t="str">
        <f>IF(B23="","",(AC23*50)/AD23)</f>
        <v/>
      </c>
      <c r="AM23" s="59" t="str">
        <f>IF(B23="","",B23)</f>
        <v/>
      </c>
      <c r="AN23" s="233"/>
      <c r="AO23" s="82"/>
      <c r="AP23" s="234"/>
      <c r="AQ23" s="63" t="str">
        <f>IF(AN23="","",AN23/AO23)</f>
        <v/>
      </c>
      <c r="AR23" s="64" t="str">
        <f>IF(AN23="","",(AD23/AN23)/1000)</f>
        <v/>
      </c>
      <c r="AS23" s="64" t="str">
        <f>IF(AN23="","",AR23*24)</f>
        <v/>
      </c>
      <c r="AT23" s="65" t="str">
        <f>IF(AN23="","",(AD23/1000)*100%/AS23)</f>
        <v/>
      </c>
      <c r="AU23" s="64" t="str">
        <f>IF(AN23="","",(AE23/AN23))</f>
        <v/>
      </c>
      <c r="AV23" s="229" t="str">
        <f>IF(AN23="","",(AD23/AO23)/1000)</f>
        <v/>
      </c>
      <c r="AW23" s="714"/>
      <c r="AX23" s="714"/>
      <c r="AY23" s="714"/>
      <c r="AZ23" s="723"/>
      <c r="BA23" s="714"/>
      <c r="BB23" s="725"/>
      <c r="BC23" s="727"/>
      <c r="BD23" s="727"/>
      <c r="BE23" s="727"/>
      <c r="BF23" s="729"/>
    </row>
    <row r="24" spans="1:58" customHeight="1" ht="13.9">
      <c r="A24" s="485" t="str">
        <f>IF(B24="","",1+A23)</f>
        <v/>
      </c>
      <c r="B24" s="68"/>
      <c r="C24" s="69"/>
      <c r="D24" s="70"/>
      <c r="E24" s="76"/>
      <c r="F24" s="70"/>
      <c r="G24" s="76"/>
      <c r="H24" s="70"/>
      <c r="I24" s="76"/>
      <c r="J24" s="76"/>
      <c r="K24" s="70"/>
      <c r="L24" s="494"/>
      <c r="M24" s="494"/>
      <c r="N24" s="76"/>
      <c r="O24" s="76"/>
      <c r="P24" s="467"/>
      <c r="Q24" s="412"/>
      <c r="R24" s="410"/>
      <c r="S24" s="242"/>
      <c r="T24" s="401"/>
      <c r="U24" s="407"/>
      <c r="V24" s="249"/>
      <c r="W24" s="401"/>
      <c r="X24" s="278"/>
      <c r="Y24" s="78"/>
      <c r="Z24" s="403"/>
      <c r="AA24" s="281"/>
      <c r="AB24" s="79"/>
      <c r="AC24" s="85"/>
      <c r="AD24" s="55" t="str">
        <f>IF(B24="","",(((C24+F24+H24+K24+Q24+N24+O24)*50))+((E24*10))+(((I24+J24+D24+G24+L24+M24+U24)*25)+(X24*25)+(Y24*25)+(Z24*25)+(AA24*25)+(AB24*40)+(AC24*50)+(R24*1)+(S24*1)+(T24*1)))</f>
        <v/>
      </c>
      <c r="AE24" s="55" t="str">
        <f>IF(B24="","",C24+F24+H24+K24+Q24+N24+O24+((I24+J24+D24+G24+U24)/2)+(R24/50)+(S24/50)+(T24/50)+(E24/5))</f>
        <v/>
      </c>
      <c r="AF24" s="56" t="str">
        <f>IF(B24="","",((AE24*50)/AD24))</f>
        <v/>
      </c>
      <c r="AG24" s="57" t="str">
        <f>IF(C24="","",((Z24)*25)/AD24)</f>
        <v/>
      </c>
      <c r="AH24" s="57" t="str">
        <f>IF(B24="","",(X24*25)/AD24)</f>
        <v/>
      </c>
      <c r="AI24" s="57" t="str">
        <f>IF(B24="","",(Y24*25)/AD24)</f>
        <v/>
      </c>
      <c r="AJ24" s="57" t="str">
        <f>IF(B24="","",(AA24*25)/AD24)</f>
        <v/>
      </c>
      <c r="AK24" s="58" t="str">
        <f>IF(B24="","",(AB24*40)/AD24)</f>
        <v/>
      </c>
      <c r="AL24" s="58" t="str">
        <f>IF(B24="","",(AC24*50)/AD24)</f>
        <v/>
      </c>
      <c r="AM24" s="59" t="str">
        <f>IF(B24="","",B24)</f>
        <v/>
      </c>
      <c r="AN24" s="233"/>
      <c r="AO24" s="82"/>
      <c r="AP24" s="234"/>
      <c r="AQ24" s="63" t="str">
        <f>IF(AN24="","",AN24/AO24)</f>
        <v/>
      </c>
      <c r="AR24" s="64" t="str">
        <f>IF(AN24="","",(AD24/AN24)/1000)</f>
        <v/>
      </c>
      <c r="AS24" s="64" t="str">
        <f>IF(AN24="","",AR24*24)</f>
        <v/>
      </c>
      <c r="AT24" s="65" t="str">
        <f>IF(AN24="","",(AD24/1000)*100%/AS24)</f>
        <v/>
      </c>
      <c r="AU24" s="64" t="str">
        <f>IF(AN24="","",(AE24/AN24))</f>
        <v/>
      </c>
      <c r="AV24" s="229" t="str">
        <f>IF(AN24="","",(AD24/AO24)/1000)</f>
        <v/>
      </c>
      <c r="AW24" s="714"/>
      <c r="AX24" s="714"/>
      <c r="AY24" s="714"/>
      <c r="AZ24" s="723"/>
      <c r="BA24" s="714"/>
      <c r="BB24" s="725"/>
      <c r="BC24" s="727"/>
      <c r="BD24" s="727"/>
      <c r="BE24" s="727"/>
      <c r="BF24" s="729"/>
    </row>
    <row r="25" spans="1:58" customHeight="1" ht="13.9">
      <c r="A25" s="485"/>
      <c r="B25" s="68"/>
      <c r="C25" s="415"/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/>
      <c r="S25" s="242"/>
      <c r="T25" s="401"/>
      <c r="U25" s="407"/>
      <c r="V25" s="249"/>
      <c r="W25" s="401"/>
      <c r="X25" s="278"/>
      <c r="Y25" s="78"/>
      <c r="Z25" s="403"/>
      <c r="AA25" s="281"/>
      <c r="AB25" s="79"/>
      <c r="AC25" s="85"/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str">
        <f>IF(C25="","",((Z25)*25)/AD25)</f>
        <v/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492" t="str">
        <f>IF(AN25="","",(AD25/AO25)/1000)</f>
        <v/>
      </c>
      <c r="AW25" s="714"/>
      <c r="AX25" s="714"/>
      <c r="AY25" s="714"/>
      <c r="AZ25" s="723"/>
      <c r="BA25" s="714"/>
      <c r="BB25" s="725"/>
      <c r="BC25" s="727"/>
      <c r="BD25" s="727"/>
      <c r="BE25" s="727"/>
      <c r="BF25" s="729"/>
    </row>
    <row r="26" spans="1:58" customHeight="1" ht="13.9">
      <c r="A26" s="485"/>
      <c r="B26" s="68"/>
      <c r="C26" s="69"/>
      <c r="D26" s="70"/>
      <c r="E26" s="76"/>
      <c r="F26" s="70"/>
      <c r="G26" s="76"/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/>
      <c r="S26" s="242"/>
      <c r="T26" s="401"/>
      <c r="U26" s="407"/>
      <c r="V26" s="249"/>
      <c r="W26" s="401"/>
      <c r="X26" s="278"/>
      <c r="Y26" s="78"/>
      <c r="Z26" s="403"/>
      <c r="AA26" s="281"/>
      <c r="AB26" s="79"/>
      <c r="AC26" s="85"/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str">
        <f>IF(C26="","",((Z26)*25)/AD26)</f>
        <v/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229" t="str">
        <f>IF(AN26="","",(AD26/AO26)/1000)</f>
        <v/>
      </c>
      <c r="AW26" s="714"/>
      <c r="AX26" s="714"/>
      <c r="AY26" s="714"/>
      <c r="AZ26" s="723"/>
      <c r="BA26" s="714"/>
      <c r="BB26" s="725"/>
      <c r="BC26" s="727"/>
      <c r="BD26" s="727"/>
      <c r="BE26" s="727"/>
      <c r="BF26" s="729"/>
    </row>
    <row r="27" spans="1:58" customHeight="1" ht="13.9">
      <c r="A27" s="485"/>
      <c r="B27" s="68"/>
      <c r="C27" s="69"/>
      <c r="D27" s="70"/>
      <c r="E27" s="76"/>
      <c r="F27" s="70"/>
      <c r="G27" s="76"/>
      <c r="H27" s="70"/>
      <c r="I27" s="76"/>
      <c r="J27" s="76"/>
      <c r="K27" s="70"/>
      <c r="L27" s="494"/>
      <c r="M27" s="494"/>
      <c r="N27" s="76"/>
      <c r="O27" s="76"/>
      <c r="P27" s="467"/>
      <c r="Q27" s="412"/>
      <c r="R27" s="410"/>
      <c r="S27" s="242"/>
      <c r="T27" s="401"/>
      <c r="U27" s="407"/>
      <c r="V27" s="249"/>
      <c r="W27" s="401"/>
      <c r="X27" s="278"/>
      <c r="Y27" s="78"/>
      <c r="Z27" s="403"/>
      <c r="AA27" s="281"/>
      <c r="AB27" s="79"/>
      <c r="AC27" s="85"/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str">
        <f>IF(C27="","",((Z27)*25)/AD27)</f>
        <v/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23"/>
      <c r="BA27" s="714"/>
      <c r="BB27" s="725"/>
      <c r="BC27" s="727"/>
      <c r="BD27" s="727"/>
      <c r="BE27" s="727"/>
      <c r="BF27" s="729"/>
    </row>
    <row r="28" spans="1:58">
      <c r="A28" s="41"/>
      <c r="B28" s="68"/>
      <c r="C28" s="69"/>
      <c r="D28" s="70"/>
      <c r="E28" s="76"/>
      <c r="F28" s="70"/>
      <c r="G28" s="76"/>
      <c r="H28" s="70"/>
      <c r="I28" s="75"/>
      <c r="J28" s="75"/>
      <c r="K28" s="70"/>
      <c r="L28" s="494"/>
      <c r="M28" s="494"/>
      <c r="N28" s="76"/>
      <c r="O28" s="76"/>
      <c r="P28" s="467"/>
      <c r="Q28" s="412"/>
      <c r="R28" s="410"/>
      <c r="S28" s="242"/>
      <c r="T28" s="401"/>
      <c r="U28" s="407"/>
      <c r="V28" s="249"/>
      <c r="W28" s="401"/>
      <c r="X28" s="278"/>
      <c r="Y28" s="78"/>
      <c r="Z28" s="403"/>
      <c r="AA28" s="281"/>
      <c r="AB28" s="79"/>
      <c r="AC28" s="85"/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str">
        <f>IF(C28="","",((Z28)*25)/AD28)</f>
        <v/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23"/>
      <c r="BA28" s="714"/>
      <c r="BB28" s="725"/>
      <c r="BC28" s="727"/>
      <c r="BD28" s="727"/>
      <c r="BE28" s="727"/>
      <c r="BF28" s="729"/>
    </row>
    <row r="29" spans="1:58">
      <c r="A29" s="41"/>
      <c r="B29" s="68"/>
      <c r="C29" s="69"/>
      <c r="D29" s="70"/>
      <c r="E29" s="76"/>
      <c r="F29" s="70"/>
      <c r="G29" s="430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/>
      <c r="S29" s="242"/>
      <c r="T29" s="401"/>
      <c r="U29" s="407"/>
      <c r="V29" s="249"/>
      <c r="W29" s="401"/>
      <c r="X29" s="278"/>
      <c r="Y29" s="78"/>
      <c r="Z29" s="403"/>
      <c r="AA29" s="281"/>
      <c r="AB29" s="79"/>
      <c r="AC29" s="85"/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str">
        <f>IF(C29="","",((Z29)*25)/AD29)</f>
        <v/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23"/>
      <c r="BA29" s="714"/>
      <c r="BB29" s="725"/>
      <c r="BC29" s="727"/>
      <c r="BD29" s="727"/>
      <c r="BE29" s="727"/>
      <c r="BF29" s="729"/>
    </row>
    <row r="30" spans="1:58">
      <c r="A30" s="41" t="str">
        <f>IF(B30="","",1+A29)</f>
        <v/>
      </c>
      <c r="B30" s="425"/>
      <c r="C30" s="426"/>
      <c r="D30" s="427"/>
      <c r="E30" s="428"/>
      <c r="F30" s="460"/>
      <c r="G30" s="459"/>
      <c r="H30" s="427"/>
      <c r="I30" s="429"/>
      <c r="J30" s="429"/>
      <c r="K30" s="427"/>
      <c r="L30" s="495"/>
      <c r="M30" s="495"/>
      <c r="N30" s="430"/>
      <c r="O30" s="430"/>
      <c r="P30" s="468"/>
      <c r="Q30" s="431"/>
      <c r="R30" s="432"/>
      <c r="S30" s="433"/>
      <c r="T30" s="434"/>
      <c r="U30" s="435"/>
      <c r="V30" s="436"/>
      <c r="W30" s="434"/>
      <c r="X30" s="279"/>
      <c r="Y30" s="437"/>
      <c r="Z30" s="438"/>
      <c r="AA30" s="439"/>
      <c r="AB30" s="440"/>
      <c r="AC30" s="441"/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str">
        <f>IF(C30="","",((Z30)*25)/AD30)</f>
        <v/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443"/>
      <c r="AO30" s="444"/>
      <c r="AP30" s="445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23"/>
      <c r="BA30" s="714"/>
      <c r="BB30" s="725"/>
      <c r="BC30" s="727"/>
      <c r="BD30" s="727"/>
      <c r="BE30" s="727"/>
      <c r="BF30" s="729"/>
    </row>
    <row r="31" spans="1:58">
      <c r="A31" s="41" t="str">
        <f>IF(B31="","",1+A30)</f>
        <v/>
      </c>
      <c r="B31" s="425"/>
      <c r="C31" s="426"/>
      <c r="D31" s="427"/>
      <c r="E31" s="428"/>
      <c r="F31" s="460"/>
      <c r="G31" s="428"/>
      <c r="H31" s="427"/>
      <c r="I31" s="429"/>
      <c r="J31" s="429"/>
      <c r="K31" s="427"/>
      <c r="L31" s="495"/>
      <c r="M31" s="495"/>
      <c r="N31" s="430"/>
      <c r="O31" s="430"/>
      <c r="P31" s="468"/>
      <c r="Q31" s="431"/>
      <c r="R31" s="432"/>
      <c r="S31" s="433"/>
      <c r="T31" s="434"/>
      <c r="U31" s="435"/>
      <c r="V31" s="436"/>
      <c r="W31" s="434"/>
      <c r="X31" s="279"/>
      <c r="Y31" s="437"/>
      <c r="Z31" s="438"/>
      <c r="AA31" s="439"/>
      <c r="AB31" s="440"/>
      <c r="AC31" s="441"/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str">
        <f>IF(C31="","",((Z31)*25)/AD31)</f>
        <v/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23"/>
      <c r="BA31" s="714"/>
      <c r="BB31" s="725"/>
      <c r="BC31" s="727"/>
      <c r="BD31" s="727"/>
      <c r="BE31" s="727"/>
      <c r="BF31" s="729"/>
    </row>
    <row r="32" spans="1:58">
      <c r="A32" s="41" t="str">
        <f>IF(B32="","",1+A31)</f>
        <v/>
      </c>
      <c r="B32" s="425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/>
      <c r="S32" s="433"/>
      <c r="T32" s="434"/>
      <c r="U32" s="435"/>
      <c r="V32" s="436"/>
      <c r="W32" s="434"/>
      <c r="X32" s="279"/>
      <c r="Y32" s="437"/>
      <c r="Z32" s="438"/>
      <c r="AA32" s="439"/>
      <c r="AB32" s="440"/>
      <c r="AC32" s="441"/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23"/>
      <c r="BA32" s="714"/>
      <c r="BB32" s="725"/>
      <c r="BC32" s="727"/>
      <c r="BD32" s="727"/>
      <c r="BE32" s="727"/>
      <c r="BF32" s="729"/>
    </row>
    <row r="33" spans="1:58">
      <c r="A33" s="41" t="str">
        <f>IF(B33="","",1+A32)</f>
        <v/>
      </c>
      <c r="B33" s="425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23"/>
      <c r="BA33" s="714"/>
      <c r="BB33" s="725"/>
      <c r="BC33" s="727"/>
      <c r="BD33" s="727"/>
      <c r="BE33" s="727"/>
      <c r="BF33" s="729"/>
    </row>
    <row r="34" spans="1:58">
      <c r="A34" s="41" t="str">
        <f>IF(B34="","",1+A33)</f>
        <v/>
      </c>
      <c r="B34" s="442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452"/>
      <c r="AX34" s="452"/>
      <c r="AY34" s="452"/>
      <c r="AZ34" s="144"/>
      <c r="BA34" s="452"/>
      <c r="BB34" s="455"/>
      <c r="BC34" s="142"/>
      <c r="BD34" s="142"/>
      <c r="BE34" s="142"/>
      <c r="BF34" s="283"/>
    </row>
    <row r="35" spans="1:58">
      <c r="A35" s="41" t="str">
        <f>IF(B35="","",1+A34)</f>
        <v/>
      </c>
      <c r="B35" s="95"/>
      <c r="C35" s="96"/>
      <c r="D35" s="387"/>
      <c r="E35" s="250"/>
      <c r="F35" s="461"/>
      <c r="G35" s="100"/>
      <c r="H35" s="97"/>
      <c r="I35" s="101"/>
      <c r="J35" s="101"/>
      <c r="K35" s="97"/>
      <c r="L35" s="496"/>
      <c r="M35" s="496"/>
      <c r="N35" s="102"/>
      <c r="O35" s="102"/>
      <c r="P35" s="469"/>
      <c r="Q35" s="413"/>
      <c r="R35" s="411"/>
      <c r="S35" s="243"/>
      <c r="T35" s="402"/>
      <c r="U35" s="408"/>
      <c r="V35" s="250"/>
      <c r="W35" s="402"/>
      <c r="X35" s="400"/>
      <c r="Y35" s="104"/>
      <c r="Z35" s="404"/>
      <c r="AA35" s="282"/>
      <c r="AB35" s="105"/>
      <c r="AC35" s="106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6"/>
      <c r="AO35" s="447"/>
      <c r="AP35" s="383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3"/>
      <c r="AX35" s="453"/>
      <c r="AY35" s="453"/>
      <c r="AZ35" s="454"/>
      <c r="BA35" s="453"/>
      <c r="BB35" s="456"/>
      <c r="BC35" s="457"/>
      <c r="BD35" s="457"/>
      <c r="BE35" s="457"/>
      <c r="BF35" s="458"/>
    </row>
    <row r="36" spans="1:58">
      <c r="A36" s="114"/>
      <c r="B36" s="115" t="s">
        <v>67</v>
      </c>
      <c r="C36" s="536">
        <f>SUM(C4:C35)</f>
        <v>0</v>
      </c>
      <c r="D36" s="536">
        <f>SUM(D4:D35)</f>
        <v>0</v>
      </c>
      <c r="E36" s="536">
        <f>SUM(E4:E35)</f>
        <v>0</v>
      </c>
      <c r="F36" s="536">
        <f>SUM(F4:F35)</f>
        <v>0</v>
      </c>
      <c r="G36" s="536">
        <f>SUM(G4:G35)</f>
        <v>0</v>
      </c>
      <c r="H36" s="536">
        <f>SUM(H4:H35)</f>
        <v>0</v>
      </c>
      <c r="I36" s="536">
        <f>SUM(I4:I35)</f>
        <v>0</v>
      </c>
      <c r="J36" s="536">
        <f>SUM(J4:J35)</f>
        <v>0</v>
      </c>
      <c r="K36" s="536">
        <f>SUM(K4:K35)</f>
        <v>0</v>
      </c>
      <c r="L36" s="535">
        <f>SUM(L4:L35)</f>
        <v>0</v>
      </c>
      <c r="M36" s="535">
        <f>SUM(M4:M35)</f>
        <v>0</v>
      </c>
      <c r="N36" s="535">
        <f>SUM(N4:N35)</f>
        <v>0</v>
      </c>
      <c r="O36" s="535">
        <f>SUM(O4:O35)</f>
        <v>0</v>
      </c>
      <c r="P36" s="535">
        <f>SUM(P4:P35)</f>
        <v>0</v>
      </c>
      <c r="Q36" s="536">
        <f>SUM(Q4:Q35)</f>
        <v>0</v>
      </c>
      <c r="R36" s="536">
        <f>SUM(R4:R35)</f>
        <v>0</v>
      </c>
      <c r="S36" s="536">
        <f>SUM(S4:S35)</f>
        <v>0</v>
      </c>
      <c r="T36" s="536">
        <f>SUM(T4:T35)</f>
        <v>0</v>
      </c>
      <c r="U36" s="535">
        <f>SUM(U4:U35)</f>
        <v>0</v>
      </c>
      <c r="V36" s="535">
        <f>SUM(V4:V35)</f>
        <v>0</v>
      </c>
      <c r="W36" s="535">
        <f>SUM(W4:W35)</f>
        <v>0</v>
      </c>
      <c r="X36" s="535">
        <f>SUM(X4:X35)</f>
        <v>0</v>
      </c>
      <c r="Y36" s="535">
        <f>SUM(Y4:Y35)</f>
        <v>0</v>
      </c>
      <c r="Z36" s="535">
        <f>SUM(Z4:Z35)</f>
        <v>0</v>
      </c>
      <c r="AA36" s="536">
        <f>SUM(AA4:AA35)</f>
        <v>0</v>
      </c>
      <c r="AB36" s="536">
        <f>SUM(AB4:AB35)</f>
        <v>0</v>
      </c>
      <c r="AC36" s="536">
        <f>SUM(AC4:AC35)</f>
        <v>0</v>
      </c>
      <c r="AD36" s="117">
        <f>SUM(AD4:AD35)</f>
        <v>0</v>
      </c>
      <c r="AE36" s="118">
        <f>SUM(AE4:AE35)</f>
        <v>0</v>
      </c>
      <c r="AF36" s="119" t="str">
        <f>IF(AD40=0,"",(AE36*50)/AD36)</f>
        <v/>
      </c>
      <c r="AG36" s="120" t="str">
        <f>IF(AD40=0,"",(Z36*50)/AD36)</f>
        <v/>
      </c>
      <c r="AH36" s="6" t="str">
        <f>IF(AD40=0,"",(X36*25)/AD36)</f>
        <v/>
      </c>
      <c r="AI36" s="119" t="str">
        <f>IF(AD40=0,"",(Y36*25)/AD36)</f>
        <v/>
      </c>
      <c r="AJ36" s="119" t="str">
        <f>IF(AD40=0,"",(AA36*25)/AD36)</f>
        <v/>
      </c>
      <c r="AK36" s="119" t="str">
        <f>IF(AD40=0,"",(AB36*40)/AD36)</f>
        <v/>
      </c>
      <c r="AL36" s="119" t="str">
        <f>IF(AD40=0,"",(AC36*50)/AD36)</f>
        <v/>
      </c>
      <c r="AM36" s="115" t="s">
        <v>67</v>
      </c>
      <c r="AN36" s="121">
        <f>SUM(AN4:AN35)</f>
        <v>0</v>
      </c>
      <c r="AO36" s="121">
        <f>SUM(AO4:AO35)</f>
        <v>0</v>
      </c>
      <c r="AP36" s="121">
        <f>SUM(AP4:AP35)</f>
        <v>0</v>
      </c>
      <c r="AQ36" s="122" t="str">
        <f>IF(AN36=0,"",AN36/AO36)</f>
        <v/>
      </c>
      <c r="AR36" s="122" t="str">
        <f>IF(AN36=0,"",(AD36/AN36)/1000)</f>
        <v/>
      </c>
      <c r="AS36" s="121" t="str">
        <f>IF(AN36=0,"",AR36*24)</f>
        <v/>
      </c>
      <c r="AT36" s="123" t="str">
        <f>IF(AN36=0,"",AD40/(AS36*26))</f>
        <v/>
      </c>
      <c r="AU36" s="121" t="str">
        <f>IF(AN36=0,"",(AE36/AN36))</f>
        <v/>
      </c>
      <c r="AV36" s="122" t="str">
        <f>IF(AO36=0,"",(AD36/AO36)/1000)</f>
        <v/>
      </c>
      <c r="AW36" s="124">
        <f>SUM(AW4:AW35)/1000</f>
        <v>0</v>
      </c>
      <c r="AX36" s="124">
        <f>SUM(AX4:AX35)/1000</f>
        <v>0</v>
      </c>
      <c r="AY36" s="124">
        <f>SUM(AY4:AY35)/1000</f>
        <v>0</v>
      </c>
      <c r="AZ36" s="124">
        <f>SUM(AZ4)</f>
        <v>0</v>
      </c>
      <c r="BA36" s="124">
        <f>SUM(BA4:BA35)</f>
        <v>0</v>
      </c>
      <c r="BB36" s="124">
        <f>SUM(BB4:BB35)</f>
        <v>0</v>
      </c>
      <c r="BC36" s="1">
        <f>SUM(BC4:BC35)/1000</f>
        <v>0</v>
      </c>
      <c r="BD36" s="1">
        <f>SUM(BD4:BD35)/1000</f>
        <v>0</v>
      </c>
      <c r="BE36" s="1">
        <f>SUM(BE4:BE35)/1000</f>
        <v>0</v>
      </c>
      <c r="BF36" s="1">
        <f>SUM(BF4:BF35)/1000</f>
        <v>0</v>
      </c>
    </row>
    <row r="37" spans="1:58">
      <c r="B37" s="115" t="s">
        <v>68</v>
      </c>
      <c r="C37" s="116" t="str">
        <f>IF(C36=0,"",AVERAGE(C4:C35))</f>
        <v/>
      </c>
      <c r="D37" s="116" t="str">
        <f>IF(D36=0,"",AVERAGE(D4:D35))</f>
        <v/>
      </c>
      <c r="E37" s="116" t="str">
        <f>IF(E36=0,"",AVERAGE(E4:E35))</f>
        <v/>
      </c>
      <c r="F37" s="116" t="str">
        <f>IF(F36=0,"",AVERAGE(F4:F35))</f>
        <v/>
      </c>
      <c r="G37" s="116" t="str">
        <f>IF(G36=0,"",AVERAGE(G4:G35))</f>
        <v/>
      </c>
      <c r="H37" s="116" t="str">
        <f>IF(H36=0,"",AVERAGE(H4:H35))</f>
        <v/>
      </c>
      <c r="I37" s="116" t="str">
        <f>IF(I36=0,"",AVERAGE(I4:I35))</f>
        <v/>
      </c>
      <c r="J37" s="116" t="str">
        <f>IF(J36=0,"",AVERAGE(J4:J35))</f>
        <v/>
      </c>
      <c r="K37" s="116" t="str">
        <f>IF(K36=0,"",AVERAGE(K4:K35))</f>
        <v/>
      </c>
      <c r="L37" s="116"/>
      <c r="M37" s="116"/>
      <c r="N37" s="116" t="str">
        <f>IF(N36=0,"",AVERAGE(N4:N35))</f>
        <v/>
      </c>
      <c r="O37" s="116" t="str">
        <f>IF(O36=0,"",AVERAGE(O4:O35))</f>
        <v/>
      </c>
      <c r="P37" s="116" t="str">
        <f>IF(P36=0,"",AVERAGE(P4:P35))</f>
        <v/>
      </c>
      <c r="Q37" s="116" t="str">
        <f>IF(Q36=0,"",AVERAGE(Q4:Q35))</f>
        <v/>
      </c>
      <c r="R37" s="116" t="str">
        <f>IF(R36=0,"",AVERAGE(R4:R35))</f>
        <v/>
      </c>
      <c r="S37" s="116" t="str">
        <f>IF(S36=0,"",AVERAGE(S4:S35))</f>
        <v/>
      </c>
      <c r="T37" s="116" t="str">
        <f>IF(T36=0,"",AVERAGE(T4:T35))</f>
        <v/>
      </c>
      <c r="U37" s="116" t="str">
        <f>IF(U36=0,"",AVERAGE(U4:U35))</f>
        <v/>
      </c>
      <c r="V37" s="116" t="str">
        <f>IF(V36=0,"",AVERAGE(V4:V35))</f>
        <v/>
      </c>
      <c r="W37" s="116" t="str">
        <f>IF(W36=0,"",AVERAGE(W4:W35))</f>
        <v/>
      </c>
      <c r="X37" s="116" t="str">
        <f>IF(X36=0,"",AVERAGE(X4:X35))</f>
        <v/>
      </c>
      <c r="Y37" s="116" t="str">
        <f>IF(Y36=0,"",AVERAGE(Y4:Y35))</f>
        <v/>
      </c>
      <c r="Z37" s="116" t="str">
        <f>IF(Z36=0,"",AVERAGE(Z4:Z35))</f>
        <v/>
      </c>
      <c r="AA37" s="116" t="str">
        <f>IF(AA36=0,"",AVERAGE(AA4:AA35))</f>
        <v/>
      </c>
      <c r="AB37" s="116" t="str">
        <f>IF(AB36=0,"",AVERAGE(AB4:AB35))</f>
        <v/>
      </c>
      <c r="AC37" s="116" t="str">
        <f>IF(AC36=0,"",AVERAGE(AC4:AC35))</f>
        <v/>
      </c>
      <c r="AE37" s="7"/>
      <c r="AG37" s="119"/>
      <c r="AJ37" s="6"/>
      <c r="AK37" s="6"/>
      <c r="AL37" s="6"/>
      <c r="AM37" s="115" t="s">
        <v>68</v>
      </c>
      <c r="AN37" s="121" t="str">
        <f>IF(AN36=0,"",AVERAGE(AN4:AN35))</f>
        <v/>
      </c>
      <c r="AO37" s="121" t="str">
        <f>IF(AO36=0,"",AVERAGE(AO4:AO35))</f>
        <v/>
      </c>
      <c r="AP37" s="121" t="str">
        <f>IF(AP36=0,"",AVERAGE(AP4:AP35))</f>
        <v/>
      </c>
      <c r="AQ37" s="122" t="str">
        <f>IF(AQ36="","",AVERAGE(AQ4:AQ35))</f>
        <v/>
      </c>
      <c r="AR37" s="122" t="str">
        <f>IF(AR36="","",AVERAGE(AR4:AR35))</f>
        <v/>
      </c>
      <c r="AS37" s="121" t="str">
        <f>IF(AS36="","",AVERAGE(AS4:AS35))</f>
        <v/>
      </c>
      <c r="AT37" s="123" t="str">
        <f>IF(AT36="","",AVERAGE(AT4:AT35))</f>
        <v/>
      </c>
      <c r="AU37" s="121" t="str">
        <f>IF(AU36="","",AVERAGE(AU4:AU35))</f>
        <v/>
      </c>
      <c r="AV37" s="122" t="str">
        <f>IF(AV36="","",AVERAGE(AV4:AV35))</f>
        <v/>
      </c>
      <c r="AW37" s="122"/>
      <c r="AX37" s="122"/>
      <c r="AY37" s="122"/>
      <c r="AZ37" s="122"/>
      <c r="BA37" s="122"/>
    </row>
    <row r="38" spans="1:58" customHeight="1" ht="23.85">
      <c r="B38" s="115" t="s">
        <v>69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C38" s="125"/>
      <c r="AD38" s="697" t="s">
        <v>70</v>
      </c>
      <c r="AE38" s="697"/>
      <c r="AF38" s="6"/>
      <c r="AG38" s="119"/>
      <c r="AH38" s="6"/>
      <c r="AI38" s="6"/>
      <c r="AJ38" s="6"/>
      <c r="AK38" s="6"/>
      <c r="AL38" s="6"/>
      <c r="AM38" s="6"/>
      <c r="AN38" s="121"/>
      <c r="AO38" s="121"/>
      <c r="AP38" s="121"/>
      <c r="AQ38" s="121"/>
      <c r="AR38" s="116"/>
      <c r="AS38" s="123"/>
      <c r="AT38" s="123"/>
      <c r="AU38" s="121"/>
    </row>
    <row r="39" spans="1:58">
      <c r="B39" s="115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25"/>
      <c r="AE39" s="697" t="s">
        <v>71</v>
      </c>
      <c r="AF39" s="697"/>
      <c r="AG39" s="119"/>
      <c r="AH39" s="127"/>
      <c r="AI39" s="127"/>
      <c r="AJ39" s="6"/>
      <c r="AK39" s="6"/>
      <c r="AL39" s="6"/>
      <c r="AM39" s="6"/>
      <c r="AN39" s="121"/>
      <c r="AO39" s="121"/>
      <c r="AP39" s="121"/>
      <c r="AQ39" s="121"/>
      <c r="AR39" s="121"/>
      <c r="AS39" s="116"/>
      <c r="AT39" s="123"/>
      <c r="AU39" s="116"/>
      <c r="AV39" s="121"/>
    </row>
    <row r="40" spans="1:58">
      <c r="A40" s="137"/>
      <c r="B40" s="499" t="s">
        <v>67</v>
      </c>
      <c r="C40" s="476">
        <f>SUM(C4:C35)</f>
        <v>0</v>
      </c>
      <c r="D40" s="476">
        <f>SUM(D4:D35)</f>
        <v>0</v>
      </c>
      <c r="E40" s="476">
        <f>SUM(E4:E35)</f>
        <v>0</v>
      </c>
      <c r="F40" s="476">
        <f>SUM(F4:F35)</f>
        <v>0</v>
      </c>
      <c r="G40" s="476">
        <f>SUM(G4:G35)</f>
        <v>0</v>
      </c>
      <c r="H40" s="476">
        <f>SUM(H4:H35)</f>
        <v>0</v>
      </c>
      <c r="I40" s="476">
        <f>SUM(I4:I35)</f>
        <v>0</v>
      </c>
      <c r="J40" s="476">
        <f>SUM(J4:J35)</f>
        <v>0</v>
      </c>
      <c r="K40" s="476">
        <f>SUM(K4:K35)</f>
        <v>0</v>
      </c>
      <c r="L40" s="476">
        <f>SUM(L4:L35)</f>
        <v>0</v>
      </c>
      <c r="M40" s="476">
        <f>SUM(M4:M35)</f>
        <v>0</v>
      </c>
      <c r="N40" s="476">
        <f>SUM(N4:N35)</f>
        <v>0</v>
      </c>
      <c r="O40" s="476">
        <f>SUM(O4:O35)</f>
        <v>0</v>
      </c>
      <c r="P40" s="476">
        <f>SUM(P4:P35)</f>
        <v>0</v>
      </c>
      <c r="Q40" s="476">
        <f>SUM(Q4:Q35)</f>
        <v>0</v>
      </c>
      <c r="R40" s="476">
        <f>SUM(R4:R35)</f>
        <v>0</v>
      </c>
      <c r="S40" s="476">
        <f>SUM(S4:S35)</f>
        <v>0</v>
      </c>
      <c r="T40" s="476">
        <f>SUM(T4:T35)</f>
        <v>0</v>
      </c>
      <c r="U40" s="476">
        <f>SUM(U4:U35)</f>
        <v>0</v>
      </c>
      <c r="V40" s="476">
        <f>SUM(V4:V35)</f>
        <v>0</v>
      </c>
      <c r="W40" s="476">
        <f>SUM(W4:W35)</f>
        <v>0</v>
      </c>
      <c r="X40" s="476">
        <f>SUM(X4:X35)</f>
        <v>0</v>
      </c>
      <c r="Y40" s="476">
        <f>SUM(Y4:Y35)</f>
        <v>0</v>
      </c>
      <c r="Z40" s="476">
        <f>SUM(Z4:Z35)</f>
        <v>0</v>
      </c>
      <c r="AA40" s="476">
        <f>SUM(AA4:AA35)</f>
        <v>0</v>
      </c>
      <c r="AB40" s="476">
        <f>SUM(AB4:AB35)</f>
        <v>0</v>
      </c>
      <c r="AC40" s="476">
        <f>SUM(AC4:AC35)</f>
        <v>0</v>
      </c>
      <c r="AD40" s="534">
        <f>AD36/1000</f>
        <v>0</v>
      </c>
      <c r="AE40" s="6"/>
      <c r="AF40" s="6"/>
      <c r="AG40" s="119"/>
      <c r="AH40" s="6"/>
      <c r="AI40" s="6"/>
      <c r="AJ40" s="6"/>
      <c r="AK40" s="6"/>
      <c r="AL40" s="115"/>
      <c r="AM40" s="115"/>
      <c r="AN40" s="121"/>
      <c r="AO40" s="121"/>
      <c r="AP40" s="121"/>
      <c r="AQ40" s="116"/>
      <c r="AR40" s="123"/>
      <c r="AS40" s="116"/>
      <c r="AT40" s="128"/>
    </row>
    <row r="41" spans="1:58"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4"/>
      <c r="AB41" s="7"/>
      <c r="AC41" s="6"/>
      <c r="AD41" s="6"/>
      <c r="AE41" s="115"/>
      <c r="AF41" s="121"/>
      <c r="AG41" s="129"/>
      <c r="AH41" s="121"/>
      <c r="AI41" s="121"/>
      <c r="AJ41" s="121"/>
      <c r="AK41" s="121"/>
      <c r="AL41" s="121"/>
      <c r="AM41" s="121"/>
      <c r="AN41" s="116"/>
      <c r="AO41" s="121"/>
    </row>
    <row r="42" spans="1:58">
      <c r="A42" s="130" t="s">
        <v>72</v>
      </c>
      <c r="B42" s="226"/>
      <c r="C42" s="131"/>
      <c r="D42" s="75"/>
      <c r="E42" s="75"/>
      <c r="F42" s="75"/>
      <c r="G42" s="75"/>
      <c r="H42" s="75"/>
      <c r="I42" s="72"/>
      <c r="J42" s="71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249"/>
      <c r="V42" s="71"/>
      <c r="W42" s="75"/>
      <c r="X42" s="79"/>
      <c r="Y42" s="79"/>
      <c r="Z42" s="79"/>
      <c r="AA42" s="79"/>
      <c r="AB42" s="79"/>
      <c r="AC42" s="85"/>
      <c r="AD42" s="55">
        <f>(Z42+AA42)*25.8</f>
        <v>0</v>
      </c>
      <c r="AE42" s="55">
        <f>Z42</f>
        <v>0</v>
      </c>
      <c r="AF42" s="56" t="str">
        <f>IF(B42="","",((AE42*25)/AD42))</f>
        <v/>
      </c>
      <c r="AG42" s="57" t="str">
        <f>IF(B42="","",((Z42)*25)/AD42)</f>
        <v/>
      </c>
      <c r="AH42" s="57" t="str">
        <f>IF(B42="","",(X42*25)/AD42)</f>
        <v/>
      </c>
      <c r="AI42" s="57" t="str">
        <f>IF(B42="","",(Y42*25)/AD42)</f>
        <v/>
      </c>
      <c r="AJ42" s="57" t="str">
        <f>IF(B42="","",(AA42*25)/AD42)</f>
        <v/>
      </c>
      <c r="AK42" s="58" t="str">
        <f>IF(B42="","",(AB42*40)/AD42)</f>
        <v/>
      </c>
      <c r="AL42" s="58" t="str">
        <f>IF(B42="","",(AC42*50)/AD42)</f>
        <v/>
      </c>
      <c r="AM42" s="59" t="str">
        <f>IF(B42="","",B42)</f>
        <v/>
      </c>
      <c r="AN42" s="81"/>
      <c r="AO42" s="94"/>
      <c r="AP42" s="83"/>
      <c r="AQ42" s="63" t="str">
        <f>IF(AN42="","",AN42/AO42)</f>
        <v/>
      </c>
      <c r="AR42" s="64" t="str">
        <f>IF(AN42="","",(AD42/AN42)/1000)</f>
        <v/>
      </c>
      <c r="AS42" s="64" t="str">
        <f>IF(AN42="","",AR42*24)</f>
        <v/>
      </c>
      <c r="AT42" s="65" t="str">
        <f>IF(AN42="","",(AD42/1000)*100%/AS42)</f>
        <v/>
      </c>
      <c r="AU42" s="64" t="str">
        <f>IF(AN42="","",(AE42/AN42))</f>
        <v/>
      </c>
      <c r="AV42" s="66" t="str">
        <f>IF(AN42="","",(AD42/AO42)/1000)</f>
        <v/>
      </c>
      <c r="AW42" s="389"/>
      <c r="AX42" s="390"/>
      <c r="AY42" s="390"/>
      <c r="AZ42" s="391"/>
      <c r="BA42" s="391"/>
      <c r="BB42" s="392"/>
      <c r="BC42" s="368"/>
      <c r="BD42" s="368"/>
      <c r="BE42" s="368"/>
      <c r="BF42" s="393"/>
    </row>
    <row r="43" spans="1:58">
      <c r="A43" s="130" t="s">
        <v>73</v>
      </c>
      <c r="B43" s="68"/>
      <c r="C43" s="131"/>
      <c r="D43" s="75"/>
      <c r="E43" s="75"/>
      <c r="F43" s="75"/>
      <c r="G43" s="75"/>
      <c r="H43" s="75"/>
      <c r="I43" s="72"/>
      <c r="J43" s="71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249"/>
      <c r="V43" s="71"/>
      <c r="W43" s="75"/>
      <c r="X43" s="79"/>
      <c r="Y43" s="79"/>
      <c r="Z43" s="79"/>
      <c r="AA43" s="79"/>
      <c r="AB43" s="79"/>
      <c r="AC43" s="85"/>
      <c r="AD43" s="55">
        <f>(Z43*25)+(AA43*25)+(AB43*40)+(AC43*50)</f>
        <v>0</v>
      </c>
      <c r="AE43" s="55" t="str">
        <f>IF(B43="","",C43+E43+G43+K43+N43+O43+Q43+R43+((D43+H43)/4)+((F43+I43+J43+T43+Z43)/2))</f>
        <v/>
      </c>
      <c r="AF43" s="56" t="str">
        <f>IF(B43="","",((AE43*50)/AD43))</f>
        <v/>
      </c>
      <c r="AG43" s="57" t="str">
        <f>IF(B43="","",((Z43)*25)/AD43)</f>
        <v/>
      </c>
      <c r="AH43" s="57" t="str">
        <f>IF(B43="","",(X43*25)/AD43)</f>
        <v/>
      </c>
      <c r="AI43" s="57" t="str">
        <f>IF(B43="","",(Y43*25)/AD43)</f>
        <v/>
      </c>
      <c r="AJ43" s="57" t="str">
        <f>IF(B43="","",(AA43*25)/AD43)</f>
        <v/>
      </c>
      <c r="AK43" s="58" t="str">
        <f>IF(B43="","",(AB43*40)/AD43)</f>
        <v/>
      </c>
      <c r="AL43" s="58" t="str">
        <f>IF(B43="","",(AC43*50)/AD43)</f>
        <v/>
      </c>
      <c r="AM43" s="59" t="str">
        <f>IF(B43="","",B43)</f>
        <v/>
      </c>
      <c r="AN43" s="81"/>
      <c r="AO43" s="94"/>
      <c r="AP43" s="83"/>
      <c r="AQ43" s="63" t="str">
        <f>IF(AN43="","",AN43/AO43)</f>
        <v/>
      </c>
      <c r="AR43" s="64" t="str">
        <f>IF(AN43="","",(AD43/AN43)/1000)</f>
        <v/>
      </c>
      <c r="AS43" s="64" t="str">
        <f>IF(AN43="","",AR43*24)</f>
        <v/>
      </c>
      <c r="AT43" s="65" t="str">
        <f>IF(AN43="","",(AD43/1000)*100%/AS43)</f>
        <v/>
      </c>
      <c r="AU43" s="64" t="str">
        <f>IF(AN43="","",(AE43/AN43))</f>
        <v/>
      </c>
      <c r="AV43" s="66" t="str">
        <f>IF(AN43="","",(AD43/AO43)/1000)</f>
        <v/>
      </c>
      <c r="AW43" s="394"/>
      <c r="AX43" s="92"/>
      <c r="AY43" s="92"/>
      <c r="AZ43" s="93"/>
      <c r="BA43" s="93"/>
      <c r="BB43" s="350"/>
      <c r="BC43" s="351"/>
      <c r="BD43" s="351"/>
      <c r="BE43" s="351"/>
      <c r="BF43" s="395"/>
    </row>
    <row r="44" spans="1:58">
      <c r="A44" s="130" t="s">
        <v>74</v>
      </c>
      <c r="B44" s="68"/>
      <c r="C44" s="131"/>
      <c r="D44" s="75"/>
      <c r="E44" s="75"/>
      <c r="F44" s="75"/>
      <c r="G44" s="75"/>
      <c r="H44" s="75"/>
      <c r="I44" s="72"/>
      <c r="J44" s="71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249"/>
      <c r="V44" s="71"/>
      <c r="W44" s="75"/>
      <c r="X44" s="79"/>
      <c r="Y44" s="79"/>
      <c r="Z44" s="79"/>
      <c r="AA44" s="79"/>
      <c r="AB44" s="79"/>
      <c r="AC44" s="85"/>
      <c r="AD44" s="55">
        <f>Z44*25</f>
        <v>0</v>
      </c>
      <c r="AE44" s="55" t="str">
        <f>IF(B44="","",C44+E44+G44+K44+N44+O44+Q44+R44+((D44+H44)/4)+((F44+I44+J44+T44)/2))</f>
        <v/>
      </c>
      <c r="AF44" s="56" t="str">
        <f>IF(B44="","",((AE44*50)/AD44))</f>
        <v/>
      </c>
      <c r="AG44" s="57" t="str">
        <f>IF(B44="","",((Z44)*25)/AD44)</f>
        <v/>
      </c>
      <c r="AH44" s="57" t="str">
        <f>IF(B44="","",(X44*25)/AD44)</f>
        <v/>
      </c>
      <c r="AI44" s="57" t="str">
        <f>IF(B44="","",(Y44*25)/AD44)</f>
        <v/>
      </c>
      <c r="AJ44" s="57" t="str">
        <f>IF(B44="","",(AA44*25)/AD44)</f>
        <v/>
      </c>
      <c r="AK44" s="58" t="str">
        <f>IF(B44="","",(AB44*40)/AD44)</f>
        <v/>
      </c>
      <c r="AL44" s="58" t="str">
        <f>IF(B44="","",(AC44*50)/AD44)</f>
        <v/>
      </c>
      <c r="AM44" s="59" t="str">
        <f>IF(B44="","",B44)</f>
        <v/>
      </c>
      <c r="AN44" s="81"/>
      <c r="AO44" s="94"/>
      <c r="AP44" s="83"/>
      <c r="AQ44" s="63" t="str">
        <f>IF(AN44="","",AN44/AO44)</f>
        <v/>
      </c>
      <c r="AR44" s="64" t="str">
        <f>IF(AN44="","",(AD44/AN44)/1000)</f>
        <v/>
      </c>
      <c r="AS44" s="64" t="str">
        <f>IF(AN44="","",AR44*24)</f>
        <v/>
      </c>
      <c r="AT44" s="65" t="str">
        <f>IF(AN44="","",(AD44/1000)*100%/AS44)</f>
        <v/>
      </c>
      <c r="AU44" s="64" t="str">
        <f>IF(AN44="","",(AE44/AN44))</f>
        <v/>
      </c>
      <c r="AV44" s="66" t="str">
        <f>IF(AN44="","",(AD44/AO44)/1000)</f>
        <v/>
      </c>
      <c r="AW44" s="394"/>
      <c r="AX44" s="92"/>
      <c r="AY44" s="92"/>
      <c r="AZ44" s="93"/>
      <c r="BA44" s="93"/>
      <c r="BB44" s="350"/>
      <c r="BC44" s="351"/>
      <c r="BD44" s="351"/>
      <c r="BE44" s="351"/>
      <c r="BF44" s="395"/>
    </row>
    <row r="45" spans="1:58">
      <c r="A45" s="130" t="s">
        <v>75</v>
      </c>
      <c r="B45" s="68"/>
      <c r="C45" s="131"/>
      <c r="D45" s="75"/>
      <c r="E45" s="75"/>
      <c r="F45" s="75"/>
      <c r="G45" s="75"/>
      <c r="H45" s="75"/>
      <c r="I45" s="72"/>
      <c r="J45" s="71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249"/>
      <c r="V45" s="71"/>
      <c r="W45" s="75"/>
      <c r="X45" s="79"/>
      <c r="Y45" s="79"/>
      <c r="Z45" s="79"/>
      <c r="AA45" s="79"/>
      <c r="AB45" s="79"/>
      <c r="AC45" s="85"/>
      <c r="AD45" s="55">
        <f>(Z45+AA45)*25.275</f>
        <v>0</v>
      </c>
      <c r="AE45" s="55" t="str">
        <f>IF(B45="","",C45+E45+G45+K45+N45+O45+Q45+R45+((D45+H45)/4)+((F45+I45+J45+T45)/2))</f>
        <v/>
      </c>
      <c r="AF45" s="56" t="str">
        <f>IF(B45="","",((AE45*50)/AD45))</f>
        <v/>
      </c>
      <c r="AG45" s="57" t="str">
        <f>IF(B45="","",((Z45)*25)/AD45)</f>
        <v/>
      </c>
      <c r="AH45" s="57" t="str">
        <f>IF(B45="","",(X45*25)/AD45)</f>
        <v/>
      </c>
      <c r="AI45" s="57" t="str">
        <f>IF(B45="","",(Y45*25)/AD45)</f>
        <v/>
      </c>
      <c r="AJ45" s="57" t="str">
        <f>IF(B45="","",(AA45*25)/AD45)</f>
        <v/>
      </c>
      <c r="AK45" s="58" t="str">
        <f>IF(B45="","",(AB45*40)/AD45)</f>
        <v/>
      </c>
      <c r="AL45" s="58" t="str">
        <f>IF(B45="","",(AC45*50)/AD45)</f>
        <v/>
      </c>
      <c r="AM45" s="59" t="str">
        <f>IF(B45="","",B45)</f>
        <v/>
      </c>
      <c r="AN45" s="81"/>
      <c r="AO45" s="94"/>
      <c r="AP45" s="83"/>
      <c r="AQ45" s="63" t="str">
        <f>IF(AN45="","",AN45/AO45)</f>
        <v/>
      </c>
      <c r="AR45" s="64" t="str">
        <f>IF(AN45="","",(AD45/AN45)/1000)</f>
        <v/>
      </c>
      <c r="AS45" s="64" t="str">
        <f>IF(AN45="","",AR45*24)</f>
        <v/>
      </c>
      <c r="AT45" s="65" t="str">
        <f>IF(AN45="","",(AD45/1000)*100%/AS45)</f>
        <v/>
      </c>
      <c r="AU45" s="64" t="str">
        <f>IF(AN45="","",(AE45/AN45))</f>
        <v/>
      </c>
      <c r="AV45" s="66" t="str">
        <f>IF(AN45="","",(AD45/AO45)/1000)</f>
        <v/>
      </c>
      <c r="AW45" s="396"/>
      <c r="AX45" s="231"/>
      <c r="AY45" s="231"/>
      <c r="AZ45" s="232"/>
      <c r="BA45" s="232"/>
      <c r="BB45" s="397"/>
      <c r="BC45" s="398"/>
      <c r="BD45" s="398"/>
      <c r="BE45" s="398"/>
      <c r="BF45" s="399"/>
    </row>
    <row r="46" spans="1:58">
      <c r="B46" s="115"/>
      <c r="C46" s="116"/>
      <c r="D46" s="116"/>
      <c r="E46" s="116"/>
      <c r="F46" s="116"/>
      <c r="G46" s="116"/>
      <c r="H46" s="116"/>
      <c r="O46" s="116"/>
      <c r="P46" s="116"/>
      <c r="Q46" s="116"/>
      <c r="R46" s="116"/>
      <c r="S46" s="116"/>
      <c r="T46" s="116"/>
      <c r="U46" s="116"/>
      <c r="V46" s="116"/>
      <c r="W46" s="7"/>
      <c r="X46" s="7"/>
      <c r="AB46" s="6"/>
      <c r="AC46" s="6"/>
      <c r="AD46" s="55">
        <f>SUM(AD42:AD45)</f>
        <v>0</v>
      </c>
      <c r="AE46" s="121"/>
      <c r="AF46" s="121"/>
      <c r="AG46" s="121"/>
      <c r="AH46" s="116"/>
      <c r="AI46" s="123"/>
      <c r="AJ46" s="123"/>
      <c r="AK46" s="116"/>
      <c r="AL46" s="121"/>
      <c r="AX46" s="1">
        <f>AX42/1000</f>
        <v>0</v>
      </c>
    </row>
    <row r="47" spans="1:58">
      <c r="B47" s="115"/>
      <c r="C47" s="116"/>
      <c r="D47" s="116"/>
      <c r="E47" s="116"/>
      <c r="F47" s="116"/>
      <c r="G47" s="116"/>
      <c r="H47" s="116"/>
      <c r="I47" s="116"/>
      <c r="Q47" s="116"/>
      <c r="R47" s="116"/>
      <c r="S47" s="116"/>
      <c r="T47" s="116"/>
      <c r="U47" s="116"/>
      <c r="V47" s="116"/>
      <c r="W47" s="116"/>
      <c r="X47" s="7"/>
      <c r="Y47" s="7"/>
      <c r="AC47" s="6"/>
      <c r="AD47" s="697" t="s">
        <v>70</v>
      </c>
      <c r="AE47" s="697"/>
      <c r="AF47" s="121"/>
      <c r="AG47" s="121"/>
      <c r="AH47" s="121"/>
      <c r="AI47" s="116"/>
      <c r="AJ47" s="123"/>
      <c r="AK47" s="123"/>
      <c r="AL47" s="116"/>
      <c r="AM47" s="121"/>
    </row>
    <row r="48" spans="1:58">
      <c r="B48" s="115"/>
      <c r="C48" s="116"/>
      <c r="D48" s="116"/>
      <c r="E48" s="116"/>
      <c r="F48" s="116"/>
      <c r="G48" s="116"/>
      <c r="H48" s="116"/>
      <c r="I48" s="117">
        <v>3.6</v>
      </c>
      <c r="J48" s="116"/>
      <c r="K48" s="516"/>
      <c r="L48" s="516"/>
      <c r="M48" s="516"/>
      <c r="N48" s="5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7"/>
      <c r="Z48" s="7"/>
      <c r="AD48" s="126">
        <f>AD46/1000</f>
        <v>0</v>
      </c>
      <c r="AE48" s="697" t="s">
        <v>71</v>
      </c>
      <c r="AF48" s="697"/>
      <c r="AG48" s="121"/>
      <c r="AH48" s="121"/>
      <c r="AI48" s="121"/>
      <c r="AJ48" s="116"/>
      <c r="AK48" s="123"/>
      <c r="AL48" s="123"/>
      <c r="AM48" s="116"/>
      <c r="AN48" s="121"/>
    </row>
    <row r="49" spans="1:58" customHeight="1" ht="13.9">
      <c r="A49" s="676" t="s">
        <v>76</v>
      </c>
      <c r="B49" s="677"/>
      <c r="C49" s="678" t="s">
        <v>77</v>
      </c>
      <c r="D49" s="133"/>
      <c r="F49" s="655" t="s">
        <v>78</v>
      </c>
      <c r="G49" s="656"/>
      <c r="H49" s="657"/>
      <c r="I49" s="355" t="s">
        <v>79</v>
      </c>
      <c r="J49" s="136"/>
      <c r="K49" s="679" t="s">
        <v>80</v>
      </c>
      <c r="L49" s="679"/>
      <c r="M49" s="680"/>
      <c r="N49" s="515" t="s">
        <v>81</v>
      </c>
      <c r="O49" s="688" t="s">
        <v>82</v>
      </c>
      <c r="P49" s="689"/>
      <c r="Q49" s="690"/>
      <c r="R49" s="688" t="s">
        <v>83</v>
      </c>
      <c r="S49" s="689"/>
      <c r="T49" s="689"/>
      <c r="U49" s="690"/>
      <c r="V49" s="500" t="s">
        <v>84</v>
      </c>
      <c r="W49" s="488"/>
      <c r="X49" s="501"/>
      <c r="AB49" s="247"/>
      <c r="AG49" s="6"/>
      <c r="AH49" s="6"/>
      <c r="AI49" s="121"/>
      <c r="AJ49" s="121"/>
      <c r="AK49" s="116"/>
      <c r="AL49" s="123"/>
      <c r="AM49" s="123"/>
      <c r="AN49" s="116"/>
      <c r="AO49" s="121"/>
    </row>
    <row r="50" spans="1:58" customHeight="1" ht="15">
      <c r="A50" s="369" t="s">
        <v>85</v>
      </c>
      <c r="B50" s="482">
        <f>AD40+AD48</f>
        <v>0</v>
      </c>
      <c r="C50" s="678"/>
      <c r="E50" s="137"/>
      <c r="F50" s="662" t="s">
        <v>86</v>
      </c>
      <c r="G50" s="663"/>
      <c r="H50" s="325">
        <f>IF(G53="",0,G56/G53)</f>
        <v>0</v>
      </c>
      <c r="I50" s="138">
        <f>IF(I53="",0,I56/I53)</f>
        <v>0</v>
      </c>
      <c r="J50" s="136"/>
      <c r="K50" s="681"/>
      <c r="L50" s="681"/>
      <c r="M50" s="141" t="e">
        <f>IF($V$50="",0,K50/$V$55)</f>
        <v>#DIV/0!</v>
      </c>
      <c r="N50" s="489"/>
      <c r="O50" s="695"/>
      <c r="P50" s="696"/>
      <c r="Q50" s="141" t="e">
        <f>IF($V$50="",0,O50/$V$55)</f>
        <v>#DIV/0!</v>
      </c>
      <c r="R50" s="140" t="str">
        <f>D80</f>
        <v>CWRS</v>
      </c>
      <c r="S50" s="721">
        <f>(B82*D82)+(B85*D85)+(B86*D86)+(B87*D87)+(B89*D89)+(B92*D92)+(B94*D94)+(B95*D95)+(B98*D98)+(B99*D99)+(B100*D100)+(B102*D102)+(B103*D103)+(B108*D108)+(B111*D111)+(B83*D83)+(B104*D104)+(B84*D84)+(B91*D91)+(B115*D115)+(B106*D106)+(B105*D105)+(B113*D113)+(B110*D110)+(B88*D88)+(B90*D90)+(B96*D96)+(B97*D97)+(B107*D107)</f>
        <v>0</v>
      </c>
      <c r="T50" s="721"/>
      <c r="U50" s="486">
        <f>IF($S$55=0,0,S50/$S$55)</f>
        <v>0</v>
      </c>
      <c r="V50" s="695">
        <f>K50+O50-S50</f>
        <v>0</v>
      </c>
      <c r="W50" s="696"/>
      <c r="X50" s="484" t="e">
        <f>IF($V$50="",0,V50/$V$55)</f>
        <v>#DIV/0!</v>
      </c>
      <c r="AB50" s="157"/>
      <c r="AJ50" s="121"/>
      <c r="AK50" s="116"/>
      <c r="AL50" s="123"/>
      <c r="AM50" s="123"/>
      <c r="AN50" s="116"/>
      <c r="AO50" s="121"/>
    </row>
    <row r="51" spans="1:58" customHeight="1" ht="15">
      <c r="A51" s="326" t="s">
        <v>87</v>
      </c>
      <c r="B51" s="318">
        <f>AE36</f>
        <v>0</v>
      </c>
      <c r="C51" s="377">
        <f>B50/(B60*120)</f>
        <v>-0</v>
      </c>
      <c r="E51" s="137"/>
      <c r="F51" s="662" t="s">
        <v>88</v>
      </c>
      <c r="G51" s="663"/>
      <c r="H51" s="318">
        <f>IF(G53="",0,G53/B50)</f>
        <v>0</v>
      </c>
      <c r="I51" s="272"/>
      <c r="J51" s="136"/>
      <c r="K51" s="685"/>
      <c r="L51" s="685"/>
      <c r="M51" s="141" t="e">
        <f>IF($V$51="",0,K51/$V$55)</f>
        <v>#DIV/0!</v>
      </c>
      <c r="N51" s="489"/>
      <c r="O51" s="687"/>
      <c r="P51" s="681"/>
      <c r="Q51" s="141" t="e">
        <f>IF($V$51="",0,O51/$V$55)</f>
        <v>#DIV/0!</v>
      </c>
      <c r="R51" s="140" t="str">
        <f>IF(E80="","",E80)</f>
        <v>CPS</v>
      </c>
      <c r="S51" s="720">
        <f>(B82*E82)+(B85*E85)+(B86*E86)+(B87*E87)+(B89*E89)+(B92*E92)+(B94*E94)+(B95*E95)+(B98*E98)+(B99*E99)+(B100*E100)+(B102*E102)+(B103*E103)+(B108*E108)+(B113*E113)+(B105*E105)+(B111*E111)+(B104*E104)+(B83*E83)+(B84*E84)+(B91*E91)+(B106*E106)+(B115*E115)+(B116*E116)+(B110*E110)+(B101*E101)+(B88*E88)+(B90*E90)+(B97*E97)+(B107*E107+B96*E96)</f>
        <v>0</v>
      </c>
      <c r="T51" s="720"/>
      <c r="U51" s="486">
        <f>IF($S$55=0,0,S51/$S$55)</f>
        <v>0</v>
      </c>
      <c r="V51" s="687">
        <f>K51+O51-S51</f>
        <v>0</v>
      </c>
      <c r="W51" s="681"/>
      <c r="X51" s="141" t="e">
        <f>IF($V$51="",0,V51/$V$55)</f>
        <v>#DIV/0!</v>
      </c>
      <c r="AJ51" s="121"/>
      <c r="AK51" s="116"/>
      <c r="AL51" s="123"/>
      <c r="AM51" s="123"/>
      <c r="AN51" s="116"/>
      <c r="AO51" s="121"/>
    </row>
    <row r="52" spans="1:58" customHeight="1" ht="15">
      <c r="A52" s="326" t="s">
        <v>89</v>
      </c>
      <c r="B52" s="318">
        <f>(B51*50)/1000</f>
        <v>0</v>
      </c>
      <c r="E52" s="120"/>
      <c r="F52" s="662" t="s">
        <v>90</v>
      </c>
      <c r="G52" s="663"/>
      <c r="H52" s="318">
        <f>IF(G53="",0,G53/((B51*50)/1000))</f>
        <v>0</v>
      </c>
      <c r="I52" s="272"/>
      <c r="J52" s="136"/>
      <c r="K52" s="685"/>
      <c r="L52" s="685"/>
      <c r="M52" s="141" t="e">
        <f>IF($V$50="",0,K52/$V$55)</f>
        <v>#DIV/0!</v>
      </c>
      <c r="N52" s="489"/>
      <c r="O52" s="687"/>
      <c r="P52" s="681"/>
      <c r="Q52" s="141" t="e">
        <f>IF($V$50="",0,O52/$V$55)</f>
        <v>#DIV/0!</v>
      </c>
      <c r="R52" s="148" t="s">
        <v>91</v>
      </c>
      <c r="S52" s="720">
        <f>(B82*G82)+(B85*G85)+(B86*G86)+(B87*G87)+(B89*G89)+(B92*G92)+(B94*G94)+(B95*G95)+(B98*G98)+(B99*G99)+(B100*G100)+(B102*G102)+(B103*G103)+(B108*G108)+(B113*G113)+(B109*G109)+(B116*G116)+(B114*G114)+(B115*G115)+(B83*G83)+(B84*G84)+(B104*G104)+(B106*G106)+(B96*G96)+(B97*G97)+(B90*G90)+(B88*G88)+(B105*G105)+(B91*G91)+(B110*G110)</f>
        <v>0</v>
      </c>
      <c r="T52" s="720"/>
      <c r="U52" s="486">
        <f>IF($S$55=0,0,S52/$S$55)</f>
        <v>0</v>
      </c>
      <c r="V52" s="687">
        <f>K52+O52-S52</f>
        <v>0</v>
      </c>
      <c r="W52" s="681"/>
      <c r="X52" s="141" t="e">
        <f>IF($V$50="",0,V52/$V$55)</f>
        <v>#DIV/0!</v>
      </c>
      <c r="AJ52" s="121"/>
      <c r="AK52" s="116"/>
      <c r="AL52" s="123"/>
      <c r="AM52" s="123"/>
      <c r="AN52" s="116"/>
      <c r="AO52" s="121"/>
    </row>
    <row r="53" spans="1:58" customHeight="1" ht="15">
      <c r="A53" s="326" t="s">
        <v>92</v>
      </c>
      <c r="B53" s="580">
        <f>IF(AF36="",0,AF36)</f>
        <v>0</v>
      </c>
      <c r="E53" s="144"/>
      <c r="F53" s="326" t="s">
        <v>93</v>
      </c>
      <c r="G53" s="693"/>
      <c r="H53" s="694"/>
      <c r="I53" s="353"/>
      <c r="J53" s="136"/>
      <c r="K53" s="686">
        <v>0</v>
      </c>
      <c r="L53" s="686"/>
      <c r="M53" s="141" t="e">
        <f>IF($V$50="",0,L53/$V$55)</f>
        <v>#DIV/0!</v>
      </c>
      <c r="N53" s="490"/>
      <c r="O53" s="687"/>
      <c r="P53" s="681"/>
      <c r="Q53" s="141" t="e">
        <f>IF($V$50="",0,O53/$V$55)</f>
        <v>#DIV/0!</v>
      </c>
      <c r="R53" s="140" t="s">
        <v>94</v>
      </c>
      <c r="S53" s="720">
        <f>(B82*F82)+(B85*F85)+(B86*F86)+(B87*F87)+(B89*F89)+(B92*F92)+(B94*F94)+(B95*F95)+(B98*F98)+(B99*F99)+(B100*F100)+(B102*F102)+(B103*F103)+(B108*F108)+(B113*F113)+(B115*F115)+(B111*F111)+(B109*F109)+(B105*F105)+(B116*F116)+(B101*F101)+(B88*F88)+(B90*F90)+(B91*F91)+(B106*F106)+(B107*F107)+(B96*F96)</f>
        <v>0</v>
      </c>
      <c r="T53" s="720"/>
      <c r="U53" s="486">
        <f>IF($S$55=0,0,S53/$S$55)</f>
        <v>0</v>
      </c>
      <c r="V53" s="687">
        <f>L53+O53-S53</f>
        <v>0</v>
      </c>
      <c r="W53" s="681"/>
      <c r="X53" s="141" t="e">
        <f>IF($V$50="",0,V53/$V$55)</f>
        <v>#DIV/0!</v>
      </c>
      <c r="AG53" s="6"/>
      <c r="AH53" s="6"/>
      <c r="AI53" s="121"/>
      <c r="AJ53" s="121"/>
      <c r="AK53" s="116"/>
      <c r="AL53" s="123"/>
      <c r="AM53" s="123"/>
      <c r="AN53" s="116"/>
      <c r="AO53" s="121"/>
    </row>
    <row r="54" spans="1:58" customHeight="1" ht="15">
      <c r="A54" s="326" t="s">
        <v>95</v>
      </c>
      <c r="B54" s="319">
        <f>AN36</f>
        <v>0</v>
      </c>
      <c r="E54" s="146"/>
      <c r="F54" s="326" t="s">
        <v>96</v>
      </c>
      <c r="G54" s="682"/>
      <c r="H54" s="683"/>
      <c r="I54" s="684"/>
      <c r="J54" s="136"/>
      <c r="K54" s="686">
        <v>0</v>
      </c>
      <c r="L54" s="686"/>
      <c r="M54" s="141" t="e">
        <f>IF($V$50="",0,L54/$V$55)</f>
        <v>#DIV/0!</v>
      </c>
      <c r="N54" s="489"/>
      <c r="O54" s="691">
        <v>0</v>
      </c>
      <c r="P54" s="692"/>
      <c r="Q54" s="141" t="e">
        <f>IF($V$50="",0,O54/$V$55)</f>
        <v>#DIV/0!</v>
      </c>
      <c r="R54" s="480" t="s">
        <v>97</v>
      </c>
      <c r="S54" s="719">
        <f>IF(AD43="",0,AD43)</f>
        <v>0</v>
      </c>
      <c r="T54" s="719"/>
      <c r="U54" s="141">
        <f>IF($S$55=0,0,S54/$S$55)</f>
        <v>0</v>
      </c>
      <c r="V54" s="691">
        <f>L54+O54-S54</f>
        <v>0</v>
      </c>
      <c r="W54" s="692"/>
      <c r="X54" s="141" t="e">
        <f>IF($V$50="",0,V54/$V$55)</f>
        <v>#DIV/0!</v>
      </c>
      <c r="AC54" s="421"/>
      <c r="AF54" s="6"/>
      <c r="AG54" s="6"/>
      <c r="AH54" s="6"/>
      <c r="AJ54" s="147"/>
      <c r="AK54" s="147"/>
      <c r="AL54" s="6"/>
      <c r="AM54" s="6"/>
      <c r="AN54" s="147"/>
      <c r="AO54" s="147"/>
    </row>
    <row r="55" spans="1:58" customHeight="1" ht="15">
      <c r="A55" s="326" t="s">
        <v>98</v>
      </c>
      <c r="B55" s="320">
        <f>IF(B50=0,0,AP36/AN36)</f>
        <v>0</v>
      </c>
      <c r="E55" s="146"/>
      <c r="F55" s="326" t="s">
        <v>99</v>
      </c>
      <c r="G55" s="660"/>
      <c r="H55" s="661"/>
      <c r="I55" s="149"/>
      <c r="J55" s="136"/>
      <c r="K55" s="671">
        <f>SUM(K50:K54)</f>
        <v>0</v>
      </c>
      <c r="L55" s="670"/>
      <c r="M55" s="481"/>
      <c r="N55" s="487">
        <f>SUM(N50:N54)</f>
        <v>0</v>
      </c>
      <c r="O55" s="671">
        <f>SUM(O50:O54)</f>
        <v>0</v>
      </c>
      <c r="P55" s="670"/>
      <c r="Q55" s="481"/>
      <c r="R55" s="150"/>
      <c r="S55" s="670">
        <f>SUM(S50:S54)</f>
        <v>0</v>
      </c>
      <c r="T55" s="670"/>
      <c r="U55" s="479"/>
      <c r="V55" s="671">
        <f>SUM(V50:V54)</f>
        <v>0</v>
      </c>
      <c r="W55" s="670"/>
      <c r="X55" s="481"/>
      <c r="AH55" s="6"/>
      <c r="AJ55" s="147"/>
      <c r="AK55" s="147"/>
      <c r="AL55" s="6"/>
      <c r="AM55" s="6"/>
      <c r="AN55" s="147"/>
      <c r="AO55" s="147"/>
    </row>
    <row r="56" spans="1:58" customHeight="1" ht="13.9">
      <c r="A56" s="326" t="s">
        <v>100</v>
      </c>
      <c r="B56" s="321" t="str">
        <f>AT37</f>
        <v/>
      </c>
      <c r="E56" s="146"/>
      <c r="F56" s="326" t="s">
        <v>101</v>
      </c>
      <c r="G56" s="672">
        <v>77284230</v>
      </c>
      <c r="H56" s="673"/>
      <c r="I56" s="153">
        <v>2803509</v>
      </c>
      <c r="K56" s="216"/>
      <c r="L56" s="216"/>
      <c r="M56" s="216"/>
      <c r="N56" s="216"/>
      <c r="O56" s="375"/>
      <c r="P56" s="517"/>
      <c r="Q56" s="517"/>
      <c r="AH56" s="6"/>
      <c r="AJ56" s="147"/>
      <c r="AK56" s="147"/>
      <c r="AL56" s="6"/>
      <c r="AM56" s="6"/>
      <c r="AN56" s="147"/>
      <c r="AO56" s="147"/>
    </row>
    <row r="57" spans="1:58" customHeight="1" ht="13.9">
      <c r="A57" s="326" t="s">
        <v>102</v>
      </c>
      <c r="B57" s="580" t="str">
        <f>+AT36</f>
        <v/>
      </c>
      <c r="E57" s="137"/>
      <c r="F57" s="662" t="s">
        <v>103</v>
      </c>
      <c r="G57" s="663"/>
      <c r="H57" s="327"/>
      <c r="I57" s="155"/>
      <c r="K57" s="665" t="s">
        <v>104</v>
      </c>
      <c r="L57" s="666"/>
      <c r="M57" s="666"/>
      <c r="N57" s="666"/>
      <c r="O57" s="666"/>
      <c r="P57" s="518"/>
      <c r="Q57" s="246"/>
      <c r="X57" s="4"/>
      <c r="AD57" s="4"/>
      <c r="AH57" s="6"/>
      <c r="AJ57" s="147"/>
      <c r="AK57" s="147"/>
      <c r="AL57" s="6"/>
      <c r="AM57" s="6"/>
      <c r="AN57" s="147"/>
      <c r="AO57" s="147"/>
    </row>
    <row r="58" spans="1:58" customHeight="1" ht="13.9">
      <c r="A58" s="326" t="s">
        <v>105</v>
      </c>
      <c r="B58" s="322">
        <f>IF(AS36="",0,AS36)</f>
        <v>0</v>
      </c>
      <c r="E58" s="137"/>
      <c r="F58" s="326"/>
      <c r="G58" s="216"/>
      <c r="H58" s="323"/>
      <c r="K58" s="326" t="s">
        <v>106</v>
      </c>
      <c r="L58" s="216"/>
      <c r="M58" s="332">
        <f>AX36</f>
        <v>0</v>
      </c>
      <c r="N58" s="332"/>
      <c r="O58" s="216" t="s">
        <v>107</v>
      </c>
      <c r="P58" s="140"/>
      <c r="S58" s="156"/>
      <c r="V58" s="142"/>
      <c r="X58" s="4"/>
      <c r="AB58" s="157"/>
      <c r="AD58" s="4"/>
      <c r="AH58" s="6"/>
      <c r="AJ58" s="147"/>
      <c r="AK58" s="147"/>
      <c r="AL58" s="6"/>
      <c r="AM58" s="6"/>
      <c r="AN58" s="147"/>
      <c r="AO58" s="147"/>
    </row>
    <row r="59" spans="1:58" customHeight="1" ht="13.9">
      <c r="A59" s="326" t="s">
        <v>108</v>
      </c>
      <c r="B59" s="322">
        <f>IF(AU36="",0,AU36)</f>
        <v>0</v>
      </c>
      <c r="E59" s="137"/>
      <c r="F59" s="328" t="s">
        <v>109</v>
      </c>
      <c r="G59" s="329"/>
      <c r="H59" s="330" t="s">
        <v>110</v>
      </c>
      <c r="K59" s="326" t="s">
        <v>111</v>
      </c>
      <c r="L59" s="216"/>
      <c r="M59" s="332">
        <f>AY36</f>
        <v>0</v>
      </c>
      <c r="N59" s="332"/>
      <c r="O59" s="323" t="s">
        <v>107</v>
      </c>
      <c r="S59" s="156"/>
      <c r="W59" s="156"/>
      <c r="AC59" s="247"/>
      <c r="AD59" s="157"/>
      <c r="AE59" s="157"/>
      <c r="AF59" s="157"/>
      <c r="AG59" s="6"/>
      <c r="AJ59" s="147"/>
      <c r="AK59" s="6"/>
      <c r="AL59" s="147"/>
      <c r="AM59" s="147"/>
      <c r="AN59" s="147"/>
    </row>
    <row r="60" spans="1:58" customHeight="1" ht="13.9">
      <c r="A60" s="326" t="s">
        <v>112</v>
      </c>
      <c r="B60" s="323">
        <f>31-COUNTBLANK(A4:A35)</f>
        <v>-1</v>
      </c>
      <c r="F60" s="331" t="s">
        <v>113</v>
      </c>
      <c r="G60" s="664" t="e">
        <f>G59/(B50*1000)</f>
        <v>#DIV/0!</v>
      </c>
      <c r="H60" s="664"/>
      <c r="I60" s="376"/>
      <c r="J60" s="136"/>
      <c r="K60" s="418" t="s">
        <v>92</v>
      </c>
      <c r="L60" s="483"/>
      <c r="M60" s="419" t="e">
        <f>M59/M58</f>
        <v>#DIV/0!</v>
      </c>
      <c r="N60" s="419"/>
      <c r="O60" s="420"/>
      <c r="S60" s="145"/>
      <c r="T60" s="665" t="s">
        <v>114</v>
      </c>
      <c r="U60" s="666"/>
      <c r="V60" s="667"/>
      <c r="X60" s="4"/>
      <c r="Y60" s="472" t="s">
        <v>115</v>
      </c>
      <c r="Z60" s="273" t="s">
        <v>169</v>
      </c>
      <c r="AA60" s="273">
        <v>900</v>
      </c>
      <c r="AB60" s="273" t="s">
        <v>117</v>
      </c>
      <c r="AC60" s="273">
        <v>7200</v>
      </c>
      <c r="AD60" s="273">
        <v>4200</v>
      </c>
      <c r="AE60" s="273">
        <v>8530</v>
      </c>
      <c r="AF60" s="157"/>
      <c r="AG60" s="6"/>
      <c r="AJ60" s="147"/>
      <c r="AK60" s="6"/>
      <c r="AL60" s="147"/>
      <c r="AM60" s="147"/>
      <c r="AN60" s="147"/>
    </row>
    <row r="61" spans="1:58" customHeight="1" ht="13.9">
      <c r="A61" s="370" t="s">
        <v>118</v>
      </c>
      <c r="B61" s="324">
        <f>AD40+AD48</f>
        <v>0</v>
      </c>
      <c r="G61" s="156" t="s">
        <v>119</v>
      </c>
      <c r="O61" s="4"/>
      <c r="P61" s="4"/>
      <c r="T61" s="354" t="s">
        <v>120</v>
      </c>
      <c r="U61" s="668"/>
      <c r="V61" s="669"/>
      <c r="X61" s="165" t="str">
        <f>C82</f>
        <v>Extrapan
 50</v>
      </c>
      <c r="Y61" s="531"/>
      <c r="Z61" s="531"/>
      <c r="AA61" s="531"/>
      <c r="AB61" s="531"/>
      <c r="AC61" s="531"/>
      <c r="AD61" s="531"/>
      <c r="AE61" s="531"/>
      <c r="AG61" s="147"/>
      <c r="AH61" s="147"/>
      <c r="AI61" s="6"/>
      <c r="AJ61" s="6"/>
      <c r="AK61" s="147"/>
      <c r="AL61" s="147"/>
      <c r="AM61" s="147"/>
    </row>
    <row r="62" spans="1:58" customHeight="1" ht="14.45">
      <c r="A62" s="259" t="s">
        <v>121</v>
      </c>
      <c r="B62" s="477">
        <f>B50/B67</f>
        <v>0</v>
      </c>
      <c r="E62" s="136"/>
      <c r="F62" s="655" t="s">
        <v>122</v>
      </c>
      <c r="G62" s="656"/>
      <c r="H62" s="657"/>
      <c r="K62" s="655" t="s">
        <v>123</v>
      </c>
      <c r="L62" s="656"/>
      <c r="M62" s="656"/>
      <c r="N62" s="656"/>
      <c r="O62" s="656"/>
      <c r="P62" s="519"/>
      <c r="Q62" s="133"/>
      <c r="R62" s="162"/>
      <c r="S62" s="162"/>
      <c r="T62" s="354" t="s">
        <v>124</v>
      </c>
      <c r="U62" s="658">
        <f>AZ4</f>
        <v>0</v>
      </c>
      <c r="V62" s="659"/>
      <c r="W62" s="162"/>
      <c r="X62" s="165" t="str">
        <f>C85</f>
        <v>Extrapan
25</v>
      </c>
      <c r="Y62" s="532"/>
      <c r="Z62" s="532"/>
      <c r="AA62" s="532"/>
      <c r="AB62" s="532"/>
      <c r="AC62" s="532"/>
      <c r="AD62" s="532"/>
      <c r="AE62" s="532"/>
      <c r="AG62" s="147"/>
      <c r="AH62" s="147"/>
      <c r="AI62" s="6"/>
      <c r="AJ62" s="6"/>
      <c r="AK62" s="147"/>
      <c r="AL62" s="147"/>
      <c r="AM62" s="147"/>
    </row>
    <row r="63" spans="1:58" customHeight="1" ht="14.45">
      <c r="A63" s="256" t="s">
        <v>125</v>
      </c>
      <c r="B63" s="502" t="e">
        <f>B75/B50</f>
        <v>#DIV/0!</v>
      </c>
      <c r="F63" s="632" t="s">
        <v>126</v>
      </c>
      <c r="G63" s="633"/>
      <c r="H63" s="268"/>
      <c r="I63" s="140"/>
      <c r="J63" s="136"/>
      <c r="K63" s="1" t="s">
        <v>127</v>
      </c>
      <c r="O63" s="520">
        <v>662</v>
      </c>
      <c r="R63" s="162"/>
      <c r="S63" s="162"/>
      <c r="T63" s="162"/>
      <c r="U63" s="162"/>
      <c r="V63" s="162"/>
      <c r="W63" s="162"/>
      <c r="X63" s="165" t="str">
        <f>C86</f>
        <v>Extrapan
10</v>
      </c>
      <c r="Y63" s="532"/>
      <c r="Z63" s="532"/>
      <c r="AA63" s="532"/>
      <c r="AB63" s="532"/>
      <c r="AC63" s="532"/>
      <c r="AD63" s="532"/>
      <c r="AE63" s="532"/>
      <c r="AG63" s="147"/>
      <c r="AH63" s="147"/>
      <c r="AI63" s="6"/>
      <c r="AJ63" s="6"/>
      <c r="AK63" s="147"/>
      <c r="AL63" s="147"/>
      <c r="AM63" s="147"/>
    </row>
    <row r="64" spans="1:58" customHeight="1" ht="14.45">
      <c r="A64" s="258" t="s">
        <v>128</v>
      </c>
      <c r="B64" s="503" t="e">
        <f>B76/B50</f>
        <v>#DIV/0!</v>
      </c>
      <c r="F64" s="140" t="s">
        <v>129</v>
      </c>
      <c r="H64" s="474">
        <f>(H63*1)*2</f>
        <v>0</v>
      </c>
      <c r="I64" s="140"/>
      <c r="K64" s="140" t="s">
        <v>129</v>
      </c>
      <c r="O64" s="474">
        <f>O63/30</f>
        <v>22.066666666666666</v>
      </c>
      <c r="T64" s="634" t="s">
        <v>130</v>
      </c>
      <c r="U64" s="635"/>
      <c r="V64" s="636"/>
      <c r="X64" s="165" t="str">
        <f>C87</f>
        <v>Artesanal 
50</v>
      </c>
      <c r="Y64" s="531"/>
      <c r="Z64" s="531"/>
      <c r="AA64" s="531"/>
      <c r="AB64" s="531"/>
      <c r="AC64" s="531"/>
      <c r="AD64" s="531"/>
      <c r="AE64" s="531"/>
      <c r="AG64" s="147"/>
      <c r="AH64" s="147"/>
      <c r="AI64" s="6"/>
      <c r="AJ64" s="6"/>
      <c r="AK64" s="147"/>
      <c r="AL64" s="147"/>
      <c r="AM64" s="147"/>
    </row>
    <row r="65" spans="1:58">
      <c r="F65" s="637" t="s">
        <v>131</v>
      </c>
      <c r="G65" s="638"/>
      <c r="H65" s="639"/>
      <c r="I65" s="140"/>
      <c r="J65" s="136"/>
      <c r="K65" s="1" t="s">
        <v>132</v>
      </c>
      <c r="P65" s="140"/>
      <c r="T65" s="417" t="s">
        <v>133</v>
      </c>
      <c r="U65" s="732"/>
      <c r="V65" s="733"/>
      <c r="X65" s="165" t="str">
        <f>C89</f>
        <v>Artesanal
25</v>
      </c>
      <c r="Y65" s="532"/>
      <c r="Z65" s="532"/>
      <c r="AA65" s="532"/>
      <c r="AB65" s="532"/>
      <c r="AC65" s="532"/>
      <c r="AD65" s="532"/>
      <c r="AE65" s="532"/>
      <c r="AG65" s="147"/>
      <c r="AH65" s="147"/>
      <c r="AI65" s="6"/>
      <c r="AJ65" s="6"/>
      <c r="AK65" s="147"/>
      <c r="AL65" s="147"/>
      <c r="AM65" s="147"/>
    </row>
    <row r="66" spans="1:58" customHeight="1" ht="14.45">
      <c r="A66" s="371" t="s">
        <v>134</v>
      </c>
      <c r="B66" s="373"/>
      <c r="F66" s="630" t="s">
        <v>91</v>
      </c>
      <c r="G66" s="642"/>
      <c r="H66" s="270"/>
      <c r="I66" s="140"/>
      <c r="K66" s="159" t="s">
        <v>94</v>
      </c>
      <c r="L66" s="158"/>
      <c r="M66" s="158"/>
      <c r="N66" s="158"/>
      <c r="O66" s="478"/>
      <c r="P66" s="524"/>
      <c r="T66" s="417" t="s">
        <v>135</v>
      </c>
      <c r="U66" s="651"/>
      <c r="V66" s="652"/>
      <c r="X66" s="165" t="str">
        <f>C92</f>
        <v>Natural 
50</v>
      </c>
      <c r="Y66" s="532"/>
      <c r="Z66" s="532"/>
      <c r="AA66" s="532"/>
      <c r="AB66" s="532"/>
      <c r="AC66" s="532"/>
      <c r="AD66" s="532"/>
      <c r="AE66" s="532"/>
      <c r="AG66" s="147"/>
      <c r="AH66" s="147"/>
      <c r="AI66" s="147"/>
      <c r="AJ66" s="147"/>
      <c r="AK66" s="6"/>
      <c r="AL66" s="6"/>
      <c r="AM66" s="147"/>
      <c r="AN66" s="147"/>
    </row>
    <row r="67" spans="1:58" customHeight="1" ht="14.45">
      <c r="A67" s="255" t="s">
        <v>136</v>
      </c>
      <c r="B67" s="264">
        <v>24</v>
      </c>
      <c r="F67" s="140" t="s">
        <v>137</v>
      </c>
      <c r="G67" s="475"/>
      <c r="H67" s="267">
        <f>H64*G67</f>
        <v>0</v>
      </c>
      <c r="K67" s="140" t="s">
        <v>137</v>
      </c>
      <c r="L67" s="475">
        <v>100</v>
      </c>
      <c r="M67" s="367">
        <f>(O64*L67)</f>
        <v>2206.66666666666652</v>
      </c>
      <c r="P67" s="524"/>
      <c r="Q67" s="521"/>
      <c r="T67" s="417" t="s">
        <v>94</v>
      </c>
      <c r="U67" s="730"/>
      <c r="V67" s="731"/>
      <c r="X67" s="165" t="str">
        <f>C99</f>
        <v>Harina Tortas y Ponques</v>
      </c>
      <c r="Y67" s="531"/>
      <c r="Z67" s="531"/>
      <c r="AA67" s="531"/>
      <c r="AB67" s="531"/>
      <c r="AC67" s="531"/>
      <c r="AD67" s="531"/>
      <c r="AE67" s="531"/>
      <c r="AG67" s="147"/>
      <c r="AH67" s="147"/>
      <c r="AI67" s="6"/>
      <c r="AJ67" s="6"/>
      <c r="AK67" s="147"/>
      <c r="AL67" s="147"/>
      <c r="AM67" s="147"/>
    </row>
    <row r="68" spans="1:58" customHeight="1" ht="14.45">
      <c r="A68" s="255" t="s">
        <v>138</v>
      </c>
      <c r="B68" s="265">
        <v>28760</v>
      </c>
      <c r="F68" s="148" t="s">
        <v>139</v>
      </c>
      <c r="G68" s="649">
        <f>(G67*436*1.7321*0.96)/1000</f>
        <v>0</v>
      </c>
      <c r="H68" s="650">
        <f>(H67*436*1.7321*0.96)/1000</f>
        <v>0</v>
      </c>
      <c r="K68" s="148" t="s">
        <v>139</v>
      </c>
      <c r="L68" s="271">
        <f>(L67*436*1.7321*0.96)/1000</f>
        <v>72.4987776</v>
      </c>
      <c r="M68" s="156"/>
      <c r="O68" s="525"/>
      <c r="P68" s="522"/>
      <c r="T68" s="354" t="s">
        <v>140</v>
      </c>
      <c r="U68" s="651"/>
      <c r="V68" s="652"/>
      <c r="X68" s="165" t="str">
        <f>C100</f>
        <v>Harina Galeras Ligera</v>
      </c>
      <c r="Y68" s="532"/>
      <c r="Z68" s="532"/>
      <c r="AA68" s="532"/>
      <c r="AB68" s="532"/>
      <c r="AC68" s="532"/>
      <c r="AD68" s="532"/>
      <c r="AE68" s="532"/>
      <c r="AG68" s="147"/>
      <c r="AH68" s="147"/>
      <c r="AI68" s="147"/>
      <c r="AJ68" s="147"/>
      <c r="AK68" s="6"/>
      <c r="AL68" s="6"/>
      <c r="AM68" s="147"/>
      <c r="AN68" s="147"/>
    </row>
    <row r="69" spans="1:58">
      <c r="A69" s="156" t="s">
        <v>142</v>
      </c>
      <c r="B69" s="424">
        <v>36087</v>
      </c>
      <c r="F69" s="140" t="s">
        <v>143</v>
      </c>
      <c r="G69" s="653">
        <f>G68*H63</f>
        <v>0</v>
      </c>
      <c r="H69" s="639"/>
      <c r="K69" s="140" t="s">
        <v>143</v>
      </c>
      <c r="M69" s="653">
        <f>L68*O64</f>
        <v>1599.80635903999996</v>
      </c>
      <c r="N69" s="653"/>
      <c r="O69" s="654"/>
      <c r="X69" s="165" t="str">
        <f>C103</f>
        <v>Harina de alta proteina x 1
G</v>
      </c>
      <c r="Y69" s="532"/>
      <c r="Z69" s="532"/>
      <c r="AA69" s="532"/>
      <c r="AB69" s="532"/>
      <c r="AC69" s="532"/>
      <c r="AD69" s="532"/>
      <c r="AE69" s="532"/>
      <c r="AG69" s="147"/>
      <c r="AH69" s="147"/>
      <c r="AI69" s="147"/>
      <c r="AJ69" s="147"/>
      <c r="AK69" s="6"/>
      <c r="AL69" s="6"/>
      <c r="AM69" s="147"/>
      <c r="AN69" s="147"/>
    </row>
    <row r="70" spans="1:58" customHeight="1" ht="14.45">
      <c r="A70" s="257" t="s">
        <v>144</v>
      </c>
      <c r="B70" s="266">
        <f>+B51/B68</f>
        <v>0</v>
      </c>
      <c r="F70" s="632" t="s">
        <v>86</v>
      </c>
      <c r="G70" s="633"/>
      <c r="H70" s="269">
        <f>G69*H50</f>
        <v>0</v>
      </c>
      <c r="K70" s="140" t="s">
        <v>86</v>
      </c>
      <c r="M70" s="352">
        <f>M69*H50</f>
        <v>0</v>
      </c>
      <c r="O70" s="136"/>
      <c r="P70" s="523"/>
      <c r="Q70" s="523"/>
      <c r="T70" s="374" t="s">
        <v>145</v>
      </c>
      <c r="U70" s="374"/>
      <c r="V70" s="374"/>
      <c r="X70" s="165" t="s">
        <v>67</v>
      </c>
      <c r="Y70" s="533"/>
      <c r="Z70" s="533"/>
      <c r="AA70" s="533"/>
      <c r="AB70" s="533"/>
      <c r="AC70" s="533"/>
      <c r="AD70" s="533"/>
      <c r="AE70" s="533"/>
      <c r="AG70" s="6"/>
      <c r="AI70" s="147"/>
      <c r="AJ70" s="147"/>
      <c r="AK70" s="147"/>
      <c r="AL70" s="147"/>
      <c r="AM70" s="147"/>
      <c r="AN70" s="6"/>
      <c r="AO70" s="147"/>
      <c r="AP70" s="147"/>
    </row>
    <row r="71" spans="1:58" customHeight="1" ht="22.5">
      <c r="A71" s="257" t="s">
        <v>146</v>
      </c>
      <c r="B71" s="266">
        <f>+B51/B69</f>
        <v>0</v>
      </c>
      <c r="F71" s="159"/>
      <c r="G71" s="158"/>
      <c r="H71" s="151"/>
      <c r="K71" s="159"/>
      <c r="L71" s="158"/>
      <c r="M71" s="158"/>
      <c r="N71" s="158"/>
      <c r="O71" s="151"/>
      <c r="T71" s="253" t="s">
        <v>147</v>
      </c>
      <c r="U71" s="254"/>
      <c r="V71" s="645">
        <f>AP36*(U71+U72)</f>
        <v>0</v>
      </c>
      <c r="X71" s="202" t="s">
        <v>141</v>
      </c>
      <c r="Y71" s="203"/>
      <c r="Z71" s="203"/>
      <c r="AA71" s="203"/>
      <c r="AB71" s="203"/>
      <c r="AC71" s="203"/>
      <c r="AE71" s="6"/>
      <c r="AG71" s="6"/>
      <c r="AI71" s="147"/>
      <c r="AJ71" s="147"/>
      <c r="AK71" s="147"/>
      <c r="AL71" s="147"/>
      <c r="AM71" s="147"/>
      <c r="AN71" s="6"/>
      <c r="AO71" s="147"/>
      <c r="AP71" s="147"/>
    </row>
    <row r="72" spans="1:58">
      <c r="T72" s="253" t="s">
        <v>151</v>
      </c>
      <c r="U72" s="254"/>
      <c r="V72" s="646"/>
      <c r="X72" s="202"/>
      <c r="Y72" s="245"/>
      <c r="Z72" s="245"/>
      <c r="AA72" s="245"/>
      <c r="AB72" s="245"/>
      <c r="AC72" s="245"/>
      <c r="AE72" s="6"/>
      <c r="AG72" s="6"/>
      <c r="AI72" s="147"/>
      <c r="AJ72" s="147"/>
      <c r="AK72" s="147"/>
      <c r="AL72" s="147"/>
      <c r="AM72" s="147"/>
      <c r="AN72" s="6"/>
      <c r="AO72" s="147"/>
      <c r="AP72" s="147"/>
    </row>
    <row r="73" spans="1:58">
      <c r="AE73" s="6"/>
      <c r="AG73" s="6"/>
      <c r="AI73" s="147"/>
      <c r="AJ73" s="147"/>
      <c r="AK73" s="147"/>
      <c r="AL73" s="147"/>
      <c r="AM73" s="147"/>
      <c r="AN73" s="6"/>
      <c r="AO73" s="147"/>
      <c r="AP73" s="147"/>
    </row>
    <row r="74" spans="1:58" customHeight="1" ht="14.45">
      <c r="A74" s="371" t="s">
        <v>154</v>
      </c>
      <c r="B74" s="372"/>
      <c r="C74" s="140"/>
      <c r="Y74" s="156" t="s">
        <v>148</v>
      </c>
      <c r="Z74" s="1" t="s">
        <v>149</v>
      </c>
      <c r="AA74" s="1" t="s">
        <v>150</v>
      </c>
      <c r="AE74" s="6"/>
      <c r="AG74" s="6"/>
      <c r="AI74" s="147"/>
      <c r="AJ74" s="147"/>
      <c r="AK74" s="147"/>
      <c r="AL74" s="147"/>
      <c r="AM74" s="147"/>
      <c r="AN74" s="6"/>
      <c r="AO74" s="147"/>
      <c r="AP74" s="147"/>
    </row>
    <row r="75" spans="1:58" customHeight="1" ht="14.45">
      <c r="A75" s="260" t="s">
        <v>155</v>
      </c>
      <c r="B75" s="262">
        <v>64062235</v>
      </c>
      <c r="Y75" s="209" t="s">
        <v>152</v>
      </c>
      <c r="Z75" s="7">
        <v>12.5</v>
      </c>
      <c r="AA75" s="7">
        <v>13.5</v>
      </c>
      <c r="AB75" s="7"/>
      <c r="AC75" s="1" t="s">
        <v>152</v>
      </c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8" customHeight="1" ht="14.45">
      <c r="A76" s="261" t="s">
        <v>156</v>
      </c>
      <c r="B76" s="263">
        <v>7837432</v>
      </c>
      <c r="Y76" s="209" t="s">
        <v>67</v>
      </c>
      <c r="Z76" s="212">
        <f>SUM(A82+A85+A86+A87+A89+A92+A94+A98+A100+A102+A103+A108+A105+A110+A113+A115+A109+A83+A84+A90+A88+A91+A96+A97+A104+A106+A111)*Z75</f>
        <v>0</v>
      </c>
      <c r="AA76" s="212">
        <f>(A95+A99)*AA75</f>
        <v>0</v>
      </c>
      <c r="AB76" s="240"/>
      <c r="AC76" s="156" t="s">
        <v>153</v>
      </c>
      <c r="AE76" s="206"/>
      <c r="AK76" s="147"/>
      <c r="AL76" s="147"/>
      <c r="AM76" s="147"/>
      <c r="AN76" s="6"/>
      <c r="AO76" s="147"/>
      <c r="AP76" s="147"/>
    </row>
    <row r="77" spans="1:58">
      <c r="Y77" s="202" t="s">
        <v>141</v>
      </c>
      <c r="Z77" s="142"/>
      <c r="AA77" s="142"/>
      <c r="AB77" s="142"/>
      <c r="AC77" s="156" t="s">
        <v>153</v>
      </c>
      <c r="AE77" s="206"/>
      <c r="AK77" s="147"/>
      <c r="AL77" s="147"/>
      <c r="AM77" s="147"/>
      <c r="AN77" s="6"/>
      <c r="AO77" s="147"/>
      <c r="AP77" s="147"/>
      <c r="AQ77" s="147"/>
      <c r="AR77" s="147"/>
    </row>
    <row r="78" spans="1:58">
      <c r="X78" s="169"/>
      <c r="AK78" s="147"/>
      <c r="AL78" s="147"/>
      <c r="AM78" s="147"/>
      <c r="AN78" s="6"/>
      <c r="AO78" s="147"/>
      <c r="AP78" s="147"/>
      <c r="AQ78" s="147"/>
      <c r="AR78" s="147"/>
    </row>
    <row r="79" spans="1:58">
      <c r="N79" s="4"/>
      <c r="X79" s="169"/>
      <c r="AE79" s="6"/>
      <c r="AK79" s="147"/>
      <c r="AL79" s="147"/>
      <c r="AM79" s="147"/>
      <c r="AN79" s="6"/>
      <c r="AO79" s="147"/>
      <c r="AP79" s="147"/>
      <c r="AQ79" s="147"/>
      <c r="AR79" s="147"/>
    </row>
    <row r="80" spans="1:58" customHeight="1" ht="16.35">
      <c r="A80" s="170"/>
      <c r="C80" s="171"/>
      <c r="D80" s="423" t="s">
        <v>157</v>
      </c>
      <c r="E80" s="423" t="s">
        <v>158</v>
      </c>
      <c r="F80" s="423" t="s">
        <v>94</v>
      </c>
      <c r="G80" s="423" t="s">
        <v>91</v>
      </c>
      <c r="AE80" s="6"/>
      <c r="AK80" s="147"/>
      <c r="AL80" s="147"/>
      <c r="AM80" s="147"/>
    </row>
    <row r="81" spans="1:58" customHeight="1" ht="16.35">
      <c r="A81" s="356" t="s">
        <v>45</v>
      </c>
      <c r="B81" s="472" t="s">
        <v>159</v>
      </c>
      <c r="C81" s="176" t="s">
        <v>160</v>
      </c>
      <c r="D81" s="178" t="s">
        <v>161</v>
      </c>
      <c r="E81" s="178" t="s">
        <v>161</v>
      </c>
      <c r="F81" s="178" t="s">
        <v>161</v>
      </c>
      <c r="G81" s="178" t="s">
        <v>161</v>
      </c>
      <c r="AE81" s="6"/>
      <c r="AK81" s="147"/>
      <c r="AL81" s="147"/>
      <c r="AM81" s="147"/>
    </row>
    <row r="82" spans="1:58" customHeight="1" ht="16.35">
      <c r="A82" s="139">
        <f>C36</f>
        <v>0</v>
      </c>
      <c r="B82" s="139">
        <f>IF(A82=0,0,((A82*50)/$B$53))</f>
        <v>0</v>
      </c>
      <c r="C82" s="180" t="s">
        <v>16</v>
      </c>
      <c r="D82" s="569">
        <v>0.8</v>
      </c>
      <c r="E82" s="570">
        <v>0.2</v>
      </c>
      <c r="F82" s="571"/>
      <c r="G82" s="572"/>
      <c r="Z82" s="213"/>
      <c r="AA82" s="213"/>
      <c r="AB82" s="213"/>
      <c r="AC82" s="213"/>
      <c r="AD82" s="213"/>
      <c r="AE82" s="6"/>
      <c r="AK82" s="147"/>
      <c r="AL82" s="147"/>
      <c r="AM82" s="147"/>
    </row>
    <row r="83" spans="1:58" customHeight="1" ht="16.35">
      <c r="A83" s="139">
        <f>C38</f>
        <v>0</v>
      </c>
      <c r="B83" s="139">
        <f>IF(A83=0,0,((A83*50)/$B$53))</f>
        <v>0</v>
      </c>
      <c r="C83" s="180" t="s">
        <v>16</v>
      </c>
      <c r="D83" s="573"/>
      <c r="E83" s="186"/>
      <c r="F83" s="462"/>
      <c r="G83" s="574"/>
      <c r="Z83" s="213"/>
      <c r="AA83" s="213"/>
      <c r="AB83" s="213"/>
      <c r="AC83" s="213"/>
      <c r="AD83" s="213"/>
      <c r="AE83" s="6"/>
      <c r="AK83" s="147"/>
      <c r="AL83" s="147"/>
      <c r="AM83" s="147"/>
    </row>
    <row r="84" spans="1:58" customHeight="1" ht="16.35">
      <c r="A84" s="139">
        <f>C39</f>
        <v>0</v>
      </c>
      <c r="B84" s="139">
        <f>IF(A84=0,0,((A84*50)/$B$53))</f>
        <v>0</v>
      </c>
      <c r="C84" s="180" t="s">
        <v>16</v>
      </c>
      <c r="D84" s="575">
        <v>0.8</v>
      </c>
      <c r="E84" s="382">
        <v>0.2</v>
      </c>
      <c r="F84" s="382"/>
      <c r="G84" s="574"/>
      <c r="Z84" s="213"/>
      <c r="AA84" s="213"/>
      <c r="AB84" s="213"/>
      <c r="AC84" s="213"/>
      <c r="AD84" s="213"/>
      <c r="AE84" s="6"/>
      <c r="AK84" s="147"/>
      <c r="AL84" s="147"/>
      <c r="AM84" s="147"/>
    </row>
    <row r="85" spans="1:58" customHeight="1" ht="16.35">
      <c r="A85" s="139">
        <f>D36/2</f>
        <v>0</v>
      </c>
      <c r="B85" s="139">
        <f>IF(A85=0,0,((A85*50)/$B$53))</f>
        <v>0</v>
      </c>
      <c r="C85" s="180" t="str">
        <f>D3</f>
        <v>Extrapan
25</v>
      </c>
      <c r="D85" s="573">
        <v>0.8</v>
      </c>
      <c r="E85" s="186">
        <v>0.2</v>
      </c>
      <c r="F85" s="186"/>
      <c r="G85" s="576"/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8" customHeight="1" ht="16.35">
      <c r="A86" s="139">
        <f>E36/5</f>
        <v>0</v>
      </c>
      <c r="B86" s="139">
        <f>IF(A86=0,0,((A86*50)/$B$53))</f>
        <v>0</v>
      </c>
      <c r="C86" s="189" t="str">
        <f>E3</f>
        <v>Extrapan
10</v>
      </c>
      <c r="D86" s="573">
        <v>0.8</v>
      </c>
      <c r="E86" s="186">
        <v>0.2</v>
      </c>
      <c r="F86" s="186"/>
      <c r="G86" s="576"/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8" customHeight="1" ht="16.35">
      <c r="A87" s="139">
        <f>F36</f>
        <v>0</v>
      </c>
      <c r="B87" s="139">
        <f>IF(A87=0,0,((A87*50)/$B$53))</f>
        <v>0</v>
      </c>
      <c r="C87" s="189" t="str">
        <f>F3</f>
        <v>Artesanal 
50</v>
      </c>
      <c r="D87" s="573">
        <v>0.6</v>
      </c>
      <c r="E87" s="186">
        <v>0.15</v>
      </c>
      <c r="F87" s="186">
        <v>0.25</v>
      </c>
      <c r="G87" s="576"/>
      <c r="J87" s="137"/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8" customHeight="1" ht="16.35">
      <c r="A88" s="139">
        <f>F38</f>
        <v>0</v>
      </c>
      <c r="B88" s="139">
        <f>IF(A88=0,0,((A88*50)/$B$53))</f>
        <v>0</v>
      </c>
      <c r="C88" s="568" t="str">
        <f>C87</f>
        <v>Artesanal 
50</v>
      </c>
      <c r="D88" s="573"/>
      <c r="E88" s="186"/>
      <c r="F88" s="186"/>
      <c r="G88" s="576"/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8" customHeight="1" ht="16.35">
      <c r="A89" s="139">
        <f>G36/2</f>
        <v>0</v>
      </c>
      <c r="B89" s="139">
        <f>IF(A89=0,0,((A89*50)/$B$53))</f>
        <v>0</v>
      </c>
      <c r="C89" s="190" t="str">
        <f>G3</f>
        <v>Artesanal
25</v>
      </c>
      <c r="D89" s="573">
        <v>0.6</v>
      </c>
      <c r="E89" s="186">
        <v>0.15</v>
      </c>
      <c r="F89" s="186">
        <v>0.25</v>
      </c>
      <c r="G89" s="576"/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8" customHeight="1" ht="16.35">
      <c r="A90" s="139">
        <f>G38/2</f>
        <v>0</v>
      </c>
      <c r="B90" s="139">
        <f>IF(A90=0,0,((A90*50)/$B$53))</f>
        <v>0</v>
      </c>
      <c r="C90" s="190" t="str">
        <f>C89</f>
        <v>Artesanal
25</v>
      </c>
      <c r="D90" s="573"/>
      <c r="E90" s="186"/>
      <c r="F90" s="186"/>
      <c r="G90" s="576"/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8" customHeight="1" ht="16.35">
      <c r="A91" s="139">
        <f>H36</f>
        <v>0</v>
      </c>
      <c r="B91" s="139">
        <f>IF(A91=0,0,((A91*50)/$B$53))</f>
        <v>0</v>
      </c>
      <c r="C91" s="180" t="str">
        <f>H3</f>
        <v>Natural 
50</v>
      </c>
      <c r="D91" s="573">
        <v>0.7</v>
      </c>
      <c r="E91" s="186">
        <v>0.07</v>
      </c>
      <c r="F91" s="186">
        <v>0.23</v>
      </c>
      <c r="G91" s="576"/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8" customHeight="1" ht="16.35">
      <c r="A92" s="139">
        <f>H38</f>
        <v>0</v>
      </c>
      <c r="B92" s="139">
        <f>IF(A92=0,0,((A92*50)/$B$53))</f>
        <v>0</v>
      </c>
      <c r="C92" s="180" t="str">
        <f>H3</f>
        <v>Natural 
50</v>
      </c>
      <c r="D92" s="577"/>
      <c r="E92" s="578"/>
      <c r="F92" s="578"/>
      <c r="G92" s="579"/>
      <c r="V92" s="124"/>
      <c r="W92" s="124"/>
      <c r="Z92" s="6"/>
      <c r="AA92" s="6"/>
      <c r="AB92" s="6"/>
      <c r="AC92" s="6"/>
      <c r="AD92" s="6"/>
      <c r="AE92" s="6"/>
      <c r="AH92" s="147"/>
      <c r="AI92" s="147"/>
      <c r="AJ92" s="147"/>
    </row>
    <row r="93" spans="1:58" customHeight="1" ht="16.35">
      <c r="A93" s="139"/>
      <c r="B93" s="139">
        <f>IF(A93=0,0,((A93*50)/$B$53))</f>
        <v>0</v>
      </c>
      <c r="C93" s="548"/>
      <c r="D93" s="200"/>
      <c r="E93" s="200"/>
      <c r="F93" s="201"/>
      <c r="G93" s="201"/>
      <c r="V93" s="245"/>
      <c r="W93" s="245"/>
      <c r="Y93" s="213"/>
      <c r="Z93" s="6"/>
      <c r="AA93" s="6"/>
      <c r="AB93" s="6"/>
      <c r="AC93" s="6"/>
      <c r="AD93" s="6"/>
      <c r="AE93" s="6"/>
      <c r="AH93" s="147"/>
      <c r="AI93" s="147"/>
      <c r="AJ93" s="147"/>
    </row>
    <row r="94" spans="1:58" customHeight="1" ht="15.6">
      <c r="A94" s="139">
        <f>I36/2</f>
        <v>0</v>
      </c>
      <c r="B94" s="139">
        <f>IF(A94=0,0,((A94*50)/$B$53))</f>
        <v>0</v>
      </c>
      <c r="C94" s="379" t="str">
        <f>I3</f>
        <v>Fuerte
25</v>
      </c>
      <c r="D94" s="463">
        <v>0.57</v>
      </c>
      <c r="E94" s="182">
        <v>0.13</v>
      </c>
      <c r="F94" s="182">
        <v>0.3</v>
      </c>
      <c r="G94" s="506"/>
      <c r="Y94" s="213"/>
      <c r="Z94" s="6"/>
      <c r="AA94" s="6"/>
      <c r="AB94" s="6"/>
      <c r="AC94" s="6"/>
      <c r="AD94" s="6"/>
      <c r="AE94" s="6"/>
      <c r="AH94" s="147"/>
      <c r="AI94" s="147"/>
      <c r="AJ94" s="147"/>
    </row>
    <row r="95" spans="1:58" customHeight="1" ht="16.35">
      <c r="A95" s="139">
        <f>J36/2</f>
        <v>0</v>
      </c>
      <c r="B95" s="139">
        <f>IF(A95=0,0,((A95*50)/$B$53))</f>
        <v>0</v>
      </c>
      <c r="C95" s="448" t="str">
        <f>J3</f>
        <v>Fuerte exp
25</v>
      </c>
      <c r="D95" s="462">
        <v>0.57</v>
      </c>
      <c r="E95" s="186">
        <v>0.13</v>
      </c>
      <c r="F95" s="382">
        <v>0.3</v>
      </c>
      <c r="G95" s="504"/>
      <c r="Y95" s="213"/>
      <c r="Z95" s="6"/>
      <c r="AA95" s="6"/>
      <c r="AB95" s="6"/>
      <c r="AC95" s="6"/>
      <c r="AD95" s="6"/>
      <c r="AE95" s="6"/>
      <c r="AH95" s="147"/>
      <c r="AI95" s="147"/>
      <c r="AJ95" s="147"/>
    </row>
    <row r="96" spans="1:58" customHeight="1" ht="16.35">
      <c r="A96" s="139">
        <f>I38/2</f>
        <v>0</v>
      </c>
      <c r="B96" s="139">
        <f>IF(A96=0,0,((A96*50)/$B$53))</f>
        <v>0</v>
      </c>
      <c r="C96" s="379" t="str">
        <f>I3</f>
        <v>Fuerte
25</v>
      </c>
      <c r="D96" s="462"/>
      <c r="E96" s="186"/>
      <c r="F96" s="382"/>
      <c r="G96" s="504"/>
      <c r="Y96" s="213"/>
      <c r="Z96" s="6"/>
      <c r="AA96" s="6"/>
      <c r="AB96" s="6"/>
      <c r="AC96" s="6"/>
      <c r="AD96" s="6"/>
      <c r="AE96" s="6"/>
      <c r="AH96" s="147"/>
      <c r="AI96" s="147"/>
      <c r="AJ96" s="147"/>
    </row>
    <row r="97" spans="1:58" customHeight="1" ht="16.35">
      <c r="A97" s="139">
        <f>I39/2</f>
        <v>0</v>
      </c>
      <c r="B97" s="139">
        <f>IF(A97=0,0,((A97*50)/$B$53))</f>
        <v>0</v>
      </c>
      <c r="C97" s="379" t="str">
        <f>C96</f>
        <v>Fuerte
25</v>
      </c>
      <c r="D97" s="462"/>
      <c r="E97" s="186"/>
      <c r="F97" s="382"/>
      <c r="G97" s="504"/>
      <c r="Y97" s="213"/>
      <c r="Z97" s="6"/>
      <c r="AA97" s="6"/>
      <c r="AB97" s="6"/>
      <c r="AC97" s="6"/>
      <c r="AD97" s="6"/>
      <c r="AE97" s="6"/>
      <c r="AH97" s="147"/>
      <c r="AI97" s="147"/>
      <c r="AJ97" s="147"/>
    </row>
    <row r="98" spans="1:58" customHeight="1" ht="16.35">
      <c r="A98" s="139">
        <f>K36</f>
        <v>0</v>
      </c>
      <c r="B98" s="139">
        <f>IF(A98=0,0,((A98*50)/$B$53))</f>
        <v>0</v>
      </c>
      <c r="C98" s="379" t="str">
        <f>K3</f>
        <v>Exclusiva
50</v>
      </c>
      <c r="D98" s="462">
        <v>0.62</v>
      </c>
      <c r="E98" s="186">
        <v>0.13</v>
      </c>
      <c r="F98" s="382">
        <v>0.25</v>
      </c>
      <c r="G98" s="504"/>
      <c r="Y98" s="213"/>
      <c r="Z98" s="6"/>
      <c r="AA98" s="6"/>
      <c r="AB98" s="6"/>
      <c r="AC98" s="6"/>
      <c r="AD98" s="6"/>
      <c r="AE98" s="6"/>
      <c r="AH98" s="147"/>
      <c r="AI98" s="147"/>
      <c r="AJ98" s="147"/>
    </row>
    <row r="99" spans="1:58" customHeight="1" ht="26.85">
      <c r="A99" s="139">
        <f>N36</f>
        <v>0</v>
      </c>
      <c r="B99" s="139">
        <f>IF(A99=0,0,((A99*50)/$B$53))</f>
        <v>0</v>
      </c>
      <c r="C99" s="449" t="str">
        <f>N3</f>
        <v>Harina Tortas y Ponques</v>
      </c>
      <c r="D99" s="462"/>
      <c r="E99" s="186"/>
      <c r="F99" s="186"/>
      <c r="G99" s="504"/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8" customHeight="1" ht="29.25">
      <c r="A100" s="139">
        <f>O36</f>
        <v>0</v>
      </c>
      <c r="B100" s="139">
        <f>IF(A100=0,0,((A100*50)/$B$53))</f>
        <v>0</v>
      </c>
      <c r="C100" s="449" t="str">
        <f>O3</f>
        <v>Harina Galeras Ligera</v>
      </c>
      <c r="D100" s="462"/>
      <c r="E100" s="186"/>
      <c r="F100" s="508"/>
      <c r="G100" s="188"/>
      <c r="H100" s="214"/>
      <c r="I100" s="214"/>
      <c r="J100" s="214"/>
      <c r="K100" s="156"/>
      <c r="L100" s="156"/>
      <c r="M100" s="156"/>
      <c r="N100" s="156"/>
      <c r="O100" s="202"/>
      <c r="P100" s="202"/>
      <c r="Q100" s="214"/>
      <c r="R100" s="214"/>
      <c r="S100" s="214"/>
      <c r="T100" s="156"/>
      <c r="U100" s="156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8" customHeight="1" ht="29.25">
      <c r="A101" s="139">
        <f>O38</f>
        <v>0</v>
      </c>
      <c r="B101" s="139">
        <f>IF(A101=0,0,((A101*50)/$B$53))</f>
        <v>0</v>
      </c>
      <c r="C101" s="449" t="str">
        <f>C100</f>
        <v>Harina Galeras Ligera</v>
      </c>
      <c r="D101" s="462"/>
      <c r="E101" s="186"/>
      <c r="F101" s="186"/>
      <c r="G101" s="504"/>
      <c r="H101" s="214"/>
      <c r="I101" s="214"/>
      <c r="J101" s="214"/>
      <c r="K101" s="156"/>
      <c r="L101" s="156"/>
      <c r="M101" s="156"/>
      <c r="N101" s="156"/>
      <c r="O101" s="202"/>
      <c r="P101" s="202"/>
      <c r="Q101" s="214"/>
      <c r="R101" s="214"/>
      <c r="S101" s="214"/>
      <c r="T101" s="156"/>
      <c r="U101" s="156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8" customHeight="1" ht="17.1">
      <c r="A102" s="139">
        <f>Q36</f>
        <v>0</v>
      </c>
      <c r="B102" s="139">
        <f>IF(A102=0,0,((A102*50)/$B$53))</f>
        <v>0</v>
      </c>
      <c r="C102" s="379" t="str">
        <f>Q3</f>
        <v>ESPECIAL
50</v>
      </c>
      <c r="D102" s="462"/>
      <c r="E102" s="186"/>
      <c r="F102" s="186"/>
      <c r="G102" s="505"/>
      <c r="X102" s="213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8" customHeight="1" ht="31.5">
      <c r="A103" s="139">
        <f>R36/50</f>
        <v>0</v>
      </c>
      <c r="B103" s="139">
        <f>IF(A103=0,0,((A103*50)/$B$53))</f>
        <v>0</v>
      </c>
      <c r="C103" s="449" t="str">
        <f>R3</f>
        <v>Harina de alta proteina x 1
G</v>
      </c>
      <c r="D103" s="462">
        <v>1</v>
      </c>
      <c r="E103" s="186"/>
      <c r="F103" s="186"/>
      <c r="G103" s="505"/>
      <c r="X103" s="213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8" customHeight="1" ht="16.35">
      <c r="A104" s="139">
        <f>R38/50</f>
        <v>0</v>
      </c>
      <c r="B104" s="139">
        <f>IF(A104=0,0,((A104*50)/$B$53))</f>
        <v>0</v>
      </c>
      <c r="C104" s="379" t="s">
        <v>170</v>
      </c>
      <c r="D104" s="381"/>
      <c r="E104" s="230"/>
      <c r="F104" s="230"/>
      <c r="G104" s="505"/>
      <c r="X104" s="213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8" customHeight="1" ht="27.6">
      <c r="A105" s="139">
        <f>S36/50</f>
        <v>0</v>
      </c>
      <c r="B105" s="139">
        <f>IF(A105=0,0,((A105*50)/$B$53))</f>
        <v>0</v>
      </c>
      <c r="C105" s="449" t="str">
        <f>S3</f>
        <v>Harina de baja proteina x 1</v>
      </c>
      <c r="D105" s="381"/>
      <c r="E105" s="230"/>
      <c r="F105" s="230">
        <v>1</v>
      </c>
      <c r="G105" s="505"/>
      <c r="X105" s="213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8" customHeight="1" ht="16.35">
      <c r="A106" s="139">
        <f>S38/50</f>
        <v>0</v>
      </c>
      <c r="B106" s="139">
        <f>IF(A106=0,0,((A106*50)/$B$53))</f>
        <v>0</v>
      </c>
      <c r="C106" s="449" t="s">
        <v>171</v>
      </c>
      <c r="D106" s="381"/>
      <c r="E106" s="230"/>
      <c r="F106" s="230"/>
      <c r="G106" s="507"/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8" customHeight="1" ht="16.35">
      <c r="A107" s="139">
        <f>S39/50</f>
        <v>0</v>
      </c>
      <c r="B107" s="139">
        <f>IF(A107=0,0,((A107*50)/$B$53))</f>
        <v>0</v>
      </c>
      <c r="C107" s="449" t="s">
        <v>171</v>
      </c>
      <c r="D107" s="381"/>
      <c r="E107" s="230"/>
      <c r="F107" s="230"/>
      <c r="G107" s="507"/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8" customHeight="1" ht="24">
      <c r="A108" s="139">
        <f>T36/50</f>
        <v>0</v>
      </c>
      <c r="B108" s="139">
        <f>IF(A108=0,0,((A108*50)/$B$53))</f>
        <v>0</v>
      </c>
      <c r="C108" s="449" t="str">
        <f>T3</f>
        <v>ARTESANAL X 1
G</v>
      </c>
      <c r="D108" s="462">
        <v>0.61</v>
      </c>
      <c r="E108" s="186"/>
      <c r="F108" s="186">
        <v>0.39</v>
      </c>
      <c r="G108" s="505"/>
      <c r="X108" s="213"/>
      <c r="Y108" s="213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8" customHeight="1" ht="22.5">
      <c r="A109" s="139">
        <f>T38/50</f>
        <v>0</v>
      </c>
      <c r="B109" s="139">
        <f>IF(A109=0,0,((A109*50)/$B$53))</f>
        <v>0</v>
      </c>
      <c r="C109" s="449" t="str">
        <f>T3</f>
        <v>ARTESANAL X 1
G</v>
      </c>
      <c r="D109" s="462"/>
      <c r="E109" s="186"/>
      <c r="F109" s="186"/>
      <c r="G109" s="505"/>
      <c r="X109" s="213"/>
      <c r="Y109" s="213"/>
      <c r="Z109" s="6"/>
      <c r="AA109" s="6"/>
      <c r="AB109" s="6"/>
      <c r="AC109" s="6"/>
      <c r="AD109" s="6"/>
      <c r="AE109" s="6"/>
      <c r="AH109" s="147"/>
      <c r="AI109" s="147"/>
      <c r="AJ109" s="147"/>
    </row>
    <row r="110" spans="1:58" customHeight="1" ht="16.35">
      <c r="A110" s="139">
        <f>P36/2</f>
        <v>0</v>
      </c>
      <c r="B110" s="139">
        <f>IF(A110=0,0,((A110*50)/$B$53))</f>
        <v>0</v>
      </c>
      <c r="C110" s="379" t="str">
        <f>P3</f>
        <v>H. Manitova </v>
      </c>
      <c r="D110" s="470"/>
      <c r="E110" s="186"/>
      <c r="F110" s="186"/>
      <c r="G110" s="507"/>
      <c r="X110" s="213"/>
      <c r="Y110" s="213"/>
      <c r="Z110" s="6"/>
      <c r="AA110" s="6"/>
      <c r="AB110" s="6"/>
      <c r="AC110" s="6"/>
      <c r="AD110" s="6"/>
      <c r="AE110" s="6"/>
      <c r="AH110" s="147"/>
      <c r="AI110" s="147"/>
      <c r="AJ110" s="147"/>
    </row>
    <row r="111" spans="1:58" customHeight="1" ht="16.35">
      <c r="A111" s="139">
        <f>U36/2</f>
        <v>0</v>
      </c>
      <c r="B111" s="139">
        <f>IF(A111=0,0,((A111*50)/$B$53))</f>
        <v>0</v>
      </c>
      <c r="C111" s="379" t="str">
        <f>U3</f>
        <v>H. espcial x 25
</v>
      </c>
      <c r="D111" s="378"/>
      <c r="E111" s="251">
        <v>0.14</v>
      </c>
      <c r="F111" s="509">
        <v>0.86</v>
      </c>
      <c r="G111" s="510"/>
      <c r="X111" s="213"/>
      <c r="Y111" s="213"/>
      <c r="Z111" s="6"/>
      <c r="AA111" s="6"/>
      <c r="AB111" s="6"/>
      <c r="AC111" s="6"/>
      <c r="AD111" s="6"/>
      <c r="AE111" s="6"/>
      <c r="AH111" s="147"/>
      <c r="AI111" s="147"/>
      <c r="AJ111" s="147"/>
    </row>
    <row r="112" spans="1:58" customHeight="1" ht="16.35">
      <c r="A112" s="139"/>
      <c r="B112" s="139"/>
      <c r="C112" s="216"/>
      <c r="D112" s="4"/>
      <c r="E112" s="4"/>
      <c r="F112" s="4"/>
      <c r="G112" s="464"/>
      <c r="X112" s="213"/>
      <c r="Y112" s="213"/>
      <c r="Z112" s="6"/>
      <c r="AA112" s="6"/>
      <c r="AB112" s="6"/>
      <c r="AC112" s="6"/>
      <c r="AD112" s="6"/>
      <c r="AE112" s="6"/>
      <c r="AH112" s="147"/>
      <c r="AI112" s="147"/>
      <c r="AJ112" s="147"/>
    </row>
    <row r="113" spans="1:58" customHeight="1" ht="16.35">
      <c r="A113" s="139">
        <f>Z42/2</f>
        <v>0</v>
      </c>
      <c r="B113" s="139">
        <f>IF(A113=0,0,((A113*51.6)))</f>
        <v>0</v>
      </c>
      <c r="C113" s="217" t="str">
        <f>A42</f>
        <v>Grano entero</v>
      </c>
      <c r="D113" s="182"/>
      <c r="E113" s="182"/>
      <c r="F113" s="512"/>
      <c r="G113" s="511"/>
      <c r="X113" s="213"/>
      <c r="Y113" s="213"/>
      <c r="Z113" s="6"/>
      <c r="AA113" s="6"/>
      <c r="AB113" s="6"/>
      <c r="AC113" s="6"/>
      <c r="AD113" s="6"/>
      <c r="AE113" s="6"/>
      <c r="AH113" s="147"/>
      <c r="AI113" s="147"/>
      <c r="AJ113" s="147"/>
    </row>
    <row r="114" spans="1:58" customHeight="1" ht="16.35">
      <c r="A114" s="139">
        <f>Z43/2</f>
        <v>0</v>
      </c>
      <c r="B114" s="139">
        <f>IF(A114=0,0,((A114*50)))</f>
        <v>0</v>
      </c>
      <c r="C114" s="379" t="str">
        <f>A43</f>
        <v>Bio Convercion </v>
      </c>
      <c r="D114" s="462"/>
      <c r="E114" s="366"/>
      <c r="F114" s="186"/>
      <c r="G114" s="505"/>
      <c r="X114" s="213"/>
      <c r="Y114" s="213"/>
      <c r="Z114" s="6"/>
      <c r="AA114" s="6"/>
      <c r="AB114" s="6"/>
      <c r="AC114" s="6"/>
      <c r="AD114" s="6"/>
      <c r="AE114" s="6"/>
      <c r="AH114" s="147"/>
      <c r="AI114" s="147"/>
      <c r="AJ114" s="147"/>
    </row>
    <row r="115" spans="1:58" customHeight="1" ht="16.35">
      <c r="A115" s="139">
        <f>Z45/2</f>
        <v>0</v>
      </c>
      <c r="B115" s="139">
        <f>IF(A115=0,0,((A115*50.55)))</f>
        <v>0</v>
      </c>
      <c r="C115" s="380" t="str">
        <f>A45</f>
        <v>Trigo entero </v>
      </c>
      <c r="D115" s="470"/>
      <c r="E115" s="230"/>
      <c r="F115" s="366"/>
      <c r="G115" s="513"/>
      <c r="X115" s="213"/>
      <c r="Y115" s="213"/>
      <c r="Z115" s="6"/>
      <c r="AA115" s="6"/>
      <c r="AB115" s="6"/>
      <c r="AC115" s="6"/>
      <c r="AD115" s="6"/>
      <c r="AE115" s="6"/>
      <c r="AH115" s="147"/>
      <c r="AI115" s="147"/>
      <c r="AJ115" s="147"/>
    </row>
    <row r="116" spans="1:58" customHeight="1" ht="16.35">
      <c r="A116" s="139">
        <f>AA45/2</f>
        <v>0</v>
      </c>
      <c r="B116" s="139">
        <f>IF(A116=0,0,((A116*52)))</f>
        <v>0</v>
      </c>
      <c r="C116" s="380" t="str">
        <f>C115</f>
        <v>Trigo entero </v>
      </c>
      <c r="D116" s="378"/>
      <c r="E116" s="192"/>
      <c r="F116" s="192"/>
      <c r="G116" s="514"/>
      <c r="X116" s="213"/>
      <c r="Y116" s="213"/>
      <c r="Z116" s="6"/>
      <c r="AA116" s="6"/>
      <c r="AB116" s="6"/>
      <c r="AC116" s="6"/>
      <c r="AD116" s="6"/>
      <c r="AE116" s="6"/>
      <c r="AH116" s="147"/>
      <c r="AI116" s="147"/>
      <c r="AJ116" s="147"/>
    </row>
    <row r="117" spans="1:58" customHeight="1" ht="13.5">
      <c r="B117" s="139">
        <f>SUM(B82:B116)</f>
        <v>0</v>
      </c>
      <c r="X117" s="213"/>
      <c r="Y117" s="386"/>
      <c r="Z117" s="6"/>
      <c r="AA117" s="6"/>
      <c r="AB117" s="6"/>
      <c r="AC117" s="6"/>
      <c r="AD117" s="6"/>
      <c r="AE117" s="6"/>
      <c r="AH117" s="147"/>
      <c r="AI117" s="147"/>
      <c r="AJ117" s="147"/>
      <c r="AO117" s="147"/>
      <c r="AP117" s="147"/>
    </row>
    <row r="118" spans="1:58" customHeight="1" ht="12.75">
      <c r="X118" s="213"/>
      <c r="Y118" s="4"/>
      <c r="Z118" s="4"/>
      <c r="AB118" s="384"/>
      <c r="AC118" s="385"/>
      <c r="AD118" s="4"/>
      <c r="AE118" s="213"/>
      <c r="AF118" s="213"/>
      <c r="AG118" s="6"/>
      <c r="AH118" s="6"/>
      <c r="AI118" s="6"/>
      <c r="AJ118" s="6"/>
      <c r="AK118" s="6"/>
      <c r="AL118" s="6"/>
      <c r="AM118" s="6"/>
      <c r="AP118" s="147"/>
      <c r="AQ118" s="147"/>
      <c r="AV118" s="147"/>
      <c r="AW118" s="147"/>
    </row>
    <row r="119" spans="1:58">
      <c r="X119" s="213"/>
      <c r="Y119" s="4"/>
      <c r="Z119" s="4"/>
      <c r="AB119" s="4"/>
      <c r="AE119" s="213"/>
      <c r="AF119" s="473"/>
      <c r="AG119" s="6"/>
      <c r="AH119" s="6"/>
      <c r="AI119" s="6"/>
      <c r="AJ119" s="6"/>
      <c r="AK119" s="6"/>
      <c r="AL119" s="6"/>
      <c r="AM119" s="6"/>
      <c r="AP119" s="147"/>
      <c r="AQ119" s="147"/>
      <c r="AV119" s="147"/>
      <c r="AW119" s="147"/>
    </row>
    <row r="120" spans="1:58">
      <c r="X120" s="213"/>
      <c r="Y120" s="213"/>
      <c r="Z120" s="4"/>
      <c r="AA120" s="4"/>
      <c r="AC120" s="4"/>
      <c r="AF120" s="213"/>
      <c r="AG120" s="213"/>
      <c r="AH120" s="6"/>
      <c r="AI120" s="6"/>
      <c r="AJ120" s="6"/>
      <c r="AK120" s="6"/>
      <c r="AL120" s="6"/>
      <c r="AM120" s="6"/>
      <c r="AN120" s="6"/>
      <c r="AQ120" s="147"/>
      <c r="AR120" s="147"/>
      <c r="AW120" s="147"/>
      <c r="AX120" s="147"/>
    </row>
    <row r="121" spans="1:58">
      <c r="X121" s="213"/>
      <c r="Z121" s="4"/>
      <c r="AA121" s="4"/>
      <c r="AC121" s="4"/>
      <c r="AF121" s="213"/>
      <c r="AG121" s="213"/>
      <c r="AH121" s="6"/>
      <c r="AI121" s="6"/>
      <c r="AJ121" s="6"/>
      <c r="AK121" s="6"/>
      <c r="AL121" s="6"/>
      <c r="AM121" s="6"/>
      <c r="AN121" s="6"/>
      <c r="AQ121" s="147"/>
      <c r="AR121" s="147"/>
      <c r="AW121" s="147"/>
      <c r="AX121" s="147"/>
    </row>
    <row r="122" spans="1:58">
      <c r="N122" s="4"/>
      <c r="X122" s="213"/>
      <c r="AA122" s="4"/>
      <c r="AC122" s="4"/>
      <c r="AF122" s="213"/>
      <c r="AG122" s="213"/>
      <c r="AH122" s="6"/>
      <c r="AI122" s="6"/>
      <c r="AJ122" s="6"/>
      <c r="AK122" s="6"/>
      <c r="AL122" s="6"/>
      <c r="AM122" s="6"/>
      <c r="AN122" s="6"/>
      <c r="AQ122" s="147"/>
      <c r="AR122" s="147"/>
      <c r="AW122" s="147"/>
      <c r="AX122" s="147"/>
    </row>
    <row r="123" spans="1:58">
      <c r="N123" s="4"/>
      <c r="X123" s="213"/>
      <c r="Z123" s="6"/>
      <c r="AA123" s="6"/>
      <c r="AB123" s="6"/>
      <c r="AC123" s="6"/>
      <c r="AD123" s="6"/>
      <c r="AE123" s="6"/>
      <c r="AH123" s="147"/>
      <c r="AI123" s="147"/>
      <c r="AJ123" s="147"/>
      <c r="AO123" s="147"/>
      <c r="AP123" s="147"/>
    </row>
    <row r="124" spans="1:58">
      <c r="N124" s="4"/>
      <c r="X124" s="213"/>
      <c r="Z124" s="6"/>
      <c r="AA124" s="6"/>
      <c r="AB124" s="6"/>
      <c r="AC124" s="6"/>
      <c r="AD124" s="6"/>
      <c r="AE124" s="6"/>
      <c r="AH124" s="147"/>
      <c r="AI124" s="147"/>
      <c r="AJ124" s="147"/>
      <c r="AO124" s="147"/>
      <c r="AP124" s="147"/>
    </row>
    <row r="125" spans="1:58">
      <c r="N125" s="4"/>
      <c r="X125" s="213"/>
      <c r="AD125" s="6"/>
      <c r="AE125" s="6"/>
      <c r="AH125" s="147"/>
      <c r="AI125" s="147"/>
      <c r="AJ125" s="147"/>
      <c r="AO125" s="147"/>
      <c r="AP125" s="147"/>
    </row>
    <row r="126" spans="1:58">
      <c r="N126" s="4"/>
      <c r="X126" s="4"/>
    </row>
    <row r="127" spans="1:58">
      <c r="N127" s="4"/>
      <c r="X127" s="4"/>
    </row>
    <row r="128" spans="1:58">
      <c r="N128" s="4"/>
    </row>
    <row r="129" spans="1:58">
      <c r="N129" s="4"/>
      <c r="W129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57"/>
    <protectedRange name="Repaso y reproceso_2" sqref="V42:W45"/>
    <protectedRange name="Produccion Harinas_2" sqref="C42:U45"/>
    <protectedRange name="Produccion otros productos_2" sqref="X42:AC45"/>
    <protectedRange name="Datos basculas_2" sqref="AW42:BB45"/>
    <protectedRange name="Horas_2" sqref="AN42:AP45"/>
    <protectedRange name="Fecha_2" sqref="B42:B45"/>
    <protectedRange name="Produccion Harinas" sqref="T5:U8 D5:R8 C9:U35"/>
    <protectedRange name="Datos energia" sqref="H544 G55:H56"/>
    <protectedRange name="Formulas trigo" sqref="H87:J98 D93:F93 H82:J85 D112:F116 H102:J116"/>
    <protectedRange name="Produccion otros productos" sqref="X5:Z8 Z4 AC15 X9:AC13 AB16:AC35 X14:AA35 AB14:AC14"/>
    <protectedRange name="Formulas vitamina" sqref="Z75:AB75"/>
    <protectedRange name="Datos basculas" sqref="AW4:BB35"/>
    <protectedRange name="Horas" sqref="AN4:AP35"/>
    <protectedRange name="Datos Nomina" sqref="O56:Q56"/>
    <protectedRange name="Fecha" sqref="B24:B35"/>
    <protectedRange name="Trigos" sqref="D80:E80 H80:M80"/>
    <protectedRange name="Formulas trigo_3" sqref="H99:J99"/>
    <protectedRange name="Formulas trigo_5" sqref="H100:J101"/>
    <protectedRange name="Datos basculas_4_2_1_2" sqref="BD4:BE5 BC4:BC7"/>
    <protectedRange name="Datos energia_2" sqref="G54:H54"/>
    <protectedRange name="Repaso y reproceso_3" sqref="V4:W4"/>
    <protectedRange name="Produccion Harinas_4" sqref="D4:Q4"/>
    <protectedRange name="Produccion otros productos_3" sqref="X4:Y4"/>
    <protectedRange name="Produccion Harinas_3_1" sqref="R4 T4:U4"/>
    <protectedRange name="Formulas trigo_1" sqref="G82:G85 G112:G116 G87:G93 G108:G109"/>
    <protectedRange name="Formulas trigo_1_2_6_1" sqref="G86"/>
    <protectedRange name="Produccion Harinas_3" sqref="C4:C8"/>
    <protectedRange name="Produccion Harinas_6" sqref="S4:S8"/>
    <protectedRange name="Produccion otros productos_4" sqref="AA4:AC8"/>
    <protectedRange name="Datos energia_1" sqref="G53:H53"/>
    <protectedRange name="Fecha_1" sqref="B4:B23"/>
    <protectedRange name="Formulas trigo_2" sqref="F82:F85 D87:F92 D108:F109"/>
    <protectedRange name="Formulas trigo_1_3_1" sqref="D82:D85"/>
    <protectedRange name="Formulas trigo_1_8_1" sqref="E86"/>
    <protectedRange name="Formulas trigo_1_2_6_2" sqref="F86"/>
    <protectedRange name="Formulas trigo_4" sqref="D102:F107 D96:F97 D110:F111"/>
    <protectedRange name="Formulas trigo_1_4_1" sqref="E99"/>
    <protectedRange name="Formulas trigo_1_2_2_2" sqref="F99"/>
    <protectedRange name="Formulas trigo_1_3_2_1" sqref="D99"/>
    <protectedRange name="Formulas trigo_1_6_1" sqref="E100:E101"/>
    <protectedRange name="Formulas trigo_1_2_4_2" sqref="F100:F101"/>
    <protectedRange name="Formulas trigo_1_3_4_1" sqref="D100:D101"/>
    <protectedRange name="Formulas trigo_1_1" sqref="G94:G101 G104:G107 G110:G111"/>
    <protectedRange name="Formulas trigo_1_2_2_1_1" sqref="G102"/>
    <protectedRange name="Formulas trigo_1_2_4_1_1" sqref="G103"/>
    <protectedRange name="Formulas trigo_2_1" sqref="D98:F98"/>
    <protectedRange name="Formulas trigo_4_1" sqref="D94:F95"/>
  </protectedRanges>
  <mergeCells>
    <mergeCell ref="B1:W1"/>
    <mergeCell ref="AH1:AM1"/>
    <mergeCell ref="AN1:AX1"/>
    <mergeCell ref="B2:Q2"/>
    <mergeCell ref="R2:T2"/>
    <mergeCell ref="V2:W2"/>
    <mergeCell ref="X2:Z2"/>
    <mergeCell ref="AA2:AC2"/>
    <mergeCell ref="AF2:AM2"/>
    <mergeCell ref="AN2:AP2"/>
    <mergeCell ref="AE48:AF48"/>
    <mergeCell ref="AQ2:AU2"/>
    <mergeCell ref="AW2:BF2"/>
    <mergeCell ref="AW4:AW33"/>
    <mergeCell ref="AX4:AX33"/>
    <mergeCell ref="AY4:AY33"/>
    <mergeCell ref="AZ4:AZ33"/>
    <mergeCell ref="BA4:BA33"/>
    <mergeCell ref="BB4:BB33"/>
    <mergeCell ref="BC4:BC33"/>
    <mergeCell ref="BD4:BD33"/>
    <mergeCell ref="BE4:BE33"/>
    <mergeCell ref="BF4:BF33"/>
    <mergeCell ref="AD38:AE38"/>
    <mergeCell ref="AE39:AF39"/>
    <mergeCell ref="AD47:AE47"/>
    <mergeCell ref="R49:U49"/>
    <mergeCell ref="F50:G50"/>
    <mergeCell ref="K50:L50"/>
    <mergeCell ref="O50:P50"/>
    <mergeCell ref="S50:T50"/>
    <mergeCell ref="A49:B49"/>
    <mergeCell ref="C49:C50"/>
    <mergeCell ref="F49:H49"/>
    <mergeCell ref="K49:M49"/>
    <mergeCell ref="O49:Q49"/>
    <mergeCell ref="V50:W50"/>
    <mergeCell ref="F51:G51"/>
    <mergeCell ref="K51:L51"/>
    <mergeCell ref="O51:P51"/>
    <mergeCell ref="S51:T51"/>
    <mergeCell ref="V51:W51"/>
    <mergeCell ref="G53:H53"/>
    <mergeCell ref="K53:L53"/>
    <mergeCell ref="O53:P53"/>
    <mergeCell ref="S53:T53"/>
    <mergeCell ref="V53:W53"/>
    <mergeCell ref="F52:G52"/>
    <mergeCell ref="K52:L52"/>
    <mergeCell ref="O52:P52"/>
    <mergeCell ref="S52:T52"/>
    <mergeCell ref="V52:W52"/>
    <mergeCell ref="G55:H55"/>
    <mergeCell ref="K55:L55"/>
    <mergeCell ref="O55:P55"/>
    <mergeCell ref="S55:T55"/>
    <mergeCell ref="V55:W55"/>
    <mergeCell ref="G54:I54"/>
    <mergeCell ref="K54:L54"/>
    <mergeCell ref="O54:P54"/>
    <mergeCell ref="S54:T54"/>
    <mergeCell ref="V54:W54"/>
    <mergeCell ref="F65:H65"/>
    <mergeCell ref="U65:V65"/>
    <mergeCell ref="G56:H56"/>
    <mergeCell ref="F57:G57"/>
    <mergeCell ref="K57:O57"/>
    <mergeCell ref="G60:H60"/>
    <mergeCell ref="T60:V60"/>
    <mergeCell ref="U61:V61"/>
    <mergeCell ref="F62:H62"/>
    <mergeCell ref="K62:O62"/>
    <mergeCell ref="U62:V62"/>
    <mergeCell ref="F63:G63"/>
    <mergeCell ref="T64:V64"/>
    <mergeCell ref="F70:G70"/>
    <mergeCell ref="V71:V72"/>
    <mergeCell ref="F66:G66"/>
    <mergeCell ref="U66:V66"/>
    <mergeCell ref="U67:V67"/>
    <mergeCell ref="G68:H68"/>
    <mergeCell ref="U68:V68"/>
    <mergeCell ref="G69:H69"/>
    <mergeCell ref="M69:O69"/>
  </mergeCells>
  <conditionalFormatting sqref="I55">
    <cfRule type="cellIs" dxfId="0" priority="4" operator="lessThan" stopIfTrue="1">
      <formula>0.935</formula>
    </cfRule>
  </conditionalFormatting>
  <conditionalFormatting sqref="AF3">
    <cfRule type="cellIs" dxfId="1" priority="3" operator="lessThan" stopIfTrue="1">
      <formula>0.76</formula>
    </cfRule>
  </conditionalFormatting>
  <conditionalFormatting sqref="AF4:AF35">
    <cfRule type="cellIs" dxfId="2" priority="5" operator="lessThan" stopIfTrue="1">
      <formula>0.765</formula>
    </cfRule>
  </conditionalFormatting>
  <conditionalFormatting sqref="AF36 AE76:AE77 AE79:AE91 Z92:AC117 AG118:AI119 AK118:AK119 AH120:AI122 AK120:AL122 Z123:AC124">
    <cfRule type="cellIs" dxfId="1" priority="6" operator="lessThan" stopIfTrue="1">
      <formula>0.76</formula>
    </cfRule>
  </conditionalFormatting>
  <conditionalFormatting sqref="AF42:AF45">
    <cfRule type="cellIs" dxfId="2" priority="1" operator="lessThan" stopIfTrue="1">
      <formula>0.765</formula>
    </cfRule>
  </conditionalFormatting>
  <conditionalFormatting sqref="AH1:AI1 AJ118:AJ122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  <legacyDrawing r:id="rId_comments_vml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29"/>
  <sheetViews>
    <sheetView tabSelected="0" workbookViewId="0" showGridLines="true" showRowColHeaders="1">
      <selection activeCell="A1" sqref="A1"/>
    </sheetView>
  </sheetViews>
  <sheetFormatPr defaultRowHeight="14.4" defaultColWidth="14.42578125" outlineLevelRow="0" outlineLevelCol="0"/>
  <cols>
    <col min="1" max="1" width="11.5703125" customWidth="true" style="1"/>
    <col min="2" max="2" width="16.5703125" customWidth="true" style="1"/>
    <col min="3" max="3" width="13.42578125" customWidth="true" style="1"/>
    <col min="4" max="4" width="10.570312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3.42578125" customWidth="true" style="1"/>
    <col min="10" max="10" width="12.28515625" customWidth="true" style="1"/>
    <col min="11" max="11" width="11.42578125" customWidth="true" style="1"/>
    <col min="12" max="12" width="10.7109375" customWidth="true" style="1"/>
    <col min="13" max="13" width="8.28515625" customWidth="true" style="1"/>
    <col min="14" max="14" width="12.28515625" customWidth="true" style="1"/>
    <col min="15" max="15" width="12" customWidth="true" style="1"/>
    <col min="16" max="16" width="12" customWidth="true" style="1"/>
    <col min="17" max="17" width="10.28515625" customWidth="true" style="1"/>
    <col min="18" max="18" width="13.42578125" customWidth="true" style="1"/>
    <col min="19" max="19" width="10.5703125" customWidth="true" style="1"/>
    <col min="20" max="20" width="12.28515625" customWidth="true" style="1"/>
    <col min="21" max="21" width="11.42578125" customWidth="true" style="1"/>
    <col min="22" max="22" width="8.28515625" customWidth="true" style="1"/>
    <col min="23" max="23" width="10.28515625" customWidth="true" style="1"/>
    <col min="24" max="24" width="13.42578125" customWidth="true" style="1"/>
    <col min="25" max="25" width="9.42578125" customWidth="true" style="1"/>
    <col min="26" max="26" width="7.5703125" customWidth="true" style="1"/>
    <col min="27" max="27" width="9.5703125" customWidth="true" style="1"/>
    <col min="28" max="28" width="9.5703125" customWidth="true" style="1"/>
    <col min="29" max="29" width="11.7109375" customWidth="true" style="1"/>
    <col min="30" max="30" width="10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0.5703125" customWidth="true" style="1"/>
    <col min="51" max="51" width="11.42578125" customWidth="true" style="1"/>
    <col min="52" max="52" width="8.28515625" customWidth="true" style="1"/>
    <col min="53" max="53" width="12" customWidth="true" style="1"/>
    <col min="54" max="54" width="12" customWidth="true" style="1"/>
    <col min="55" max="55" width="12" customWidth="true" style="1"/>
    <col min="56" max="56" width="14.42578125" style="1"/>
  </cols>
  <sheetData>
    <row r="1" spans="1:58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8" customHeight="1" ht="18.75">
      <c r="B2" s="701" t="s">
        <v>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2"/>
      <c r="Q2" s="703"/>
      <c r="R2" s="704" t="s">
        <v>4</v>
      </c>
      <c r="S2" s="705"/>
      <c r="T2" s="706"/>
      <c r="U2" s="416" t="s">
        <v>5</v>
      </c>
      <c r="V2" s="704" t="s">
        <v>6</v>
      </c>
      <c r="W2" s="707"/>
      <c r="X2" s="708" t="s">
        <v>7</v>
      </c>
      <c r="Y2" s="708"/>
      <c r="Z2" s="708"/>
      <c r="AA2" s="709" t="s">
        <v>8</v>
      </c>
      <c r="AB2" s="709"/>
      <c r="AC2" s="709"/>
      <c r="AD2" s="6"/>
      <c r="AE2" s="6"/>
      <c r="AF2" s="710" t="s">
        <v>9</v>
      </c>
      <c r="AG2" s="710"/>
      <c r="AH2" s="710"/>
      <c r="AI2" s="710"/>
      <c r="AJ2" s="710"/>
      <c r="AK2" s="710"/>
      <c r="AL2" s="710"/>
      <c r="AM2" s="710"/>
      <c r="AN2" s="711" t="s">
        <v>10</v>
      </c>
      <c r="AO2" s="711"/>
      <c r="AP2" s="711"/>
      <c r="AQ2" s="712" t="s">
        <v>11</v>
      </c>
      <c r="AR2" s="712"/>
      <c r="AS2" s="712"/>
      <c r="AT2" s="712"/>
      <c r="AU2" s="712"/>
      <c r="AV2" s="471" t="s">
        <v>12</v>
      </c>
      <c r="AW2" s="712" t="s">
        <v>13</v>
      </c>
      <c r="AX2" s="712"/>
      <c r="AY2" s="712"/>
      <c r="AZ2" s="712"/>
      <c r="BA2" s="712"/>
      <c r="BB2" s="712"/>
      <c r="BC2" s="712"/>
      <c r="BD2" s="712"/>
      <c r="BE2" s="712"/>
      <c r="BF2" s="712"/>
    </row>
    <row r="3" spans="1:58" customHeight="1" ht="53.25" s="40" customFormat="1">
      <c r="A3" s="8" t="s">
        <v>14</v>
      </c>
      <c r="B3" s="333" t="s">
        <v>15</v>
      </c>
      <c r="C3" s="566" t="s">
        <v>16</v>
      </c>
      <c r="D3" s="567" t="s">
        <v>17</v>
      </c>
      <c r="E3" s="549" t="s">
        <v>18</v>
      </c>
      <c r="F3" s="550" t="s">
        <v>19</v>
      </c>
      <c r="G3" s="551" t="s">
        <v>20</v>
      </c>
      <c r="H3" s="552" t="s">
        <v>21</v>
      </c>
      <c r="I3" s="553" t="s">
        <v>22</v>
      </c>
      <c r="J3" s="553" t="s">
        <v>23</v>
      </c>
      <c r="K3" s="554" t="s">
        <v>24</v>
      </c>
      <c r="L3" s="554" t="s">
        <v>25</v>
      </c>
      <c r="M3" s="555" t="s">
        <v>26</v>
      </c>
      <c r="N3" s="553" t="s">
        <v>27</v>
      </c>
      <c r="O3" s="553" t="s">
        <v>28</v>
      </c>
      <c r="P3" s="556" t="s">
        <v>29</v>
      </c>
      <c r="Q3" s="557" t="s">
        <v>30</v>
      </c>
      <c r="R3" s="409" t="s">
        <v>31</v>
      </c>
      <c r="S3" s="284" t="s">
        <v>32</v>
      </c>
      <c r="T3" s="559" t="s">
        <v>33</v>
      </c>
      <c r="U3" s="558" t="s">
        <v>34</v>
      </c>
      <c r="V3" s="405" t="s">
        <v>35</v>
      </c>
      <c r="W3" s="562" t="s">
        <v>36</v>
      </c>
      <c r="X3" s="560" t="s">
        <v>37</v>
      </c>
      <c r="Y3" s="561" t="s">
        <v>38</v>
      </c>
      <c r="Z3" s="565" t="s">
        <v>39</v>
      </c>
      <c r="AA3" s="563" t="s">
        <v>40</v>
      </c>
      <c r="AB3" s="334" t="s">
        <v>41</v>
      </c>
      <c r="AC3" s="564" t="s">
        <v>42</v>
      </c>
      <c r="AD3" s="27" t="s">
        <v>43</v>
      </c>
      <c r="AE3" s="27" t="s">
        <v>44</v>
      </c>
      <c r="AF3" s="335" t="s">
        <v>45</v>
      </c>
      <c r="AG3" s="336" t="s">
        <v>46</v>
      </c>
      <c r="AH3" s="337" t="str">
        <f>X3</f>
        <v>Germen 
25</v>
      </c>
      <c r="AI3" s="338" t="s">
        <v>47</v>
      </c>
      <c r="AJ3" s="337" t="str">
        <f>AA3</f>
        <v>Salvado 
25</v>
      </c>
      <c r="AK3" s="339" t="str">
        <f>AB3</f>
        <v>Mogolla 
40</v>
      </c>
      <c r="AL3" s="339" t="str">
        <f>AC3</f>
        <v>Segunda  
50</v>
      </c>
      <c r="AM3" s="340" t="str">
        <f>B3</f>
        <v>Fecha</v>
      </c>
      <c r="AN3" s="341" t="s">
        <v>48</v>
      </c>
      <c r="AO3" s="342" t="s">
        <v>49</v>
      </c>
      <c r="AP3" s="342" t="s">
        <v>50</v>
      </c>
      <c r="AQ3" s="343" t="s">
        <v>51</v>
      </c>
      <c r="AR3" s="344" t="s">
        <v>52</v>
      </c>
      <c r="AS3" s="344" t="s">
        <v>53</v>
      </c>
      <c r="AT3" s="344" t="s">
        <v>54</v>
      </c>
      <c r="AU3" s="344" t="s">
        <v>55</v>
      </c>
      <c r="AV3" s="343" t="s">
        <v>56</v>
      </c>
      <c r="AW3" s="345" t="s">
        <v>57</v>
      </c>
      <c r="AX3" s="345" t="s">
        <v>58</v>
      </c>
      <c r="AY3" s="345" t="s">
        <v>59</v>
      </c>
      <c r="AZ3" s="345" t="s">
        <v>60</v>
      </c>
      <c r="BA3" s="346" t="s">
        <v>61</v>
      </c>
      <c r="BB3" s="346" t="s">
        <v>62</v>
      </c>
      <c r="BC3" s="347" t="s">
        <v>63</v>
      </c>
      <c r="BD3" s="345" t="s">
        <v>64</v>
      </c>
      <c r="BE3" s="348" t="s">
        <v>65</v>
      </c>
      <c r="BF3" s="349" t="s">
        <v>66</v>
      </c>
    </row>
    <row r="4" spans="1:58" customHeight="1" ht="13.9">
      <c r="A4" s="485" t="str">
        <f>IF(B4="","",1)</f>
        <v/>
      </c>
      <c r="B4" s="42"/>
      <c r="C4" s="43"/>
      <c r="D4" s="526"/>
      <c r="E4" s="527"/>
      <c r="F4" s="241"/>
      <c r="G4" s="528"/>
      <c r="H4" s="44"/>
      <c r="I4" s="48"/>
      <c r="J4" s="48"/>
      <c r="K4" s="44"/>
      <c r="L4" s="493"/>
      <c r="M4" s="493"/>
      <c r="N4" s="244"/>
      <c r="O4" s="244"/>
      <c r="P4" s="465"/>
      <c r="Q4" s="529"/>
      <c r="R4" s="497"/>
      <c r="S4" s="275"/>
      <c r="T4" s="241"/>
      <c r="U4" s="450"/>
      <c r="V4" s="406"/>
      <c r="W4" s="241"/>
      <c r="X4" s="451"/>
      <c r="Y4" s="52"/>
      <c r="Z4" s="530"/>
      <c r="AA4" s="280"/>
      <c r="AB4" s="53"/>
      <c r="AC4" s="54"/>
      <c r="AD4" s="55" t="str">
        <f>IF(B4="","",(((C4+F4+H4+K4+Q4+N4+O4)*50))+((E4*10))+(((I4+J4+D4+G4+L4+M4+U4)*25)+(X4*25)+(Y4*25)+(Z4*25)+(AA4*25)+(AB4*40)+(AC4*50)+(R4*1)+(S4*1)+(T4*1)))</f>
        <v/>
      </c>
      <c r="AE4" s="55" t="str">
        <f>IF(B4="","",C4+F4+H4+K4+Q4+N4+O4+((I4+J4+D4+G4)/2)+(R4/50)+(S4/50)+(T4/50)+(U4/2)+(E4/5))</f>
        <v/>
      </c>
      <c r="AF4" s="56" t="str">
        <f>IF(B4="","",((AE4*50)/AD4))</f>
        <v/>
      </c>
      <c r="AG4" s="57" t="str">
        <f>IF(C4="","",((Z4)*25)/AD4)</f>
        <v/>
      </c>
      <c r="AH4" s="57" t="str">
        <f>IF(B4="","",(X4*25)/AD4)</f>
        <v/>
      </c>
      <c r="AI4" s="57" t="str">
        <f>IF(B4="","",(Y4*25)/AD4)</f>
        <v/>
      </c>
      <c r="AJ4" s="57" t="str">
        <f>IF(B4="","",(AA4*25)/AD4)</f>
        <v/>
      </c>
      <c r="AK4" s="58" t="str">
        <f>IF(B4="","",(AB4*40)/AD4)</f>
        <v/>
      </c>
      <c r="AL4" s="58" t="str">
        <f>IF(B4="","",(AC4*50)/AD4)</f>
        <v/>
      </c>
      <c r="AM4" s="59" t="str">
        <f>IF(B4="","",B4)</f>
        <v/>
      </c>
      <c r="AN4" s="235"/>
      <c r="AO4" s="61"/>
      <c r="AP4" s="236"/>
      <c r="AQ4" s="63" t="str">
        <f>IF(AN4="","",AN4/AO4)</f>
        <v/>
      </c>
      <c r="AR4" s="64" t="str">
        <f>IF(AN4="","",(AD4/AN4)/1000)</f>
        <v/>
      </c>
      <c r="AS4" s="64" t="str">
        <f>IF(AN4="","",AR4*24)</f>
        <v/>
      </c>
      <c r="AT4" s="65" t="str">
        <f>IF(AN4="","",(AD4/1000)*100%/AS4)</f>
        <v/>
      </c>
      <c r="AU4" s="64" t="str">
        <f>IF(AN4="","",(AE4/AN4))</f>
        <v/>
      </c>
      <c r="AV4" s="229" t="str">
        <f>IF(AN4="","",(AD4/AO4)/1000)</f>
        <v/>
      </c>
      <c r="AW4" s="713"/>
      <c r="AX4" s="713"/>
      <c r="AY4" s="713"/>
      <c r="AZ4" s="722"/>
      <c r="BA4" s="713"/>
      <c r="BB4" s="724"/>
      <c r="BC4" s="726"/>
      <c r="BD4" s="726"/>
      <c r="BE4" s="726"/>
      <c r="BF4" s="728"/>
    </row>
    <row r="5" spans="1:58" customHeight="1" ht="13.9">
      <c r="A5" s="485" t="str">
        <f>IF(B5="","",2)</f>
        <v/>
      </c>
      <c r="B5" s="68"/>
      <c r="C5" s="69"/>
      <c r="D5" s="70"/>
      <c r="E5" s="76"/>
      <c r="F5" s="70"/>
      <c r="G5" s="76"/>
      <c r="H5" s="70"/>
      <c r="I5" s="75"/>
      <c r="J5" s="75"/>
      <c r="K5" s="70"/>
      <c r="L5" s="494"/>
      <c r="M5" s="494"/>
      <c r="N5" s="76"/>
      <c r="O5" s="248"/>
      <c r="P5" s="466"/>
      <c r="Q5" s="412"/>
      <c r="R5" s="410"/>
      <c r="S5" s="277"/>
      <c r="T5" s="401"/>
      <c r="U5" s="407"/>
      <c r="V5" s="249"/>
      <c r="W5" s="401"/>
      <c r="X5" s="278"/>
      <c r="Y5" s="78"/>
      <c r="Z5" s="403"/>
      <c r="AA5" s="281"/>
      <c r="AB5" s="79"/>
      <c r="AC5" s="80"/>
      <c r="AD5" s="55" t="str">
        <f>IF(B5="","",(((C5+F5+H5+K5+Q5+N5+O5)*50))+((E5*10))+(((I5+J5+D5+G5+L5+M5+U5)*25)+(X5*25)+(Y5*25)+(Z5*25)+(AA5*25)+(AB5*40)+(AC5*50)+(R5*1)+(S5*1)+(T5*1)))</f>
        <v/>
      </c>
      <c r="AE5" s="55" t="str">
        <f>IF(B5="","",C5+F5+H5+K5+Q5+N5+O5+((I5+J5+D5+G5+U5)/2)+(R5/50)+(S5/50)+(T5/50)+(E5/5))</f>
        <v/>
      </c>
      <c r="AF5" s="56" t="str">
        <f>IF(B5="","",((AE5*50)/AD5))</f>
        <v/>
      </c>
      <c r="AG5" s="57" t="str">
        <f>IF(C5="","",((Z5)*25)/AD5)</f>
        <v/>
      </c>
      <c r="AH5" s="57" t="str">
        <f>IF(B5="","",(X5*25)/AD5)</f>
        <v/>
      </c>
      <c r="AI5" s="57" t="str">
        <f>IF(B5="","",(Y5*25)/AD5)</f>
        <v/>
      </c>
      <c r="AJ5" s="57" t="str">
        <f>IF(B5="","",(AA5*25)/AD5)</f>
        <v/>
      </c>
      <c r="AK5" s="58" t="str">
        <f>IF(B5="","",(AB5*40)/AD5)</f>
        <v/>
      </c>
      <c r="AL5" s="58" t="str">
        <f>IF(B5="","",(AC5*50)/AD5)</f>
        <v/>
      </c>
      <c r="AM5" s="59" t="str">
        <f>IF(B5="","",B5)</f>
        <v/>
      </c>
      <c r="AN5" s="233"/>
      <c r="AO5" s="82"/>
      <c r="AP5" s="234"/>
      <c r="AQ5" s="63" t="str">
        <f>IF(AN5="","",AN5/AO5)</f>
        <v/>
      </c>
      <c r="AR5" s="64" t="str">
        <f>IF(AN5="","",(AD5/AN5)/1000)</f>
        <v/>
      </c>
      <c r="AS5" s="64" t="str">
        <f>IF(AN5="","",AR5*24)</f>
        <v/>
      </c>
      <c r="AT5" s="65" t="str">
        <f>IF(AN5="","",(AD5/1000)*100%/AS5)</f>
        <v/>
      </c>
      <c r="AU5" s="64" t="str">
        <f>IF(AN5="","",(AE5/AN5))</f>
        <v/>
      </c>
      <c r="AV5" s="229" t="str">
        <f>IF(AN5="","",(AD5/AO5)/1000)</f>
        <v/>
      </c>
      <c r="AW5" s="714"/>
      <c r="AX5" s="714"/>
      <c r="AY5" s="714"/>
      <c r="AZ5" s="723"/>
      <c r="BA5" s="714"/>
      <c r="BB5" s="725"/>
      <c r="BC5" s="727"/>
      <c r="BD5" s="727"/>
      <c r="BE5" s="727"/>
      <c r="BF5" s="729"/>
    </row>
    <row r="6" spans="1:58" customHeight="1" ht="13.9">
      <c r="A6" s="485" t="str">
        <f>IF(B6="","",3)</f>
        <v/>
      </c>
      <c r="B6" s="68"/>
      <c r="C6" s="69"/>
      <c r="D6" s="70"/>
      <c r="E6" s="76"/>
      <c r="F6" s="70"/>
      <c r="G6" s="76"/>
      <c r="H6" s="70"/>
      <c r="I6" s="491"/>
      <c r="J6" s="491"/>
      <c r="K6" s="70"/>
      <c r="L6" s="494"/>
      <c r="M6" s="494"/>
      <c r="N6" s="76"/>
      <c r="O6" s="76"/>
      <c r="P6" s="467"/>
      <c r="Q6" s="412"/>
      <c r="R6" s="410"/>
      <c r="S6" s="276"/>
      <c r="T6" s="401"/>
      <c r="U6" s="407"/>
      <c r="V6" s="249"/>
      <c r="W6" s="401"/>
      <c r="X6" s="278"/>
      <c r="Y6" s="78"/>
      <c r="Z6" s="403"/>
      <c r="AA6" s="281"/>
      <c r="AB6" s="79"/>
      <c r="AC6" s="85"/>
      <c r="AD6" s="55" t="str">
        <f>IF(B6="","",(((C6+F6+H6+K6+Q6+N6+O6)*50))+((E6*10))+(((I6+J6+D6+G6+L6+M6+U6)*25)+(X6*25)+(Y6*25)+(Z6*25)+(AA6*25)+(AB6*40)+(AC6*50)+(R6*1)+(S6*1)+(T6*1)))</f>
        <v/>
      </c>
      <c r="AE6" s="55" t="str">
        <f>IF(B6="","",C6+F6+H6+K6+Q6+N6+O6+((I6+J6+D6+G6+U6)/2)+(R6/50)+(S6/50)+(T6/50)+(E6/5))</f>
        <v/>
      </c>
      <c r="AF6" s="56" t="str">
        <f>IF(B6="","",((AE6*50)/AD6))</f>
        <v/>
      </c>
      <c r="AG6" s="57" t="str">
        <f>IF(C6="","",((Z6)*25)/AD6)</f>
        <v/>
      </c>
      <c r="AH6" s="57" t="str">
        <f>IF(B6="","",(X6*25)/AD6)</f>
        <v/>
      </c>
      <c r="AI6" s="57" t="str">
        <f>IF(B6="","",(Y6*25)/AD6)</f>
        <v/>
      </c>
      <c r="AJ6" s="57" t="str">
        <f>IF(B6="","",(AA6*25)/AD6)</f>
        <v/>
      </c>
      <c r="AK6" s="58" t="str">
        <f>IF(B6="","",(AB6*40)/AD6)</f>
        <v/>
      </c>
      <c r="AL6" s="58" t="str">
        <f>IF(B6="","",(AC6*50)/AD6)</f>
        <v/>
      </c>
      <c r="AM6" s="59" t="str">
        <f>IF(B6="","",B6)</f>
        <v/>
      </c>
      <c r="AN6" s="233"/>
      <c r="AO6" s="82"/>
      <c r="AP6" s="234"/>
      <c r="AQ6" s="63" t="str">
        <f>IF(AN6="","",AN6/AO6)</f>
        <v/>
      </c>
      <c r="AR6" s="64" t="str">
        <f>IF(AN6="","",(AD6/AN6)/1000)</f>
        <v/>
      </c>
      <c r="AS6" s="64" t="str">
        <f>IF(AN6="","",AR6*24)</f>
        <v/>
      </c>
      <c r="AT6" s="65" t="str">
        <f>IF(AN6="","",(AD6/1000)*100%/AS6)</f>
        <v/>
      </c>
      <c r="AU6" s="64" t="str">
        <f>IF(AN6="","",(AE6/AN6))</f>
        <v/>
      </c>
      <c r="AV6" s="229" t="str">
        <f>IF(AN6="","",(AD6/AO6)/1000)</f>
        <v/>
      </c>
      <c r="AW6" s="714"/>
      <c r="AX6" s="714"/>
      <c r="AY6" s="714"/>
      <c r="AZ6" s="723"/>
      <c r="BA6" s="714"/>
      <c r="BB6" s="725"/>
      <c r="BC6" s="727"/>
      <c r="BD6" s="727"/>
      <c r="BE6" s="727"/>
      <c r="BF6" s="729"/>
    </row>
    <row r="7" spans="1:58" customHeight="1" ht="13.9">
      <c r="A7" s="485" t="str">
        <f>IF(B7="","",4)</f>
        <v/>
      </c>
      <c r="B7" s="68"/>
      <c r="C7" s="69"/>
      <c r="D7" s="70"/>
      <c r="E7" s="76"/>
      <c r="F7" s="70"/>
      <c r="G7" s="76"/>
      <c r="H7" s="70"/>
      <c r="I7" s="414"/>
      <c r="J7" s="414"/>
      <c r="K7" s="70"/>
      <c r="L7" s="494"/>
      <c r="M7" s="494"/>
      <c r="N7" s="76"/>
      <c r="O7" s="76"/>
      <c r="P7" s="467"/>
      <c r="Q7" s="412"/>
      <c r="R7" s="410"/>
      <c r="S7" s="274"/>
      <c r="T7" s="401"/>
      <c r="U7" s="407"/>
      <c r="V7" s="249"/>
      <c r="W7" s="401"/>
      <c r="X7" s="278"/>
      <c r="Y7" s="78"/>
      <c r="Z7" s="403"/>
      <c r="AA7" s="281"/>
      <c r="AB7" s="79"/>
      <c r="AC7" s="85"/>
      <c r="AD7" s="55" t="str">
        <f>IF(B7="","",(((C7+F7+H7+K7+Q7+N7+O7)*50))+((E7*10))+(((I7+J7+D7+G7+L7+M7+U7)*25)+(X7*25)+(Y7*25)+(Z7*25)+(AA7*25)+(AB7*40)+(AC7*50)+(R7*1)+(S7*1)+(T7*1)))</f>
        <v/>
      </c>
      <c r="AE7" s="55" t="str">
        <f>IF(B7="","",C7+F7+H7+K7+Q7+N7+O7+((I7+J7+D7+G7+U7)/2)+(R7/50)+(S7/50)+(T7/50)+(E7/5))</f>
        <v/>
      </c>
      <c r="AF7" s="56" t="str">
        <f>IF(B7="","",((AE7*50)/AD7))</f>
        <v/>
      </c>
      <c r="AG7" s="57" t="str">
        <f>IF(C7="","",((Z7)*25)/AD7)</f>
        <v/>
      </c>
      <c r="AH7" s="57" t="str">
        <f>IF(B7="","",(X7*25)/AD7)</f>
        <v/>
      </c>
      <c r="AI7" s="57" t="str">
        <f>IF(B7="","",(Y7*25)/AD7)</f>
        <v/>
      </c>
      <c r="AJ7" s="57" t="str">
        <f>IF(B7="","",(AA7*25)/AD7)</f>
        <v/>
      </c>
      <c r="AK7" s="58" t="str">
        <f>IF(B7="","",(AB7*40)/AD7)</f>
        <v/>
      </c>
      <c r="AL7" s="58" t="str">
        <f>IF(B7="","",(AC7*50)/AD7)</f>
        <v/>
      </c>
      <c r="AM7" s="59" t="str">
        <f>IF(B7="","",B7)</f>
        <v/>
      </c>
      <c r="AN7" s="233"/>
      <c r="AO7" s="82"/>
      <c r="AP7" s="234"/>
      <c r="AQ7" s="63" t="str">
        <f>IF(AN7="","",AN7/AO7)</f>
        <v/>
      </c>
      <c r="AR7" s="64" t="str">
        <f>IF(AN7="","",(AD7/AN7)/1000)</f>
        <v/>
      </c>
      <c r="AS7" s="64" t="str">
        <f>IF(AN7="","",AR7*24)</f>
        <v/>
      </c>
      <c r="AT7" s="65" t="str">
        <f>IF(AN7="","",(AD7/1000)*100%/AS7)</f>
        <v/>
      </c>
      <c r="AU7" s="64" t="str">
        <f>IF(AN7="","",(AE7/AN7))</f>
        <v/>
      </c>
      <c r="AV7" s="229" t="str">
        <f>IF(AN7="","",(AD7/AO7)/1000)</f>
        <v/>
      </c>
      <c r="AW7" s="714"/>
      <c r="AX7" s="714"/>
      <c r="AY7" s="714"/>
      <c r="AZ7" s="723"/>
      <c r="BA7" s="714"/>
      <c r="BB7" s="725"/>
      <c r="BC7" s="727"/>
      <c r="BD7" s="727"/>
      <c r="BE7" s="727"/>
      <c r="BF7" s="729"/>
    </row>
    <row r="8" spans="1:58" customHeight="1" ht="13.9">
      <c r="A8" s="485" t="str">
        <f>IF(B8="","",5)</f>
        <v/>
      </c>
      <c r="B8" s="68"/>
      <c r="C8" s="69"/>
      <c r="D8" s="70"/>
      <c r="E8" s="76"/>
      <c r="F8" s="70"/>
      <c r="G8" s="76"/>
      <c r="H8" s="70"/>
      <c r="I8" s="491"/>
      <c r="J8" s="491"/>
      <c r="K8" s="70"/>
      <c r="L8" s="494"/>
      <c r="M8" s="494"/>
      <c r="N8" s="76"/>
      <c r="O8" s="76"/>
      <c r="P8" s="467"/>
      <c r="Q8" s="412"/>
      <c r="R8" s="422"/>
      <c r="S8" s="274"/>
      <c r="T8" s="401"/>
      <c r="U8" s="407"/>
      <c r="V8" s="249"/>
      <c r="W8" s="401"/>
      <c r="X8" s="278"/>
      <c r="Y8" s="78"/>
      <c r="Z8" s="403"/>
      <c r="AA8" s="281"/>
      <c r="AB8" s="79"/>
      <c r="AC8" s="85"/>
      <c r="AD8" s="55" t="str">
        <f>IF(B8="","",(((C8+F8+H8+K8+Q8+N8+O8)*50))+((E8*10))+(((I8+J8+D8+G8+L8+M8+U8)*25)+(X8*25)+(Y8*25)+(Z8*25)+(AA8*25)+(AB8*40)+(AC8*50)+(R8*1)+(S8*1)+(T8*1)))</f>
        <v/>
      </c>
      <c r="AE8" s="55" t="str">
        <f>IF(B8="","",C8+F8+H8+K8+Q8+N8+O8+((I8+J8+D8+G8+U8)/2)+(R8/50)+(S8/50)+(T8/50)+(E8/5))</f>
        <v/>
      </c>
      <c r="AF8" s="56" t="str">
        <f>IF(B8="","",((AE8*50)/AD8))</f>
        <v/>
      </c>
      <c r="AG8" s="252" t="str">
        <f>IF(C8="","",((Z8)*25)/AD8)</f>
        <v/>
      </c>
      <c r="AH8" s="57" t="str">
        <f>IF(B8="","",(X8*25)/AD8)</f>
        <v/>
      </c>
      <c r="AI8" s="57" t="str">
        <f>IF(B8="","",(Y8*25)/AD8)</f>
        <v/>
      </c>
      <c r="AJ8" s="57" t="str">
        <f>IF(B8="","",(AA8*25)/AD8)</f>
        <v/>
      </c>
      <c r="AK8" s="58" t="str">
        <f>IF(B8="","",(AB8*40)/AD8)</f>
        <v/>
      </c>
      <c r="AL8" s="58" t="str">
        <f>IF(B8="","",(AC8*50)/AD8)</f>
        <v/>
      </c>
      <c r="AM8" s="59" t="str">
        <f>IF(B8="","",B8)</f>
        <v/>
      </c>
      <c r="AN8" s="233"/>
      <c r="AO8" s="82"/>
      <c r="AP8" s="234"/>
      <c r="AQ8" s="63" t="str">
        <f>IF(AN8="","",AN8/AO8)</f>
        <v/>
      </c>
      <c r="AR8" s="64" t="str">
        <f>IF(AN8="","",(AD8/AN8)/1000)</f>
        <v/>
      </c>
      <c r="AS8" s="64" t="str">
        <f>IF(AN8="","",AR8*24)</f>
        <v/>
      </c>
      <c r="AT8" s="65" t="str">
        <f>IF(AN8="","",(AD8/1000)*100%/AS8)</f>
        <v/>
      </c>
      <c r="AU8" s="64" t="str">
        <f>IF(AN8="","",(AE8/AN8))</f>
        <v/>
      </c>
      <c r="AV8" s="229" t="str">
        <f>IF(AN8="","",(AD8/AO8)/1000)</f>
        <v/>
      </c>
      <c r="AW8" s="714"/>
      <c r="AX8" s="714"/>
      <c r="AY8" s="714"/>
      <c r="AZ8" s="723"/>
      <c r="BA8" s="714"/>
      <c r="BB8" s="725"/>
      <c r="BC8" s="727"/>
      <c r="BD8" s="727"/>
      <c r="BE8" s="727"/>
      <c r="BF8" s="729"/>
    </row>
    <row r="9" spans="1:58" customHeight="1" ht="15">
      <c r="A9" s="485" t="str">
        <f>IF(B9="","",6)</f>
        <v/>
      </c>
      <c r="B9" s="68"/>
      <c r="C9" s="69"/>
      <c r="D9" s="70"/>
      <c r="E9" s="76"/>
      <c r="F9" s="70"/>
      <c r="G9" s="76"/>
      <c r="H9" s="70"/>
      <c r="I9" s="491"/>
      <c r="J9" s="491"/>
      <c r="K9" s="70"/>
      <c r="L9" s="494"/>
      <c r="M9" s="494"/>
      <c r="N9" s="76"/>
      <c r="O9" s="76"/>
      <c r="P9" s="467"/>
      <c r="Q9" s="412"/>
      <c r="R9" s="410"/>
      <c r="S9" s="242"/>
      <c r="T9" s="401"/>
      <c r="U9" s="407"/>
      <c r="V9" s="249"/>
      <c r="W9" s="401"/>
      <c r="X9" s="278"/>
      <c r="Y9" s="78"/>
      <c r="Z9" s="403"/>
      <c r="AA9" s="281"/>
      <c r="AB9" s="79"/>
      <c r="AC9" s="85"/>
      <c r="AD9" s="55" t="str">
        <f>IF(B9="","",(((C9+F9+H9+K9+Q9+N9+O9)*50))+((E9*10))+(((I9+J9+D9+G9+L9+M9+U9)*25)+(X9*25)+(Y9*25)+(Z9*25)+(AA9*25)+(AB9*40)+(AC9*50)+(R9*1)+(S9*1)+(T9*1)))</f>
        <v/>
      </c>
      <c r="AE9" s="55" t="str">
        <f>IF(B9="","",C9+F9+H9+K9+Q9+N9+O9+((I9+J9+D9+G9+U9)/2)+(R9/50)+(S9/50)+(T9/50)+(E9/5))</f>
        <v/>
      </c>
      <c r="AF9" s="56" t="str">
        <f>IF(B9="","",((AE9*50)/AD9))</f>
        <v/>
      </c>
      <c r="AG9" s="57" t="str">
        <f>IF(C9="","",((Z9)*25)/AD9)</f>
        <v/>
      </c>
      <c r="AH9" s="57" t="str">
        <f>IF(B9="","",(X9*25)/AD9)</f>
        <v/>
      </c>
      <c r="AI9" s="57" t="str">
        <f>IF(B9="","",(Y9*25)/AD9)</f>
        <v/>
      </c>
      <c r="AJ9" s="57" t="str">
        <f>IF(B9="","",(AA9*25)/AD9)</f>
        <v/>
      </c>
      <c r="AK9" s="58" t="str">
        <f>IF(B9="","",(AB9*40)/AD9)</f>
        <v/>
      </c>
      <c r="AL9" s="58" t="str">
        <f>IF(B9="","",(AC9*50)/AD9)</f>
        <v/>
      </c>
      <c r="AM9" s="59" t="str">
        <f>IF(B9="","",B9)</f>
        <v/>
      </c>
      <c r="AN9" s="233"/>
      <c r="AO9" s="82"/>
      <c r="AP9" s="234"/>
      <c r="AQ9" s="63" t="str">
        <f>IF(AN9="","",AN9/AO9)</f>
        <v/>
      </c>
      <c r="AR9" s="64" t="str">
        <f>IF(AN9="","",(AD9/AN9)/1000)</f>
        <v/>
      </c>
      <c r="AS9" s="64" t="str">
        <f>IF(AN9="","",AR9*24)</f>
        <v/>
      </c>
      <c r="AT9" s="65" t="str">
        <f>IF(AN9="","",(AD9/1000)*100%/AS9)</f>
        <v/>
      </c>
      <c r="AU9" s="64" t="str">
        <f>IF(AN9="","",(AE9/AN9))</f>
        <v/>
      </c>
      <c r="AV9" s="229" t="str">
        <f>IF(AN9="","",(AD9/AO9)/1000)</f>
        <v/>
      </c>
      <c r="AW9" s="714"/>
      <c r="AX9" s="714"/>
      <c r="AY9" s="714"/>
      <c r="AZ9" s="723"/>
      <c r="BA9" s="714"/>
      <c r="BB9" s="725"/>
      <c r="BC9" s="727"/>
      <c r="BD9" s="727"/>
      <c r="BE9" s="727"/>
      <c r="BF9" s="729"/>
    </row>
    <row r="10" spans="1:58" customHeight="1" ht="13.9">
      <c r="A10" s="485" t="str">
        <f>IF(B10="","",7)</f>
        <v/>
      </c>
      <c r="B10" s="68"/>
      <c r="C10" s="69"/>
      <c r="D10" s="70"/>
      <c r="E10" s="76"/>
      <c r="F10" s="70"/>
      <c r="G10" s="76"/>
      <c r="H10" s="70"/>
      <c r="I10" s="491"/>
      <c r="J10" s="491"/>
      <c r="K10" s="70"/>
      <c r="L10" s="494"/>
      <c r="M10" s="494"/>
      <c r="N10" s="76"/>
      <c r="O10" s="76"/>
      <c r="P10" s="467"/>
      <c r="Q10" s="412"/>
      <c r="R10" s="410"/>
      <c r="S10" s="242"/>
      <c r="T10" s="401"/>
      <c r="U10" s="407"/>
      <c r="V10" s="249"/>
      <c r="W10" s="401"/>
      <c r="X10" s="278"/>
      <c r="Y10" s="78"/>
      <c r="Z10" s="403"/>
      <c r="AA10" s="281"/>
      <c r="AB10" s="79"/>
      <c r="AC10" s="85"/>
      <c r="AD10" s="55" t="str">
        <f>IF(B10="","",(((C10+F10+H10+K10+Q10+N10+O10)*50))+((E10*10))+(((I10+J10+D10+G10+L10+M10+U10)*25)+(X10*25)+(Y10*25)+(Z10*25)+(AA10*25)+(AB10*40)+(AC10*50)+(R10*1)+(S10*1)+(T10*1)))</f>
        <v/>
      </c>
      <c r="AE10" s="55" t="str">
        <f>IF(B10="","",C10+F10+H10+K10+Q10+N10+O10+((I10+J10+D10+G10+U10)/2)+(R10/50)+(S10/50)+(T10/50)+(E10/5))</f>
        <v/>
      </c>
      <c r="AF10" s="56" t="str">
        <f>IF(B10="","",((AE10*50)/AD10))</f>
        <v/>
      </c>
      <c r="AG10" s="57" t="str">
        <f>IF(C10="","",((Z10)*25)/AD10)</f>
        <v/>
      </c>
      <c r="AH10" s="57" t="str">
        <f>IF(B10="","",(X10*25)/AD10)</f>
        <v/>
      </c>
      <c r="AI10" s="57" t="str">
        <f>IF(B10="","",(Y10*25)/AD10)</f>
        <v/>
      </c>
      <c r="AJ10" s="57" t="str">
        <f>IF(B10="","",(AA10*25)/AD10)</f>
        <v/>
      </c>
      <c r="AK10" s="58" t="str">
        <f>IF(B10="","",(AB10*40)/AD10)</f>
        <v/>
      </c>
      <c r="AL10" s="58" t="str">
        <f>IF(B10="","",(AC10*50)/AD10)</f>
        <v/>
      </c>
      <c r="AM10" s="59" t="str">
        <f>IF(B10="","",B10)</f>
        <v/>
      </c>
      <c r="AN10" s="233"/>
      <c r="AO10" s="82"/>
      <c r="AP10" s="234"/>
      <c r="AQ10" s="63" t="str">
        <f>IF(AN10="","",AN10/AO10)</f>
        <v/>
      </c>
      <c r="AR10" s="64" t="str">
        <f>IF(AN10="","",(AD10/AN10)/1000)</f>
        <v/>
      </c>
      <c r="AS10" s="64" t="str">
        <f>IF(AN10="","",AR10*24)</f>
        <v/>
      </c>
      <c r="AT10" s="65" t="str">
        <f>IF(AN10="","",(AD10/1000)*100%/AS10)</f>
        <v/>
      </c>
      <c r="AU10" s="64" t="str">
        <f>IF(AN10="","",(AE10/AN10))</f>
        <v/>
      </c>
      <c r="AV10" s="229" t="str">
        <f>IF(AN10="","",(AD10/AO10)/1000)</f>
        <v/>
      </c>
      <c r="AW10" s="714"/>
      <c r="AX10" s="714"/>
      <c r="AY10" s="714"/>
      <c r="AZ10" s="723"/>
      <c r="BA10" s="714"/>
      <c r="BB10" s="725"/>
      <c r="BC10" s="727"/>
      <c r="BD10" s="727"/>
      <c r="BE10" s="727"/>
      <c r="BF10" s="729"/>
    </row>
    <row r="11" spans="1:58" customHeight="1" ht="13.9">
      <c r="A11" s="485" t="str">
        <f>IF(B11="","",8)</f>
        <v/>
      </c>
      <c r="B11" s="226"/>
      <c r="C11" s="69"/>
      <c r="D11" s="70"/>
      <c r="E11" s="76"/>
      <c r="F11" s="70"/>
      <c r="G11" s="76"/>
      <c r="H11" s="70"/>
      <c r="I11" s="491"/>
      <c r="J11" s="491"/>
      <c r="K11" s="70"/>
      <c r="L11" s="494"/>
      <c r="M11" s="494"/>
      <c r="N11" s="76"/>
      <c r="O11" s="76"/>
      <c r="P11" s="467"/>
      <c r="Q11" s="412"/>
      <c r="R11" s="410"/>
      <c r="S11" s="242"/>
      <c r="T11" s="401"/>
      <c r="U11" s="407"/>
      <c r="V11" s="249"/>
      <c r="W11" s="401"/>
      <c r="X11" s="278"/>
      <c r="Y11" s="78"/>
      <c r="Z11" s="403"/>
      <c r="AA11" s="281"/>
      <c r="AB11" s="79"/>
      <c r="AC11" s="85"/>
      <c r="AD11" s="55" t="str">
        <f>IF(B11="","",(((C11+F11+H11+K11+Q11+N11+O11)*50))+((E11*10))+(((I11+J11+D11+G11+L11+M11+U11)*25)+(X11*25)+(Y11*25)+(Z11*25)+(AA11*25)+(AB11*40)+(AC11*50)+(R11*1)+(S11*1)+(T11*1)))</f>
        <v/>
      </c>
      <c r="AE11" s="55" t="str">
        <f>IF(B11="","",C11+F11+H11+K11+Q11+N11+O11+((I11+J11+D11+G11+U11+P11)/2)+(R11/50)+(S11/50)+(T11/50)+(E11/5))</f>
        <v/>
      </c>
      <c r="AF11" s="56" t="str">
        <f>IF(B11="","",((AE11*50)/AD11))</f>
        <v/>
      </c>
      <c r="AG11" s="57" t="str">
        <f>IF(C11="","",((Z11)*25)/AD11)</f>
        <v/>
      </c>
      <c r="AH11" s="57" t="str">
        <f>IF(B11="","",(X11*25)/AD11)</f>
        <v/>
      </c>
      <c r="AI11" s="57" t="str">
        <f>IF(B11="","",(Y11*25)/AD11)</f>
        <v/>
      </c>
      <c r="AJ11" s="57" t="str">
        <f>IF(B11="","",(AA11*25)/AD11)</f>
        <v/>
      </c>
      <c r="AK11" s="58" t="str">
        <f>IF(B11="","",(AB11*40)/AD11)</f>
        <v/>
      </c>
      <c r="AL11" s="58" t="str">
        <f>IF(B11="","",(AC11*50)/AD11)</f>
        <v/>
      </c>
      <c r="AM11" s="59" t="str">
        <f>IF(B11="","",B11)</f>
        <v/>
      </c>
      <c r="AN11" s="233"/>
      <c r="AO11" s="82"/>
      <c r="AP11" s="234"/>
      <c r="AQ11" s="63" t="str">
        <f>IF(AN11="","",AN11/AO11)</f>
        <v/>
      </c>
      <c r="AR11" s="64" t="str">
        <f>IF(AN11="","",(AD11/AN11)/1000)</f>
        <v/>
      </c>
      <c r="AS11" s="64" t="str">
        <f>IF(AN11="","",AR11*24)</f>
        <v/>
      </c>
      <c r="AT11" s="65" t="str">
        <f>IF(AN11="","",(AD11/1000)*100%/AS11)</f>
        <v/>
      </c>
      <c r="AU11" s="64" t="str">
        <f>IF(AN11="","",(AE11/AN11))</f>
        <v/>
      </c>
      <c r="AV11" s="229" t="str">
        <f>IF(AN11="","",(AD11/AO11)/1000)</f>
        <v/>
      </c>
      <c r="AW11" s="714"/>
      <c r="AX11" s="714"/>
      <c r="AY11" s="714"/>
      <c r="AZ11" s="723"/>
      <c r="BA11" s="714"/>
      <c r="BB11" s="725"/>
      <c r="BC11" s="727"/>
      <c r="BD11" s="727"/>
      <c r="BE11" s="727"/>
      <c r="BF11" s="729"/>
    </row>
    <row r="12" spans="1:58" customHeight="1" ht="13.9">
      <c r="A12" s="485" t="str">
        <f>IF(B12="","",9)</f>
        <v/>
      </c>
      <c r="B12" s="226"/>
      <c r="C12" s="69"/>
      <c r="D12" s="70"/>
      <c r="E12" s="76"/>
      <c r="F12" s="70"/>
      <c r="G12" s="76"/>
      <c r="H12" s="70"/>
      <c r="I12" s="491"/>
      <c r="J12" s="491"/>
      <c r="K12" s="70"/>
      <c r="L12" s="494"/>
      <c r="M12" s="494"/>
      <c r="N12" s="76"/>
      <c r="O12" s="76"/>
      <c r="P12" s="467"/>
      <c r="Q12" s="412"/>
      <c r="R12" s="410"/>
      <c r="S12" s="242"/>
      <c r="T12" s="401"/>
      <c r="U12" s="407"/>
      <c r="V12" s="249"/>
      <c r="W12" s="401"/>
      <c r="X12" s="278"/>
      <c r="Y12" s="78"/>
      <c r="Z12" s="403"/>
      <c r="AA12" s="281"/>
      <c r="AB12" s="79"/>
      <c r="AC12" s="85"/>
      <c r="AD12" s="55" t="str">
        <f>IF(B12="","",(((C12+F12+H12+K12+Q12+N12+O12)*50))+((E12*10))+(((I12+J12+D12+G12+L12+M12+U12)*25)+(X12*25)+(Y12*25)+(Z12*25)+(AA12*25)+(AB12*40)+(AC12*50)+(R12*1)+(S12*1)+(T12*1)))</f>
        <v/>
      </c>
      <c r="AE12" s="55" t="str">
        <f>IF(B12="","",C12+F12+H12+K12+Q12+N12+O12+((I12+J12+D12+G12+U12)/2)+(R12/50)+(S12/50)+(T12/50)+(E12/5))</f>
        <v/>
      </c>
      <c r="AF12" s="56" t="str">
        <f>IF(B12="","",((AE12*50)/AD12))</f>
        <v/>
      </c>
      <c r="AG12" s="57" t="str">
        <f>IF(C12="","",((Z12)*25)/AD12)</f>
        <v/>
      </c>
      <c r="AH12" s="57" t="str">
        <f>IF(B12="","",(X12*25)/AD12)</f>
        <v/>
      </c>
      <c r="AI12" s="57" t="str">
        <f>IF(B12="","",(Y12*25)/AD12)</f>
        <v/>
      </c>
      <c r="AJ12" s="57" t="str">
        <f>IF(B12="","",(AA12*25)/AD12)</f>
        <v/>
      </c>
      <c r="AK12" s="58" t="str">
        <f>IF(B12="","",(AB12*40)/AD12)</f>
        <v/>
      </c>
      <c r="AL12" s="58" t="str">
        <f>IF(B12="","",(AC12*50)/AD12)</f>
        <v/>
      </c>
      <c r="AM12" s="59" t="str">
        <f>IF(B12="","",B12)</f>
        <v/>
      </c>
      <c r="AN12" s="233"/>
      <c r="AO12" s="82"/>
      <c r="AP12" s="234"/>
      <c r="AQ12" s="63" t="str">
        <f>IF(AN12="","",AN12/AO12)</f>
        <v/>
      </c>
      <c r="AR12" s="64" t="str">
        <f>IF(AN12="","",(AD12/AN12)/1000)</f>
        <v/>
      </c>
      <c r="AS12" s="64" t="str">
        <f>IF(AN12="","",AR12*24)</f>
        <v/>
      </c>
      <c r="AT12" s="65" t="str">
        <f>IF(AN12="","",(AD12/1000)*100%/AS12)</f>
        <v/>
      </c>
      <c r="AU12" s="64" t="str">
        <f>IF(AN12="","",(AE12/AN12))</f>
        <v/>
      </c>
      <c r="AV12" s="229" t="str">
        <f>IF(AN12="","",(AD12/AO12)/1000)</f>
        <v/>
      </c>
      <c r="AW12" s="714"/>
      <c r="AX12" s="714"/>
      <c r="AY12" s="714"/>
      <c r="AZ12" s="723"/>
      <c r="BA12" s="714"/>
      <c r="BB12" s="725"/>
      <c r="BC12" s="727"/>
      <c r="BD12" s="727"/>
      <c r="BE12" s="727"/>
      <c r="BF12" s="729"/>
    </row>
    <row r="13" spans="1:58" customHeight="1" ht="13.9">
      <c r="A13" s="485" t="str">
        <f>IF(B13="","",11)</f>
        <v/>
      </c>
      <c r="B13" s="226"/>
      <c r="C13" s="69"/>
      <c r="D13" s="70"/>
      <c r="E13" s="76"/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/>
      <c r="S13" s="242"/>
      <c r="T13" s="401"/>
      <c r="U13" s="407"/>
      <c r="V13" s="249"/>
      <c r="W13" s="401"/>
      <c r="X13" s="278"/>
      <c r="Y13" s="78"/>
      <c r="Z13" s="403"/>
      <c r="AA13" s="281"/>
      <c r="AB13" s="79"/>
      <c r="AC13" s="85"/>
      <c r="AD13" s="55" t="str">
        <f>IF(B13="","",(((C13+F13+H13+K13+Q13+N13+O13)*50))+((E13*10))+(((I13+J13+D13+G13+L13+M13+U13)*25)+(X13*25)+(Y13*25)+(Z13*25)+(AA13*25)+(AB13*40)+(AC13*50)+(R13*1)+(S13*1)+(T13*1)))</f>
        <v/>
      </c>
      <c r="AE13" s="55" t="str">
        <f>IF(B13="","",C13+F13+H13+K13+Q13+N13+O13+((I13+J13+D13+G13+U13)/2)+(R13/50)+(S13/50)+(T13/50)+(E13/5))</f>
        <v/>
      </c>
      <c r="AF13" s="56" t="str">
        <f>IF(B13="","",((AE13*50)/AD13))</f>
        <v/>
      </c>
      <c r="AG13" s="57" t="str">
        <f>IF(C13="","",((Z13)*25)/AD13)</f>
        <v/>
      </c>
      <c r="AH13" s="57" t="str">
        <f>IF(B13="","",(X13*25)/AD13)</f>
        <v/>
      </c>
      <c r="AI13" s="57" t="str">
        <f>IF(B13="","",(Y13*25)/AD13)</f>
        <v/>
      </c>
      <c r="AJ13" s="57" t="str">
        <f>IF(B13="","",(AA13*25)/AD13)</f>
        <v/>
      </c>
      <c r="AK13" s="58" t="str">
        <f>IF(B13="","",(AB13*40)/AD13)</f>
        <v/>
      </c>
      <c r="AL13" s="58" t="str">
        <f>IF(B13="","",(AC13*50)/AD13)</f>
        <v/>
      </c>
      <c r="AM13" s="59" t="str">
        <f>IF(B13="","",B13)</f>
        <v/>
      </c>
      <c r="AN13" s="233"/>
      <c r="AO13" s="82"/>
      <c r="AP13" s="234"/>
      <c r="AQ13" s="63" t="str">
        <f>IF(AN13="","",AN13/AO13)</f>
        <v/>
      </c>
      <c r="AR13" s="64" t="str">
        <f>IF(AN13="","",(AD13/AN13)/1000)</f>
        <v/>
      </c>
      <c r="AS13" s="64" t="str">
        <f>IF(AN13="","",AR13*24)</f>
        <v/>
      </c>
      <c r="AT13" s="65" t="str">
        <f>IF(AN13="","",(AD13/1000)*100%/AS13)</f>
        <v/>
      </c>
      <c r="AU13" s="64" t="str">
        <f>IF(AN13="","",(AE13/AN13))</f>
        <v/>
      </c>
      <c r="AV13" s="229" t="str">
        <f>IF(AN13="","",(AD13/AO13)/1000)</f>
        <v/>
      </c>
      <c r="AW13" s="714"/>
      <c r="AX13" s="714"/>
      <c r="AY13" s="714"/>
      <c r="AZ13" s="723"/>
      <c r="BA13" s="714"/>
      <c r="BB13" s="725"/>
      <c r="BC13" s="727"/>
      <c r="BD13" s="727"/>
      <c r="BE13" s="727"/>
      <c r="BF13" s="729"/>
    </row>
    <row r="14" spans="1:58" customHeight="1" ht="13.9">
      <c r="A14" s="485" t="str">
        <f>IF(B14="","",12)</f>
        <v/>
      </c>
      <c r="B14" s="226"/>
      <c r="C14" s="69"/>
      <c r="D14" s="70"/>
      <c r="E14" s="76"/>
      <c r="F14" s="70"/>
      <c r="G14" s="76"/>
      <c r="H14" s="70"/>
      <c r="I14" s="491"/>
      <c r="J14" s="491"/>
      <c r="K14" s="70"/>
      <c r="L14" s="494"/>
      <c r="M14" s="494"/>
      <c r="N14" s="76"/>
      <c r="O14" s="76"/>
      <c r="P14" s="467"/>
      <c r="Q14" s="412"/>
      <c r="R14" s="410"/>
      <c r="S14" s="242"/>
      <c r="T14" s="401"/>
      <c r="U14" s="407"/>
      <c r="V14" s="249"/>
      <c r="W14" s="401"/>
      <c r="X14" s="278"/>
      <c r="Y14" s="78"/>
      <c r="Z14" s="403"/>
      <c r="AA14" s="281"/>
      <c r="AB14" s="79"/>
      <c r="AC14" s="85"/>
      <c r="AD14" s="55" t="str">
        <f>IF(B14="","",(((C14+F14+H14+K14+Q14+N14+O14)*50))+((E14*10))+(((I14+J14+D14+G14+L14+M14+U14)*25)+(X14*25)+(Y14*25)+(Z14*25)+(AA14*25)+(AB14*40)+(AC14*50)+(R14*1)+(S14*1)+(T14*1)))</f>
        <v/>
      </c>
      <c r="AE14" s="55" t="str">
        <f>IF(B14="","",C14+F14+H14+K14+Q14+N14+O14+((I14+J14+D14+G14+U14)/2)+(R14/50)+(S14/50)+(T14/50)+(E14/5))</f>
        <v/>
      </c>
      <c r="AF14" s="56" t="str">
        <f>IF(B14="","",((AE14*50)/AD14))</f>
        <v/>
      </c>
      <c r="AG14" s="57" t="str">
        <f>IF(C14="","",((Z14)*25)/AD14)</f>
        <v/>
      </c>
      <c r="AH14" s="57" t="str">
        <f>IF(B14="","",(X14*25)/AD14)</f>
        <v/>
      </c>
      <c r="AI14" s="57" t="str">
        <f>IF(B14="","",(Y14*25)/AD14)</f>
        <v/>
      </c>
      <c r="AJ14" s="57" t="str">
        <f>IF(B14="","",(AA14*25)/AD14)</f>
        <v/>
      </c>
      <c r="AK14" s="58" t="str">
        <f>IF(B14="","",(AB14*40)/AD14)</f>
        <v/>
      </c>
      <c r="AL14" s="58" t="str">
        <f>IF(B14="","",(AC14*50)/AD14)</f>
        <v/>
      </c>
      <c r="AM14" s="59" t="str">
        <f>IF(B14="","",B14)</f>
        <v/>
      </c>
      <c r="AN14" s="233"/>
      <c r="AO14" s="82"/>
      <c r="AP14" s="234"/>
      <c r="AQ14" s="63" t="str">
        <f>IF(AN14="","",AN14/AO14)</f>
        <v/>
      </c>
      <c r="AR14" s="64" t="str">
        <f>IF(AN14="","",(AD14/AN14)/1000)</f>
        <v/>
      </c>
      <c r="AS14" s="64" t="str">
        <f>IF(AN14="","",AR14*24)</f>
        <v/>
      </c>
      <c r="AT14" s="65" t="str">
        <f>IF(AN14="","",(AD14/1000)*100%/AS14)</f>
        <v/>
      </c>
      <c r="AU14" s="64" t="str">
        <f>IF(AN14="","",(AE14/AN14))</f>
        <v/>
      </c>
      <c r="AV14" s="229" t="str">
        <f>IF(AN14="","",(AD14/AO14)/1000)</f>
        <v/>
      </c>
      <c r="AW14" s="714"/>
      <c r="AX14" s="714"/>
      <c r="AY14" s="714"/>
      <c r="AZ14" s="723"/>
      <c r="BA14" s="714"/>
      <c r="BB14" s="725"/>
      <c r="BC14" s="727"/>
      <c r="BD14" s="727"/>
      <c r="BE14" s="727"/>
      <c r="BF14" s="729"/>
    </row>
    <row r="15" spans="1:58" customHeight="1" ht="13.9">
      <c r="A15" s="485" t="str">
        <f>IF(B15="","",13)</f>
        <v/>
      </c>
      <c r="B15" s="226"/>
      <c r="C15" s="69"/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/>
      <c r="S15" s="242"/>
      <c r="T15" s="401"/>
      <c r="U15" s="407"/>
      <c r="V15" s="249"/>
      <c r="W15" s="401"/>
      <c r="X15" s="278"/>
      <c r="Y15" s="78"/>
      <c r="Z15" s="403"/>
      <c r="AA15" s="281"/>
      <c r="AC15" s="79"/>
      <c r="AD15" s="55" t="str">
        <f>IF(B15="","",(((C15+F15+H15+K15+Q15+N15+O15)*50))+((E15*10))+(((I15+J15+D15+G15+L15+M15+U15)*25)+(X15*25)+(Y15*25)+(Z15*25)+(AA15*25)+(AB15*40)+(AC15*50)+(R15*1)+(S15*1)+(T15*1)))</f>
        <v/>
      </c>
      <c r="AE15" s="55" t="str">
        <f>IF(B15="","",C15+F15+H15+K15+Q15+N15+O15+((I15+J15+D15+G15+U15)/2)+(R15/50)+(S15/50)+(T15/50)+(E15/5))</f>
        <v/>
      </c>
      <c r="AF15" s="56" t="str">
        <f>IF(B15="","",((AE15*50)/AD15))</f>
        <v/>
      </c>
      <c r="AG15" s="57" t="str">
        <f>IF(C15="","",((Z15)*25)/AD15)</f>
        <v/>
      </c>
      <c r="AH15" s="57" t="str">
        <f>IF(B15="","",(X15*25)/AD15)</f>
        <v/>
      </c>
      <c r="AI15" s="57" t="str">
        <f>IF(B15="","",(Y15*25)/AD15)</f>
        <v/>
      </c>
      <c r="AJ15" s="57" t="str">
        <f>IF(B15="","",(AA15*25)/AD15)</f>
        <v/>
      </c>
      <c r="AK15" s="58" t="str">
        <f>IF(B15="","",(AC15*40)/AD15)</f>
        <v/>
      </c>
      <c r="AL15" s="58" t="str">
        <f>IF(B15="","",(AC15*50)/AD15)</f>
        <v/>
      </c>
      <c r="AM15" s="59" t="str">
        <f>IF(B15="","",B15)</f>
        <v/>
      </c>
      <c r="AN15" s="233"/>
      <c r="AO15" s="82"/>
      <c r="AP15" s="234"/>
      <c r="AQ15" s="63" t="str">
        <f>IF(AN15="","",AN15/AO15)</f>
        <v/>
      </c>
      <c r="AR15" s="64" t="str">
        <f>IF(AN15="","",(AD15/AN15)/1000)</f>
        <v/>
      </c>
      <c r="AS15" s="64" t="str">
        <f>IF(AN15="","",AR15*24)</f>
        <v/>
      </c>
      <c r="AT15" s="65" t="str">
        <f>IF(AN15="","",(AD15/1000)*100%/AS15)</f>
        <v/>
      </c>
      <c r="AU15" s="64" t="str">
        <f>IF(AN15="","",(AE15/AN15))</f>
        <v/>
      </c>
      <c r="AV15" s="229" t="str">
        <f>IF(AN15="","",(AD15/AO15)/1000)</f>
        <v/>
      </c>
      <c r="AW15" s="714"/>
      <c r="AX15" s="714"/>
      <c r="AY15" s="714"/>
      <c r="AZ15" s="723"/>
      <c r="BA15" s="714"/>
      <c r="BB15" s="725"/>
      <c r="BC15" s="727"/>
      <c r="BD15" s="727"/>
      <c r="BE15" s="727"/>
      <c r="BF15" s="729"/>
    </row>
    <row r="16" spans="1:58" customHeight="1" ht="13.9">
      <c r="A16" s="485" t="str">
        <f>IF(B16="","",1+A15)</f>
        <v/>
      </c>
      <c r="B16" s="226"/>
      <c r="C16" s="69"/>
      <c r="D16" s="70"/>
      <c r="E16" s="76"/>
      <c r="F16" s="70"/>
      <c r="G16" s="76"/>
      <c r="H16" s="70"/>
      <c r="I16" s="491"/>
      <c r="J16" s="491"/>
      <c r="K16" s="70"/>
      <c r="L16" s="494"/>
      <c r="M16" s="494"/>
      <c r="N16" s="76"/>
      <c r="O16" s="76"/>
      <c r="P16" s="467"/>
      <c r="Q16" s="412"/>
      <c r="R16" s="410"/>
      <c r="S16" s="242"/>
      <c r="T16" s="401"/>
      <c r="U16" s="407"/>
      <c r="V16" s="249"/>
      <c r="W16" s="401"/>
      <c r="X16" s="278"/>
      <c r="Y16" s="78"/>
      <c r="Z16" s="403"/>
      <c r="AA16" s="281"/>
      <c r="AB16" s="79"/>
      <c r="AC16" s="85"/>
      <c r="AD16" s="55" t="str">
        <f>IF(B16="","",(((C16+F16+H16+K16+Q16+N16+O16)*50))+((E16*10))+(((I16+J16+D16+G16+L16+M16+U16)*25)+(X16*25)+(Y16*25)+(Z16*25)+(AA16*25)+(AB16*40)+(AC16*50)+(R16*1)+(S16*1)+(T16*1)))</f>
        <v/>
      </c>
      <c r="AE16" s="55" t="str">
        <f>IF(B16="","",C16+F16+H16+K16+Q16+N16+O16+((I16+J16+D16+G16+U16)/2)+(R16/50)+(S16/50)+(T16/50)+(E16/5))</f>
        <v/>
      </c>
      <c r="AF16" s="56" t="str">
        <f>IF(B16="","",((AE16*50)/AD16))</f>
        <v/>
      </c>
      <c r="AG16" s="57" t="str">
        <f>IF(C16="","",((Z16)*25)/AD16)</f>
        <v/>
      </c>
      <c r="AH16" s="57" t="str">
        <f>IF(B16="","",(X16*25)/AD16)</f>
        <v/>
      </c>
      <c r="AI16" s="57" t="str">
        <f>IF(B16="","",(Y16*25)/AD16)</f>
        <v/>
      </c>
      <c r="AJ16" s="57" t="str">
        <f>IF(B16="","",(AA16*25)/AD16)</f>
        <v/>
      </c>
      <c r="AK16" s="58" t="str">
        <f>IF(B16="","",(AB16*40)/AD16)</f>
        <v/>
      </c>
      <c r="AL16" s="58" t="str">
        <f>IF(B16="","",(AC16*50)/AD16)</f>
        <v/>
      </c>
      <c r="AM16" s="59" t="str">
        <f>IF(B16="","",B16)</f>
        <v/>
      </c>
      <c r="AN16" s="233"/>
      <c r="AO16" s="82"/>
      <c r="AP16" s="234"/>
      <c r="AQ16" s="63" t="str">
        <f>IF(AN16="","",AN16/AO16)</f>
        <v/>
      </c>
      <c r="AR16" s="64" t="str">
        <f>IF(AN16="","",(AD16/AN16)/1000)</f>
        <v/>
      </c>
      <c r="AS16" s="64" t="str">
        <f>IF(AN16="","",AR16*24)</f>
        <v/>
      </c>
      <c r="AT16" s="65" t="str">
        <f>IF(AN16="","",(AD16/1000)*100%/AS16)</f>
        <v/>
      </c>
      <c r="AU16" s="64" t="str">
        <f>IF(AN16="","",(AE16/AN16))</f>
        <v/>
      </c>
      <c r="AV16" s="229" t="str">
        <f>IF(AN16="","",(AD16/AO16)/1000)</f>
        <v/>
      </c>
      <c r="AW16" s="714"/>
      <c r="AX16" s="714"/>
      <c r="AY16" s="714"/>
      <c r="AZ16" s="723"/>
      <c r="BA16" s="714"/>
      <c r="BB16" s="725"/>
      <c r="BC16" s="727"/>
      <c r="BD16" s="727"/>
      <c r="BE16" s="727"/>
      <c r="BF16" s="729"/>
    </row>
    <row r="17" spans="1:58" customHeight="1" ht="13.9">
      <c r="A17" s="485" t="str">
        <f>IF(B17="","",15)</f>
        <v/>
      </c>
      <c r="B17" s="226"/>
      <c r="C17" s="69"/>
      <c r="D17" s="70"/>
      <c r="E17" s="76"/>
      <c r="F17" s="70"/>
      <c r="G17" s="76"/>
      <c r="H17" s="70"/>
      <c r="I17" s="491"/>
      <c r="J17" s="491"/>
      <c r="K17" s="70"/>
      <c r="L17" s="494"/>
      <c r="M17" s="494"/>
      <c r="N17" s="76"/>
      <c r="O17" s="76"/>
      <c r="P17" s="467"/>
      <c r="Q17" s="412"/>
      <c r="R17" s="410"/>
      <c r="S17" s="242"/>
      <c r="T17" s="401"/>
      <c r="U17" s="407"/>
      <c r="V17" s="249"/>
      <c r="W17" s="401"/>
      <c r="X17" s="278"/>
      <c r="Y17" s="78"/>
      <c r="Z17" s="403"/>
      <c r="AA17" s="281"/>
      <c r="AB17" s="79"/>
      <c r="AC17" s="85"/>
      <c r="AD17" s="55" t="str">
        <f>IF(B17="","",(((C17+F17+H17+K17+Q17+N17+O17)*50))+((E17*10))+(((I17+J17+D17+G17+L17+M17+U17)*25)+(X17*25)+(Y17*25)+(Z17*25)+(AA17*25)+(AB17*40)+(AC17*50)+(R17*1)+(S17*1)+(T17*1)))</f>
        <v/>
      </c>
      <c r="AE17" s="55" t="str">
        <f>IF(B17="","",C17+F17+H17+K17+Q17+N17+O17+((I17+J17+D17+G17+U17)/2)+(R17/50)+(S17/50)+(T17/50)+(E17/5))</f>
        <v/>
      </c>
      <c r="AF17" s="56" t="str">
        <f>IF(B17="","",((AE17*50)/AD17))</f>
        <v/>
      </c>
      <c r="AG17" s="57" t="str">
        <f>IF(C17="","",((Z17)*25)/AD17)</f>
        <v/>
      </c>
      <c r="AH17" s="57" t="str">
        <f>IF(B17="","",(X17*25)/AD17)</f>
        <v/>
      </c>
      <c r="AI17" s="57" t="str">
        <f>IF(B17="","",(Y17*25)/AD17)</f>
        <v/>
      </c>
      <c r="AJ17" s="57" t="str">
        <f>IF(B17="","",(AA17*25)/AD17)</f>
        <v/>
      </c>
      <c r="AK17" s="58" t="str">
        <f>IF(B17="","",(AB17*40)/AD17)</f>
        <v/>
      </c>
      <c r="AL17" s="58" t="str">
        <f>IF(B17="","",(AC17*50)/AD17)</f>
        <v/>
      </c>
      <c r="AM17" s="59" t="str">
        <f>IF(B17="","",B17)</f>
        <v/>
      </c>
      <c r="AN17" s="233"/>
      <c r="AO17" s="82"/>
      <c r="AP17" s="234"/>
      <c r="AQ17" s="63" t="str">
        <f>IF(AN17="","",AN17/AO17)</f>
        <v/>
      </c>
      <c r="AR17" s="64" t="str">
        <f>IF(AN17="","",(AD17/AN17)/1000)</f>
        <v/>
      </c>
      <c r="AS17" s="64" t="str">
        <f>IF(AN17="","",AR17*24)</f>
        <v/>
      </c>
      <c r="AT17" s="65" t="str">
        <f>IF(AN17="","",(AD17/1000)*100%/AS17)</f>
        <v/>
      </c>
      <c r="AU17" s="64" t="str">
        <f>IF(AN17="","",(AE17/AN17))</f>
        <v/>
      </c>
      <c r="AV17" s="229" t="str">
        <f>IF(AN17="","",(AD17/AO17)/1000)</f>
        <v/>
      </c>
      <c r="AW17" s="714"/>
      <c r="AX17" s="714"/>
      <c r="AY17" s="714"/>
      <c r="AZ17" s="723"/>
      <c r="BA17" s="714"/>
      <c r="BB17" s="725"/>
      <c r="BC17" s="727"/>
      <c r="BD17" s="727"/>
      <c r="BE17" s="727"/>
      <c r="BF17" s="729"/>
    </row>
    <row r="18" spans="1:58" customHeight="1" ht="13.9">
      <c r="A18" s="485" t="str">
        <f>IF(B18="","",16)</f>
        <v/>
      </c>
      <c r="B18" s="226"/>
      <c r="C18" s="69"/>
      <c r="D18" s="70"/>
      <c r="E18" s="76"/>
      <c r="F18" s="70"/>
      <c r="G18" s="76"/>
      <c r="H18" s="70"/>
      <c r="I18" s="491"/>
      <c r="J18" s="491"/>
      <c r="K18" s="70"/>
      <c r="L18" s="494"/>
      <c r="M18" s="494"/>
      <c r="N18" s="76"/>
      <c r="O18" s="76"/>
      <c r="P18" s="467"/>
      <c r="Q18" s="412"/>
      <c r="R18" s="410"/>
      <c r="S18" s="242"/>
      <c r="T18" s="401"/>
      <c r="U18" s="407"/>
      <c r="V18" s="249"/>
      <c r="W18" s="401"/>
      <c r="X18" s="278"/>
      <c r="Y18" s="78"/>
      <c r="Z18" s="403"/>
      <c r="AA18" s="281"/>
      <c r="AB18" s="79"/>
      <c r="AC18" s="85"/>
      <c r="AD18" s="55" t="str">
        <f>IF(B18="","",(((C18+F18+H18+K18+Q18+N18+O18)*50))+((E18*10))+(((I18+J18+D18+G18+L18+M18+U18)*25)+(X18*25)+(Y18*25)+(Z18*25)+(AA18*25)+(AB18*40)+(AC18*50)+(R18*1)+(S18*1)+(T18*1)))</f>
        <v/>
      </c>
      <c r="AE18" s="55" t="str">
        <f>IF(B18="","",C18+F18+H18+K18+Q18+N18+O18+((I18+J18+D18+G18+U18)/2)+(R18/50)+(S18/50)+(T18/50)+(E18/5))</f>
        <v/>
      </c>
      <c r="AF18" s="56" t="str">
        <f>IF(B18="","",((AE18*50)/AD18))</f>
        <v/>
      </c>
      <c r="AG18" s="57" t="str">
        <f>IF(C18="","",((Z18)*25)/AD18)</f>
        <v/>
      </c>
      <c r="AH18" s="57" t="str">
        <f>IF(B18="","",(X18*25)/AD18)</f>
        <v/>
      </c>
      <c r="AI18" s="57" t="str">
        <f>IF(B18="","",(Y18*25)/AD18)</f>
        <v/>
      </c>
      <c r="AJ18" s="57" t="str">
        <f>IF(B18="","",(AA18*25)/AD18)</f>
        <v/>
      </c>
      <c r="AK18" s="58" t="str">
        <f>IF(B18="","",(AB18*40)/AD18)</f>
        <v/>
      </c>
      <c r="AL18" s="58" t="str">
        <f>IF(B18="","",(AC18*50)/AD18)</f>
        <v/>
      </c>
      <c r="AM18" s="59" t="str">
        <f>IF(B18="","",B18)</f>
        <v/>
      </c>
      <c r="AN18" s="233"/>
      <c r="AO18" s="82"/>
      <c r="AP18" s="234"/>
      <c r="AQ18" s="63" t="str">
        <f>IF(AN18="","",AN18/AO18)</f>
        <v/>
      </c>
      <c r="AR18" s="64" t="str">
        <f>IF(AN18="","",(AD18/AN18)/1000)</f>
        <v/>
      </c>
      <c r="AS18" s="64" t="str">
        <f>IF(AN18="","",AR18*24)</f>
        <v/>
      </c>
      <c r="AT18" s="65" t="str">
        <f>IF(AN18="","",(AD18/1000)*100%/AS18)</f>
        <v/>
      </c>
      <c r="AU18" s="64" t="str">
        <f>IF(AN18="","",(AE18/AN18))</f>
        <v/>
      </c>
      <c r="AV18" s="229" t="str">
        <f>IF(AN18="","",(AD18/AO18)/1000)</f>
        <v/>
      </c>
      <c r="AW18" s="714"/>
      <c r="AX18" s="714"/>
      <c r="AY18" s="714"/>
      <c r="AZ18" s="723"/>
      <c r="BA18" s="714"/>
      <c r="BB18" s="725"/>
      <c r="BC18" s="727"/>
      <c r="BD18" s="727"/>
      <c r="BE18" s="727"/>
      <c r="BF18" s="729"/>
    </row>
    <row r="19" spans="1:58" customHeight="1" ht="13.9">
      <c r="A19" s="485" t="str">
        <f>IF(B19="","",17)</f>
        <v/>
      </c>
      <c r="B19" s="68"/>
      <c r="C19" s="69"/>
      <c r="D19" s="70"/>
      <c r="E19" s="76"/>
      <c r="F19" s="70"/>
      <c r="G19" s="76"/>
      <c r="H19" s="70"/>
      <c r="I19" s="491"/>
      <c r="J19" s="491"/>
      <c r="K19" s="70"/>
      <c r="L19" s="494"/>
      <c r="M19" s="494"/>
      <c r="N19" s="76"/>
      <c r="O19" s="76"/>
      <c r="P19" s="467"/>
      <c r="Q19" s="412"/>
      <c r="R19" s="410"/>
      <c r="S19" s="242"/>
      <c r="T19" s="401"/>
      <c r="U19" s="407"/>
      <c r="V19" s="249"/>
      <c r="W19" s="401"/>
      <c r="X19" s="278"/>
      <c r="Y19" s="78"/>
      <c r="Z19" s="403"/>
      <c r="AA19" s="281"/>
      <c r="AB19" s="79"/>
      <c r="AC19" s="85"/>
      <c r="AD19" s="55" t="str">
        <f>IF(B19="","",(((C19+F19+H19+K19+Q19+N19+O19)*50))+((E19*10))+(((I19+J19+D19+G19+L19+M19+U19)*25)+(X19*25)+(Y19*25)+(Z19*25)+(AA19*25)+(AB19*40)+(AC19*50)+(R19*1)+(S19*1)+(T19*1)))</f>
        <v/>
      </c>
      <c r="AE19" s="55" t="str">
        <f>IF(B19="","",C19+F19+H19+K19+Q19+N19+O19+((I19+J19+D19+G19+U19)/2)+(R19/50)+(S19/50)+(T19/50)+(E19/5))</f>
        <v/>
      </c>
      <c r="AF19" s="56" t="str">
        <f>IF(B19="","",((AE19*50)/AD19))</f>
        <v/>
      </c>
      <c r="AG19" s="57" t="str">
        <f>IF(C19="","",((Z19)*25)/AD19)</f>
        <v/>
      </c>
      <c r="AH19" s="57" t="str">
        <f>IF(B19="","",(X19*25)/AD19)</f>
        <v/>
      </c>
      <c r="AI19" s="57" t="str">
        <f>IF(B19="","",(Y19*25)/AD19)</f>
        <v/>
      </c>
      <c r="AJ19" s="57" t="str">
        <f>IF(B19="","",(AA19*25)/AD19)</f>
        <v/>
      </c>
      <c r="AK19" s="58" t="str">
        <f>IF(B19="","",(AB19*40)/AD19)</f>
        <v/>
      </c>
      <c r="AL19" s="58" t="str">
        <f>IF(B19="","",(AC19*50)/AD19)</f>
        <v/>
      </c>
      <c r="AM19" s="59" t="str">
        <f>IF(B19="","",B19)</f>
        <v/>
      </c>
      <c r="AN19" s="233"/>
      <c r="AO19" s="82"/>
      <c r="AP19" s="234"/>
      <c r="AQ19" s="63" t="str">
        <f>IF(AN19="","",AN19/AO19)</f>
        <v/>
      </c>
      <c r="AR19" s="64" t="str">
        <f>IF(AN19="","",(AD19/AN19)/1000)</f>
        <v/>
      </c>
      <c r="AS19" s="64" t="str">
        <f>IF(AN19="","",AR19*24)</f>
        <v/>
      </c>
      <c r="AT19" s="65" t="str">
        <f>IF(AN19="","",(AD19/1000)*100%/AS19)</f>
        <v/>
      </c>
      <c r="AU19" s="64" t="str">
        <f>IF(AN19="","",(AE19/AN19))</f>
        <v/>
      </c>
      <c r="AV19" s="229" t="str">
        <f>IF(AN19="","",(AD19/AO19)/1000)</f>
        <v/>
      </c>
      <c r="AW19" s="714"/>
      <c r="AX19" s="714"/>
      <c r="AY19" s="714"/>
      <c r="AZ19" s="723"/>
      <c r="BA19" s="714"/>
      <c r="BB19" s="725"/>
      <c r="BC19" s="727"/>
      <c r="BD19" s="727"/>
      <c r="BE19" s="727"/>
      <c r="BF19" s="729"/>
    </row>
    <row r="20" spans="1:58" customHeight="1" ht="13.9">
      <c r="A20" s="485" t="str">
        <f>IF(B20="","",1+A19)</f>
        <v/>
      </c>
      <c r="B20" s="68"/>
      <c r="C20" s="69"/>
      <c r="D20" s="70"/>
      <c r="E20" s="76"/>
      <c r="F20" s="70"/>
      <c r="G20" s="76"/>
      <c r="H20" s="70"/>
      <c r="I20" s="491"/>
      <c r="J20" s="491"/>
      <c r="K20" s="70"/>
      <c r="L20" s="494"/>
      <c r="M20" s="494"/>
      <c r="N20" s="76"/>
      <c r="O20" s="76"/>
      <c r="P20" s="467"/>
      <c r="Q20" s="412"/>
      <c r="R20" s="410"/>
      <c r="S20" s="242"/>
      <c r="T20" s="401"/>
      <c r="U20" s="407"/>
      <c r="V20" s="249"/>
      <c r="W20" s="401"/>
      <c r="X20" s="278"/>
      <c r="Y20" s="78"/>
      <c r="Z20" s="403"/>
      <c r="AA20" s="281"/>
      <c r="AB20" s="79"/>
      <c r="AC20" s="85"/>
      <c r="AD20" s="55" t="str">
        <f>IF(B20="","",(((C20+F20+H20+K20+Q20+N20+O20)*50))+((E20*10))+(((I20+J20+D20+G20+L20+M20+U20)*25)+(X20*25)+(Y20*25)+(Z20*25)+(AA20*25)+(AB20*40)+(AC20*50)+(R20*1)+(S20*1)+(T20*1)))</f>
        <v/>
      </c>
      <c r="AE20" s="55" t="str">
        <f>IF(B20="","",C20+F20+H20+K20+Q20+N20+O20+((I20+J20+D20+G20+U20)/2)+(R20/50)+(S20/50)+(T20/50)+(E20/5))</f>
        <v/>
      </c>
      <c r="AF20" s="56" t="str">
        <f>IF(B20="","",((AE20*50)/AD20))</f>
        <v/>
      </c>
      <c r="AG20" s="57" t="str">
        <f>IF(C20="","",((Z20)*25)/AD20)</f>
        <v/>
      </c>
      <c r="AH20" s="57" t="str">
        <f>IF(B20="","",(X20*25)/AD20)</f>
        <v/>
      </c>
      <c r="AI20" s="57" t="str">
        <f>IF(B20="","",(Y20*25)/AD20)</f>
        <v/>
      </c>
      <c r="AJ20" s="57" t="str">
        <f>IF(B20="","",(AA20*25)/AD20)</f>
        <v/>
      </c>
      <c r="AK20" s="58" t="str">
        <f>IF(B20="","",(AB20*40)/AD20)</f>
        <v/>
      </c>
      <c r="AL20" s="58" t="str">
        <f>IF(B20="","",(AC20*50)/AD20)</f>
        <v/>
      </c>
      <c r="AM20" s="59" t="str">
        <f>IF(B20="","",B20)</f>
        <v/>
      </c>
      <c r="AN20" s="233"/>
      <c r="AO20" s="82"/>
      <c r="AP20" s="234"/>
      <c r="AQ20" s="63" t="str">
        <f>IF(AN20="","",AN20/AO20)</f>
        <v/>
      </c>
      <c r="AR20" s="64" t="str">
        <f>IF(AN20="","",(AD20/AN20)/1000)</f>
        <v/>
      </c>
      <c r="AS20" s="64" t="str">
        <f>IF(AN20="","",AR20*24)</f>
        <v/>
      </c>
      <c r="AT20" s="65" t="str">
        <f>IF(AN20="","",(AD20/1000)*100%/AS20)</f>
        <v/>
      </c>
      <c r="AU20" s="64" t="str">
        <f>IF(AN20="","",(AE20/AN20))</f>
        <v/>
      </c>
      <c r="AV20" s="229" t="str">
        <f>IF(AN20="","",(AD20/AO20)/1000)</f>
        <v/>
      </c>
      <c r="AW20" s="714"/>
      <c r="AX20" s="714"/>
      <c r="AY20" s="714"/>
      <c r="AZ20" s="723"/>
      <c r="BA20" s="714"/>
      <c r="BB20" s="725"/>
      <c r="BC20" s="727"/>
      <c r="BD20" s="727"/>
      <c r="BE20" s="727"/>
      <c r="BF20" s="729"/>
    </row>
    <row r="21" spans="1:58" customHeight="1" ht="13.9">
      <c r="A21" s="485" t="str">
        <f>IF(B21="","",1+A20)</f>
        <v/>
      </c>
      <c r="B21" s="68"/>
      <c r="C21" s="69"/>
      <c r="D21" s="70"/>
      <c r="E21" s="76"/>
      <c r="F21" s="70"/>
      <c r="G21" s="76"/>
      <c r="H21" s="70"/>
      <c r="I21" s="491"/>
      <c r="J21" s="491"/>
      <c r="K21" s="70"/>
      <c r="L21" s="494"/>
      <c r="M21" s="494"/>
      <c r="N21" s="76"/>
      <c r="O21" s="76"/>
      <c r="P21" s="467"/>
      <c r="Q21" s="412"/>
      <c r="R21" s="410"/>
      <c r="S21" s="242"/>
      <c r="T21" s="401"/>
      <c r="U21" s="407"/>
      <c r="V21" s="249"/>
      <c r="W21" s="401"/>
      <c r="X21" s="278"/>
      <c r="Y21" s="78"/>
      <c r="Z21" s="403"/>
      <c r="AA21" s="281"/>
      <c r="AB21" s="79"/>
      <c r="AC21" s="85"/>
      <c r="AD21" s="55"/>
      <c r="AE21" s="55" t="str">
        <f>IF(B21="","",C21+F21+H21+K21+Q21+N21+O21+((I21+J21+D21+G21+U21)/2)+(R21/50)+(S21/50)+(T21/50)+(E21/5))</f>
        <v/>
      </c>
      <c r="AF21" s="56" t="str">
        <f>IF(B21="","",((AE21*50)/AD21))</f>
        <v/>
      </c>
      <c r="AG21" s="57" t="str">
        <f>IF(C21="","",((Z21)*25)/AD21)</f>
        <v/>
      </c>
      <c r="AH21" s="57" t="str">
        <f>IF(B21="","",(X21*25)/AD21)</f>
        <v/>
      </c>
      <c r="AI21" s="57" t="str">
        <f>IF(B21="","",(Y21*25)/AD21)</f>
        <v/>
      </c>
      <c r="AJ21" s="57" t="str">
        <f>IF(B21="","",(AA21*25)/AD21)</f>
        <v/>
      </c>
      <c r="AK21" s="58" t="str">
        <f>IF(B21="","",(AB21*40)/AD21)</f>
        <v/>
      </c>
      <c r="AL21" s="58" t="str">
        <f>IF(B21="","",(AC21*50)/AD21)</f>
        <v/>
      </c>
      <c r="AM21" s="59" t="str">
        <f>IF(B21="","",B21)</f>
        <v/>
      </c>
      <c r="AN21" s="233"/>
      <c r="AO21" s="82"/>
      <c r="AP21" s="234"/>
      <c r="AQ21" s="63" t="str">
        <f>IF(AN21="","",AN21/AO21)</f>
        <v/>
      </c>
      <c r="AR21" s="64" t="str">
        <f>IF(AN21="","",(AD21/AN21)/1000)</f>
        <v/>
      </c>
      <c r="AS21" s="64" t="str">
        <f>IF(AN21="","",AR21*24)</f>
        <v/>
      </c>
      <c r="AT21" s="65" t="str">
        <f>IF(AN21="","",(AD21/1000)*100%/AS21)</f>
        <v/>
      </c>
      <c r="AU21" s="64" t="str">
        <f>IF(AN21="","",(AE21/AN21))</f>
        <v/>
      </c>
      <c r="AV21" s="229" t="str">
        <f>IF(AN21="","",(AD21/AO21)/1000)</f>
        <v/>
      </c>
      <c r="AW21" s="714"/>
      <c r="AX21" s="714"/>
      <c r="AY21" s="714"/>
      <c r="AZ21" s="723"/>
      <c r="BA21" s="714"/>
      <c r="BB21" s="725"/>
      <c r="BC21" s="727"/>
      <c r="BD21" s="727"/>
      <c r="BE21" s="727"/>
      <c r="BF21" s="729"/>
    </row>
    <row r="22" spans="1:58" customHeight="1" ht="13.9">
      <c r="A22" s="485" t="str">
        <f>IF(B22="","",1+A21)</f>
        <v/>
      </c>
      <c r="B22" s="68"/>
      <c r="C22" s="69"/>
      <c r="D22" s="70"/>
      <c r="E22" s="76"/>
      <c r="F22" s="70"/>
      <c r="G22" s="76"/>
      <c r="H22" s="70"/>
      <c r="I22" s="76"/>
      <c r="J22" s="76"/>
      <c r="K22" s="70"/>
      <c r="L22" s="494"/>
      <c r="M22" s="494"/>
      <c r="N22" s="76"/>
      <c r="O22" s="76"/>
      <c r="P22" s="467"/>
      <c r="Q22" s="412"/>
      <c r="R22" s="410"/>
      <c r="S22" s="242"/>
      <c r="T22" s="401"/>
      <c r="U22" s="407"/>
      <c r="V22" s="249"/>
      <c r="W22" s="401"/>
      <c r="X22" s="278"/>
      <c r="Y22" s="78"/>
      <c r="Z22" s="403"/>
      <c r="AA22" s="281"/>
      <c r="AB22" s="79"/>
      <c r="AC22" s="85"/>
      <c r="AD22" s="55" t="str">
        <f>IF(B22="","",(((C22+F22+H22+K22+Q22+N22+O22)*50))+((E22*10))+(((I22+J22+D22+G22+L22+M22+U22)*25)+(X22*25)+(Y22*25)+(Z22*25)+(AA22*25)+(AB22*40)+(AC22*50)+(R22*1)+(S22*1)+(T22*1)))</f>
        <v/>
      </c>
      <c r="AE22" s="55" t="str">
        <f>IF(B22="","",C22+F22+H22+K22+Q22+N22+O22+((I22+J22+D22+G22+U22)/2)+(R22/50)+(S22/50)+(T22/50)+(E22/5))</f>
        <v/>
      </c>
      <c r="AF22" s="56" t="str">
        <f>IF(B22="","",((AE22*50)/AD22))</f>
        <v/>
      </c>
      <c r="AG22" s="57" t="str">
        <f>IF(C22="","",((Z22)*25)/AD22)</f>
        <v/>
      </c>
      <c r="AH22" s="57" t="str">
        <f>IF(B22="","",(X22*25)/AD22)</f>
        <v/>
      </c>
      <c r="AI22" s="57" t="str">
        <f>IF(B22="","",(Y22*25)/AD22)</f>
        <v/>
      </c>
      <c r="AJ22" s="57" t="str">
        <f>IF(B22="","",(AA22*25)/AD22)</f>
        <v/>
      </c>
      <c r="AK22" s="58" t="str">
        <f>IF(B22="","",(AB22*40)/AD22)</f>
        <v/>
      </c>
      <c r="AL22" s="58" t="str">
        <f>IF(B22="","",(AC22*50)/AD22)</f>
        <v/>
      </c>
      <c r="AM22" s="59" t="str">
        <f>IF(B22="","",B22)</f>
        <v/>
      </c>
      <c r="AN22" s="233"/>
      <c r="AO22" s="82"/>
      <c r="AP22" s="234"/>
      <c r="AQ22" s="63" t="str">
        <f>IF(AN22="","",AN22/AO22)</f>
        <v/>
      </c>
      <c r="AR22" s="64" t="str">
        <f>IF(AN22="","",(AD22/AN22)/1000)</f>
        <v/>
      </c>
      <c r="AS22" s="64" t="str">
        <f>IF(AN22="","",AR22*24)</f>
        <v/>
      </c>
      <c r="AT22" s="65" t="str">
        <f>IF(AN22="","",(AD22/1000)*100%/AS22)</f>
        <v/>
      </c>
      <c r="AU22" s="64" t="str">
        <f>IF(AN22="","",(AE22/AN22))</f>
        <v/>
      </c>
      <c r="AV22" s="229" t="str">
        <f>IF(AN22="","",(AD22/AO22)/1000)</f>
        <v/>
      </c>
      <c r="AW22" s="714"/>
      <c r="AX22" s="714"/>
      <c r="AY22" s="714"/>
      <c r="AZ22" s="723"/>
      <c r="BA22" s="714"/>
      <c r="BB22" s="725"/>
      <c r="BC22" s="727"/>
      <c r="BD22" s="727"/>
      <c r="BE22" s="727"/>
      <c r="BF22" s="729"/>
    </row>
    <row r="23" spans="1:58" customHeight="1" ht="13.9">
      <c r="A23" s="485" t="str">
        <f>IF(B23="","",1+A22)</f>
        <v/>
      </c>
      <c r="B23" s="68"/>
      <c r="C23" s="69"/>
      <c r="D23" s="70"/>
      <c r="E23" s="76"/>
      <c r="F23" s="70"/>
      <c r="G23" s="76"/>
      <c r="H23" s="70"/>
      <c r="I23" s="76"/>
      <c r="J23" s="76"/>
      <c r="K23" s="70"/>
      <c r="L23" s="494"/>
      <c r="M23" s="494"/>
      <c r="N23" s="76"/>
      <c r="O23" s="76"/>
      <c r="P23" s="467"/>
      <c r="Q23" s="412"/>
      <c r="R23" s="410"/>
      <c r="S23" s="242"/>
      <c r="T23" s="401"/>
      <c r="U23" s="407"/>
      <c r="V23" s="249"/>
      <c r="W23" s="401"/>
      <c r="X23" s="278"/>
      <c r="Y23" s="78"/>
      <c r="Z23" s="403"/>
      <c r="AA23" s="281"/>
      <c r="AB23" s="79"/>
      <c r="AC23" s="85"/>
      <c r="AD23" s="55"/>
      <c r="AE23" s="55" t="str">
        <f>IF(B23="","",C23+F23+H23+K23+Q23+N23+O23+((I23+J23+D23+G23+U23)/2)+(R23/50)+(S23/50)+(T23/50)+(E23/5))</f>
        <v/>
      </c>
      <c r="AF23" s="56" t="str">
        <f>IF(B23="","",((AE23*50)/AD23))</f>
        <v/>
      </c>
      <c r="AG23" s="57" t="str">
        <f>IF(C23="","",((Z23)*25)/AD23)</f>
        <v/>
      </c>
      <c r="AH23" s="57" t="str">
        <f>IF(B23="","",(X23*25)/AD23)</f>
        <v/>
      </c>
      <c r="AI23" s="57" t="str">
        <f>IF(B23="","",(Y23*25)/AD23)</f>
        <v/>
      </c>
      <c r="AJ23" s="57" t="str">
        <f>IF(B23="","",(AA23*25)/AD23)</f>
        <v/>
      </c>
      <c r="AK23" s="58" t="str">
        <f>IF(B23="","",(AB23*40)/AD23)</f>
        <v/>
      </c>
      <c r="AL23" s="58" t="str">
        <f>IF(B23="","",(AC23*50)/AD23)</f>
        <v/>
      </c>
      <c r="AM23" s="59" t="str">
        <f>IF(B23="","",B23)</f>
        <v/>
      </c>
      <c r="AN23" s="233"/>
      <c r="AO23" s="82"/>
      <c r="AP23" s="234"/>
      <c r="AQ23" s="63" t="str">
        <f>IF(AN23="","",AN23/AO23)</f>
        <v/>
      </c>
      <c r="AR23" s="64" t="str">
        <f>IF(AN23="","",(AD23/AN23)/1000)</f>
        <v/>
      </c>
      <c r="AS23" s="64" t="str">
        <f>IF(AN23="","",AR23*24)</f>
        <v/>
      </c>
      <c r="AT23" s="65" t="str">
        <f>IF(AN23="","",(AD23/1000)*100%/AS23)</f>
        <v/>
      </c>
      <c r="AU23" s="64" t="str">
        <f>IF(AN23="","",(AE23/AN23))</f>
        <v/>
      </c>
      <c r="AV23" s="229" t="str">
        <f>IF(AN23="","",(AD23/AO23)/1000)</f>
        <v/>
      </c>
      <c r="AW23" s="714"/>
      <c r="AX23" s="714"/>
      <c r="AY23" s="714"/>
      <c r="AZ23" s="723"/>
      <c r="BA23" s="714"/>
      <c r="BB23" s="725"/>
      <c r="BC23" s="727"/>
      <c r="BD23" s="727"/>
      <c r="BE23" s="727"/>
      <c r="BF23" s="729"/>
    </row>
    <row r="24" spans="1:58" customHeight="1" ht="13.9">
      <c r="A24" s="485" t="str">
        <f>IF(B24="","",1+A23)</f>
        <v/>
      </c>
      <c r="B24" s="68"/>
      <c r="C24" s="69"/>
      <c r="D24" s="70"/>
      <c r="E24" s="76"/>
      <c r="F24" s="70"/>
      <c r="G24" s="76"/>
      <c r="H24" s="70"/>
      <c r="I24" s="76"/>
      <c r="J24" s="76"/>
      <c r="K24" s="70"/>
      <c r="L24" s="494"/>
      <c r="M24" s="494"/>
      <c r="N24" s="76"/>
      <c r="O24" s="76"/>
      <c r="P24" s="467"/>
      <c r="Q24" s="412"/>
      <c r="R24" s="410"/>
      <c r="S24" s="242"/>
      <c r="T24" s="401"/>
      <c r="U24" s="407"/>
      <c r="V24" s="249"/>
      <c r="W24" s="401"/>
      <c r="X24" s="278"/>
      <c r="Y24" s="78"/>
      <c r="Z24" s="403"/>
      <c r="AA24" s="281"/>
      <c r="AB24" s="79"/>
      <c r="AC24" s="85"/>
      <c r="AD24" s="55" t="str">
        <f>IF(B24="","",(((C24+F24+H24+K24+Q24+N24+O24)*50))+((E24*10))+(((I24+J24+D24+G24+L24+M24+U24)*25)+(X24*25)+(Y24*25)+(Z24*25)+(AA24*25)+(AB24*40)+(AC24*50)+(R24*1)+(S24*1)+(T24*1)))</f>
        <v/>
      </c>
      <c r="AE24" s="55" t="str">
        <f>IF(B24="","",C24+F24+H24+K24+Q24+N24+O24+((I24+J24+D24+G24+U24)/2)+(R24/50)+(S24/50)+(T24/50)+(E24/5))</f>
        <v/>
      </c>
      <c r="AF24" s="56" t="str">
        <f>IF(B24="","",((AE24*50)/AD24))</f>
        <v/>
      </c>
      <c r="AG24" s="57" t="str">
        <f>IF(C24="","",((Z24)*25)/AD24)</f>
        <v/>
      </c>
      <c r="AH24" s="57" t="str">
        <f>IF(B24="","",(X24*25)/AD24)</f>
        <v/>
      </c>
      <c r="AI24" s="57" t="str">
        <f>IF(B24="","",(Y24*25)/AD24)</f>
        <v/>
      </c>
      <c r="AJ24" s="57" t="str">
        <f>IF(B24="","",(AA24*25)/AD24)</f>
        <v/>
      </c>
      <c r="AK24" s="58" t="str">
        <f>IF(B24="","",(AB24*40)/AD24)</f>
        <v/>
      </c>
      <c r="AL24" s="58" t="str">
        <f>IF(B24="","",(AC24*50)/AD24)</f>
        <v/>
      </c>
      <c r="AM24" s="59" t="str">
        <f>IF(B24="","",B24)</f>
        <v/>
      </c>
      <c r="AN24" s="233"/>
      <c r="AO24" s="82"/>
      <c r="AP24" s="234"/>
      <c r="AQ24" s="63" t="str">
        <f>IF(AN24="","",AN24/AO24)</f>
        <v/>
      </c>
      <c r="AR24" s="64" t="str">
        <f>IF(AN24="","",(AD24/AN24)/1000)</f>
        <v/>
      </c>
      <c r="AS24" s="64" t="str">
        <f>IF(AN24="","",AR24*24)</f>
        <v/>
      </c>
      <c r="AT24" s="65" t="str">
        <f>IF(AN24="","",(AD24/1000)*100%/AS24)</f>
        <v/>
      </c>
      <c r="AU24" s="64" t="str">
        <f>IF(AN24="","",(AE24/AN24))</f>
        <v/>
      </c>
      <c r="AV24" s="229" t="str">
        <f>IF(AN24="","",(AD24/AO24)/1000)</f>
        <v/>
      </c>
      <c r="AW24" s="714"/>
      <c r="AX24" s="714"/>
      <c r="AY24" s="714"/>
      <c r="AZ24" s="723"/>
      <c r="BA24" s="714"/>
      <c r="BB24" s="725"/>
      <c r="BC24" s="727"/>
      <c r="BD24" s="727"/>
      <c r="BE24" s="727"/>
      <c r="BF24" s="729"/>
    </row>
    <row r="25" spans="1:58" customHeight="1" ht="13.9">
      <c r="A25" s="485"/>
      <c r="B25" s="68"/>
      <c r="C25" s="415"/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/>
      <c r="S25" s="242"/>
      <c r="T25" s="401"/>
      <c r="U25" s="407"/>
      <c r="V25" s="249"/>
      <c r="W25" s="401"/>
      <c r="X25" s="278"/>
      <c r="Y25" s="78"/>
      <c r="Z25" s="403"/>
      <c r="AA25" s="281"/>
      <c r="AB25" s="79"/>
      <c r="AC25" s="85"/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str">
        <f>IF(C25="","",((Z25)*25)/AD25)</f>
        <v/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492" t="str">
        <f>IF(AN25="","",(AD25/AO25)/1000)</f>
        <v/>
      </c>
      <c r="AW25" s="714"/>
      <c r="AX25" s="714"/>
      <c r="AY25" s="714"/>
      <c r="AZ25" s="723"/>
      <c r="BA25" s="714"/>
      <c r="BB25" s="725"/>
      <c r="BC25" s="727"/>
      <c r="BD25" s="727"/>
      <c r="BE25" s="727"/>
      <c r="BF25" s="729"/>
    </row>
    <row r="26" spans="1:58" customHeight="1" ht="13.9">
      <c r="A26" s="485"/>
      <c r="B26" s="68"/>
      <c r="C26" s="69"/>
      <c r="D26" s="70"/>
      <c r="E26" s="76"/>
      <c r="F26" s="70"/>
      <c r="G26" s="76"/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/>
      <c r="S26" s="242"/>
      <c r="T26" s="401"/>
      <c r="U26" s="407"/>
      <c r="V26" s="249"/>
      <c r="W26" s="401"/>
      <c r="X26" s="278"/>
      <c r="Y26" s="78"/>
      <c r="Z26" s="403"/>
      <c r="AA26" s="281"/>
      <c r="AB26" s="79"/>
      <c r="AC26" s="85"/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str">
        <f>IF(C26="","",((Z26)*25)/AD26)</f>
        <v/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229" t="str">
        <f>IF(AN26="","",(AD26/AO26)/1000)</f>
        <v/>
      </c>
      <c r="AW26" s="714"/>
      <c r="AX26" s="714"/>
      <c r="AY26" s="714"/>
      <c r="AZ26" s="723"/>
      <c r="BA26" s="714"/>
      <c r="BB26" s="725"/>
      <c r="BC26" s="727"/>
      <c r="BD26" s="727"/>
      <c r="BE26" s="727"/>
      <c r="BF26" s="729"/>
    </row>
    <row r="27" spans="1:58" customHeight="1" ht="13.9">
      <c r="A27" s="485"/>
      <c r="B27" s="68"/>
      <c r="C27" s="69"/>
      <c r="D27" s="70"/>
      <c r="E27" s="76"/>
      <c r="F27" s="70"/>
      <c r="G27" s="76"/>
      <c r="H27" s="70"/>
      <c r="I27" s="76"/>
      <c r="J27" s="76"/>
      <c r="K27" s="70"/>
      <c r="L27" s="494"/>
      <c r="M27" s="494"/>
      <c r="N27" s="76"/>
      <c r="O27" s="76"/>
      <c r="P27" s="467"/>
      <c r="Q27" s="412"/>
      <c r="R27" s="410"/>
      <c r="S27" s="242"/>
      <c r="T27" s="401"/>
      <c r="U27" s="407"/>
      <c r="V27" s="249"/>
      <c r="W27" s="401"/>
      <c r="X27" s="278"/>
      <c r="Y27" s="78"/>
      <c r="Z27" s="403"/>
      <c r="AA27" s="281"/>
      <c r="AB27" s="79"/>
      <c r="AC27" s="85"/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str">
        <f>IF(C27="","",((Z27)*25)/AD27)</f>
        <v/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23"/>
      <c r="BA27" s="714"/>
      <c r="BB27" s="725"/>
      <c r="BC27" s="727"/>
      <c r="BD27" s="727"/>
      <c r="BE27" s="727"/>
      <c r="BF27" s="729"/>
    </row>
    <row r="28" spans="1:58">
      <c r="A28" s="41"/>
      <c r="B28" s="68"/>
      <c r="C28" s="69"/>
      <c r="D28" s="70"/>
      <c r="E28" s="76"/>
      <c r="F28" s="70"/>
      <c r="G28" s="76"/>
      <c r="H28" s="70"/>
      <c r="I28" s="75"/>
      <c r="J28" s="75"/>
      <c r="K28" s="70"/>
      <c r="L28" s="494"/>
      <c r="M28" s="494"/>
      <c r="N28" s="76"/>
      <c r="O28" s="76"/>
      <c r="P28" s="467"/>
      <c r="Q28" s="412"/>
      <c r="R28" s="410"/>
      <c r="S28" s="242"/>
      <c r="T28" s="401"/>
      <c r="U28" s="407"/>
      <c r="V28" s="249"/>
      <c r="W28" s="401"/>
      <c r="X28" s="278"/>
      <c r="Y28" s="78"/>
      <c r="Z28" s="403"/>
      <c r="AA28" s="281"/>
      <c r="AB28" s="79"/>
      <c r="AC28" s="85"/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str">
        <f>IF(C28="","",((Z28)*25)/AD28)</f>
        <v/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23"/>
      <c r="BA28" s="714"/>
      <c r="BB28" s="725"/>
      <c r="BC28" s="727"/>
      <c r="BD28" s="727"/>
      <c r="BE28" s="727"/>
      <c r="BF28" s="729"/>
    </row>
    <row r="29" spans="1:58">
      <c r="A29" s="41"/>
      <c r="B29" s="68"/>
      <c r="C29" s="69"/>
      <c r="D29" s="70"/>
      <c r="E29" s="76"/>
      <c r="F29" s="70"/>
      <c r="G29" s="430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/>
      <c r="S29" s="242"/>
      <c r="T29" s="401"/>
      <c r="U29" s="407"/>
      <c r="V29" s="249"/>
      <c r="W29" s="401"/>
      <c r="X29" s="278"/>
      <c r="Y29" s="78"/>
      <c r="Z29" s="403"/>
      <c r="AA29" s="281"/>
      <c r="AB29" s="79"/>
      <c r="AC29" s="85"/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str">
        <f>IF(C29="","",((Z29)*25)/AD29)</f>
        <v/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23"/>
      <c r="BA29" s="714"/>
      <c r="BB29" s="725"/>
      <c r="BC29" s="727"/>
      <c r="BD29" s="727"/>
      <c r="BE29" s="727"/>
      <c r="BF29" s="729"/>
    </row>
    <row r="30" spans="1:58">
      <c r="A30" s="41" t="str">
        <f>IF(B30="","",1+A29)</f>
        <v/>
      </c>
      <c r="B30" s="425"/>
      <c r="C30" s="426"/>
      <c r="D30" s="427"/>
      <c r="E30" s="428"/>
      <c r="F30" s="460"/>
      <c r="G30" s="459"/>
      <c r="H30" s="427"/>
      <c r="I30" s="429"/>
      <c r="J30" s="429"/>
      <c r="K30" s="427"/>
      <c r="L30" s="495"/>
      <c r="M30" s="495"/>
      <c r="N30" s="430"/>
      <c r="O30" s="430"/>
      <c r="P30" s="468"/>
      <c r="Q30" s="431"/>
      <c r="R30" s="432"/>
      <c r="S30" s="433"/>
      <c r="T30" s="434"/>
      <c r="U30" s="435"/>
      <c r="V30" s="436"/>
      <c r="W30" s="434"/>
      <c r="X30" s="279"/>
      <c r="Y30" s="437"/>
      <c r="Z30" s="438"/>
      <c r="AA30" s="439"/>
      <c r="AB30" s="440"/>
      <c r="AC30" s="441"/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str">
        <f>IF(C30="","",((Z30)*25)/AD30)</f>
        <v/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443"/>
      <c r="AO30" s="444"/>
      <c r="AP30" s="445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23"/>
      <c r="BA30" s="714"/>
      <c r="BB30" s="725"/>
      <c r="BC30" s="727"/>
      <c r="BD30" s="727"/>
      <c r="BE30" s="727"/>
      <c r="BF30" s="729"/>
    </row>
    <row r="31" spans="1:58">
      <c r="A31" s="41" t="str">
        <f>IF(B31="","",1+A30)</f>
        <v/>
      </c>
      <c r="B31" s="425"/>
      <c r="C31" s="426"/>
      <c r="D31" s="427"/>
      <c r="E31" s="428"/>
      <c r="F31" s="460"/>
      <c r="G31" s="428"/>
      <c r="H31" s="427"/>
      <c r="I31" s="429"/>
      <c r="J31" s="429"/>
      <c r="K31" s="427"/>
      <c r="L31" s="495"/>
      <c r="M31" s="495"/>
      <c r="N31" s="430"/>
      <c r="O31" s="430"/>
      <c r="P31" s="468"/>
      <c r="Q31" s="431"/>
      <c r="R31" s="432"/>
      <c r="S31" s="433"/>
      <c r="T31" s="434"/>
      <c r="U31" s="435"/>
      <c r="V31" s="436"/>
      <c r="W31" s="434"/>
      <c r="X31" s="279"/>
      <c r="Y31" s="437"/>
      <c r="Z31" s="438"/>
      <c r="AA31" s="439"/>
      <c r="AB31" s="440"/>
      <c r="AC31" s="441"/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str">
        <f>IF(C31="","",((Z31)*25)/AD31)</f>
        <v/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23"/>
      <c r="BA31" s="714"/>
      <c r="BB31" s="725"/>
      <c r="BC31" s="727"/>
      <c r="BD31" s="727"/>
      <c r="BE31" s="727"/>
      <c r="BF31" s="729"/>
    </row>
    <row r="32" spans="1:58">
      <c r="A32" s="41" t="str">
        <f>IF(B32="","",1+A31)</f>
        <v/>
      </c>
      <c r="B32" s="425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/>
      <c r="S32" s="433"/>
      <c r="T32" s="434"/>
      <c r="U32" s="435"/>
      <c r="V32" s="436"/>
      <c r="W32" s="434"/>
      <c r="X32" s="279"/>
      <c r="Y32" s="437"/>
      <c r="Z32" s="438"/>
      <c r="AA32" s="439"/>
      <c r="AB32" s="440"/>
      <c r="AC32" s="441"/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23"/>
      <c r="BA32" s="714"/>
      <c r="BB32" s="725"/>
      <c r="BC32" s="727"/>
      <c r="BD32" s="727"/>
      <c r="BE32" s="727"/>
      <c r="BF32" s="729"/>
    </row>
    <row r="33" spans="1:58">
      <c r="A33" s="41" t="str">
        <f>IF(B33="","",1+A32)</f>
        <v/>
      </c>
      <c r="B33" s="425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23"/>
      <c r="BA33" s="714"/>
      <c r="BB33" s="725"/>
      <c r="BC33" s="727"/>
      <c r="BD33" s="727"/>
      <c r="BE33" s="727"/>
      <c r="BF33" s="729"/>
    </row>
    <row r="34" spans="1:58">
      <c r="A34" s="41" t="str">
        <f>IF(B34="","",1+A33)</f>
        <v/>
      </c>
      <c r="B34" s="442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452"/>
      <c r="AX34" s="452"/>
      <c r="AY34" s="452"/>
      <c r="AZ34" s="144"/>
      <c r="BA34" s="452"/>
      <c r="BB34" s="455"/>
      <c r="BC34" s="142"/>
      <c r="BD34" s="142"/>
      <c r="BE34" s="142"/>
      <c r="BF34" s="283"/>
    </row>
    <row r="35" spans="1:58">
      <c r="A35" s="41" t="str">
        <f>IF(B35="","",1+A34)</f>
        <v/>
      </c>
      <c r="B35" s="95"/>
      <c r="C35" s="96"/>
      <c r="D35" s="387"/>
      <c r="E35" s="250"/>
      <c r="F35" s="461"/>
      <c r="G35" s="100"/>
      <c r="H35" s="97"/>
      <c r="I35" s="101"/>
      <c r="J35" s="101"/>
      <c r="K35" s="97"/>
      <c r="L35" s="496"/>
      <c r="M35" s="496"/>
      <c r="N35" s="102"/>
      <c r="O35" s="102"/>
      <c r="P35" s="469"/>
      <c r="Q35" s="413"/>
      <c r="R35" s="411"/>
      <c r="S35" s="243"/>
      <c r="T35" s="402"/>
      <c r="U35" s="408"/>
      <c r="V35" s="250"/>
      <c r="W35" s="402"/>
      <c r="X35" s="400"/>
      <c r="Y35" s="104"/>
      <c r="Z35" s="404"/>
      <c r="AA35" s="282"/>
      <c r="AB35" s="105"/>
      <c r="AC35" s="106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6"/>
      <c r="AO35" s="447"/>
      <c r="AP35" s="383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3"/>
      <c r="AX35" s="453"/>
      <c r="AY35" s="453"/>
      <c r="AZ35" s="454"/>
      <c r="BA35" s="453"/>
      <c r="BB35" s="456"/>
      <c r="BC35" s="457"/>
      <c r="BD35" s="457"/>
      <c r="BE35" s="457"/>
      <c r="BF35" s="458"/>
    </row>
    <row r="36" spans="1:58">
      <c r="A36" s="114"/>
      <c r="B36" s="115" t="s">
        <v>67</v>
      </c>
      <c r="C36" s="536">
        <f>SUM(C4:C35)</f>
        <v>0</v>
      </c>
      <c r="D36" s="536">
        <f>SUM(D4:D35)</f>
        <v>0</v>
      </c>
      <c r="E36" s="536">
        <f>SUM(E4:E35)</f>
        <v>0</v>
      </c>
      <c r="F36" s="536">
        <f>SUM(F4:F35)</f>
        <v>0</v>
      </c>
      <c r="G36" s="536">
        <f>SUM(G4:G35)</f>
        <v>0</v>
      </c>
      <c r="H36" s="536">
        <f>SUM(H4:H35)</f>
        <v>0</v>
      </c>
      <c r="I36" s="536">
        <f>SUM(I4:I35)</f>
        <v>0</v>
      </c>
      <c r="J36" s="536">
        <f>SUM(J4:J35)</f>
        <v>0</v>
      </c>
      <c r="K36" s="536">
        <f>SUM(K4:K35)</f>
        <v>0</v>
      </c>
      <c r="L36" s="535">
        <f>SUM(L4:L35)</f>
        <v>0</v>
      </c>
      <c r="M36" s="535">
        <f>SUM(M4:M35)</f>
        <v>0</v>
      </c>
      <c r="N36" s="535">
        <f>SUM(N4:N35)</f>
        <v>0</v>
      </c>
      <c r="O36" s="535">
        <f>SUM(O4:O35)</f>
        <v>0</v>
      </c>
      <c r="P36" s="535">
        <f>SUM(P4:P35)</f>
        <v>0</v>
      </c>
      <c r="Q36" s="536">
        <f>SUM(Q4:Q35)</f>
        <v>0</v>
      </c>
      <c r="R36" s="536">
        <f>SUM(R4:R35)</f>
        <v>0</v>
      </c>
      <c r="S36" s="536">
        <f>SUM(S4:S35)</f>
        <v>0</v>
      </c>
      <c r="T36" s="536">
        <f>SUM(T4:T35)</f>
        <v>0</v>
      </c>
      <c r="U36" s="535">
        <f>SUM(U4:U35)</f>
        <v>0</v>
      </c>
      <c r="V36" s="535">
        <f>SUM(V4:V35)</f>
        <v>0</v>
      </c>
      <c r="W36" s="535">
        <f>SUM(W4:W35)</f>
        <v>0</v>
      </c>
      <c r="X36" s="535">
        <f>SUM(X4:X35)</f>
        <v>0</v>
      </c>
      <c r="Y36" s="535">
        <f>SUM(Y4:Y35)</f>
        <v>0</v>
      </c>
      <c r="Z36" s="535">
        <f>SUM(Z4:Z35)</f>
        <v>0</v>
      </c>
      <c r="AA36" s="536">
        <f>SUM(AA4:AA35)</f>
        <v>0</v>
      </c>
      <c r="AB36" s="536">
        <f>SUM(AB4:AB35)</f>
        <v>0</v>
      </c>
      <c r="AC36" s="536">
        <f>SUM(AC4:AC35)</f>
        <v>0</v>
      </c>
      <c r="AD36" s="117">
        <f>SUM(AD4:AD35)</f>
        <v>0</v>
      </c>
      <c r="AE36" s="118">
        <f>SUM(AE4:AE35)</f>
        <v>0</v>
      </c>
      <c r="AF36" s="119" t="str">
        <f>IF(AD40=0,"",(AE36*50)/AD36)</f>
        <v/>
      </c>
      <c r="AG36" s="120" t="str">
        <f>IF(AD40=0,"",(Z36*50)/AD36)</f>
        <v/>
      </c>
      <c r="AH36" s="6" t="str">
        <f>IF(AD40=0,"",(X36*25)/AD36)</f>
        <v/>
      </c>
      <c r="AI36" s="119" t="str">
        <f>IF(AD40=0,"",(Y36*25)/AD36)</f>
        <v/>
      </c>
      <c r="AJ36" s="119" t="str">
        <f>IF(AD40=0,"",(AA36*25)/AD36)</f>
        <v/>
      </c>
      <c r="AK36" s="119" t="str">
        <f>IF(AD40=0,"",(AB36*40)/AD36)</f>
        <v/>
      </c>
      <c r="AL36" s="119" t="str">
        <f>IF(AD40=0,"",(AC36*50)/AD36)</f>
        <v/>
      </c>
      <c r="AM36" s="115" t="s">
        <v>67</v>
      </c>
      <c r="AN36" s="121">
        <f>SUM(AN4:AN35)</f>
        <v>0</v>
      </c>
      <c r="AO36" s="121">
        <f>SUM(AO4:AO35)</f>
        <v>0</v>
      </c>
      <c r="AP36" s="121">
        <f>SUM(AP4:AP35)</f>
        <v>0</v>
      </c>
      <c r="AQ36" s="122" t="str">
        <f>IF(AN36=0,"",AN36/AO36)</f>
        <v/>
      </c>
      <c r="AR36" s="122" t="str">
        <f>IF(AN36=0,"",(AD36/AN36)/1000)</f>
        <v/>
      </c>
      <c r="AS36" s="121" t="str">
        <f>IF(AN36=0,"",AR36*24)</f>
        <v/>
      </c>
      <c r="AT36" s="123" t="str">
        <f>IF(AN36=0,"",AD40/(AS36*26))</f>
        <v/>
      </c>
      <c r="AU36" s="121" t="str">
        <f>IF(AN36=0,"",(AE36/AN36))</f>
        <v/>
      </c>
      <c r="AV36" s="122" t="str">
        <f>IF(AO36=0,"",(AD36/AO36)/1000)</f>
        <v/>
      </c>
      <c r="AW36" s="124">
        <f>SUM(AW4:AW35)/1000</f>
        <v>0</v>
      </c>
      <c r="AX36" s="124">
        <f>SUM(AX4:AX35)/1000</f>
        <v>0</v>
      </c>
      <c r="AY36" s="124">
        <f>SUM(AY4:AY35)/1000</f>
        <v>0</v>
      </c>
      <c r="AZ36" s="124">
        <f>SUM(AZ4)</f>
        <v>0</v>
      </c>
      <c r="BA36" s="124">
        <f>SUM(BA4:BA35)</f>
        <v>0</v>
      </c>
      <c r="BB36" s="124">
        <f>SUM(BB4:BB35)</f>
        <v>0</v>
      </c>
      <c r="BC36" s="1">
        <f>SUM(BC4:BC35)/1000</f>
        <v>0</v>
      </c>
      <c r="BD36" s="1">
        <f>SUM(BD4:BD35)/1000</f>
        <v>0</v>
      </c>
      <c r="BE36" s="1">
        <f>SUM(BE4:BE35)/1000</f>
        <v>0</v>
      </c>
      <c r="BF36" s="1">
        <f>SUM(BF4:BF35)/1000</f>
        <v>0</v>
      </c>
    </row>
    <row r="37" spans="1:58">
      <c r="B37" s="115" t="s">
        <v>68</v>
      </c>
      <c r="C37" s="116" t="str">
        <f>IF(C36=0,"",AVERAGE(C4:C35))</f>
        <v/>
      </c>
      <c r="D37" s="116" t="str">
        <f>IF(D36=0,"",AVERAGE(D4:D35))</f>
        <v/>
      </c>
      <c r="E37" s="116" t="str">
        <f>IF(E36=0,"",AVERAGE(E4:E35))</f>
        <v/>
      </c>
      <c r="F37" s="116" t="str">
        <f>IF(F36=0,"",AVERAGE(F4:F35))</f>
        <v/>
      </c>
      <c r="G37" s="116" t="str">
        <f>IF(G36=0,"",AVERAGE(G4:G35))</f>
        <v/>
      </c>
      <c r="H37" s="116" t="str">
        <f>IF(H36=0,"",AVERAGE(H4:H35))</f>
        <v/>
      </c>
      <c r="I37" s="116" t="str">
        <f>IF(I36=0,"",AVERAGE(I4:I35))</f>
        <v/>
      </c>
      <c r="J37" s="116" t="str">
        <f>IF(J36=0,"",AVERAGE(J4:J35))</f>
        <v/>
      </c>
      <c r="K37" s="116" t="str">
        <f>IF(K36=0,"",AVERAGE(K4:K35))</f>
        <v/>
      </c>
      <c r="L37" s="116"/>
      <c r="M37" s="116"/>
      <c r="N37" s="116" t="str">
        <f>IF(N36=0,"",AVERAGE(N4:N35))</f>
        <v/>
      </c>
      <c r="O37" s="116" t="str">
        <f>IF(O36=0,"",AVERAGE(O4:O35))</f>
        <v/>
      </c>
      <c r="P37" s="116" t="str">
        <f>IF(P36=0,"",AVERAGE(P4:P35))</f>
        <v/>
      </c>
      <c r="Q37" s="116" t="str">
        <f>IF(Q36=0,"",AVERAGE(Q4:Q35))</f>
        <v/>
      </c>
      <c r="R37" s="116" t="str">
        <f>IF(R36=0,"",AVERAGE(R4:R35))</f>
        <v/>
      </c>
      <c r="S37" s="116" t="str">
        <f>IF(S36=0,"",AVERAGE(S4:S35))</f>
        <v/>
      </c>
      <c r="T37" s="116" t="str">
        <f>IF(T36=0,"",AVERAGE(T4:T35))</f>
        <v/>
      </c>
      <c r="U37" s="116" t="str">
        <f>IF(U36=0,"",AVERAGE(U4:U35))</f>
        <v/>
      </c>
      <c r="V37" s="116" t="str">
        <f>IF(V36=0,"",AVERAGE(V4:V35))</f>
        <v/>
      </c>
      <c r="W37" s="116" t="str">
        <f>IF(W36=0,"",AVERAGE(W4:W35))</f>
        <v/>
      </c>
      <c r="X37" s="116" t="str">
        <f>IF(X36=0,"",AVERAGE(X4:X35))</f>
        <v/>
      </c>
      <c r="Y37" s="116" t="str">
        <f>IF(Y36=0,"",AVERAGE(Y4:Y35))</f>
        <v/>
      </c>
      <c r="Z37" s="116" t="str">
        <f>IF(Z36=0,"",AVERAGE(Z4:Z35))</f>
        <v/>
      </c>
      <c r="AA37" s="116" t="str">
        <f>IF(AA36=0,"",AVERAGE(AA4:AA35))</f>
        <v/>
      </c>
      <c r="AB37" s="116" t="str">
        <f>IF(AB36=0,"",AVERAGE(AB4:AB35))</f>
        <v/>
      </c>
      <c r="AC37" s="116" t="str">
        <f>IF(AC36=0,"",AVERAGE(AC4:AC35))</f>
        <v/>
      </c>
      <c r="AE37" s="7"/>
      <c r="AG37" s="119"/>
      <c r="AJ37" s="6"/>
      <c r="AK37" s="6"/>
      <c r="AL37" s="6"/>
      <c r="AM37" s="115" t="s">
        <v>68</v>
      </c>
      <c r="AN37" s="121" t="str">
        <f>IF(AN36=0,"",AVERAGE(AN4:AN35))</f>
        <v/>
      </c>
      <c r="AO37" s="121" t="str">
        <f>IF(AO36=0,"",AVERAGE(AO4:AO35))</f>
        <v/>
      </c>
      <c r="AP37" s="121" t="str">
        <f>IF(AP36=0,"",AVERAGE(AP4:AP35))</f>
        <v/>
      </c>
      <c r="AQ37" s="122" t="str">
        <f>IF(AQ36="","",AVERAGE(AQ4:AQ35))</f>
        <v/>
      </c>
      <c r="AR37" s="122" t="str">
        <f>IF(AR36="","",AVERAGE(AR4:AR35))</f>
        <v/>
      </c>
      <c r="AS37" s="121" t="str">
        <f>IF(AS36="","",AVERAGE(AS4:AS35))</f>
        <v/>
      </c>
      <c r="AT37" s="123" t="str">
        <f>IF(AT36="","",AVERAGE(AT4:AT35))</f>
        <v/>
      </c>
      <c r="AU37" s="121" t="str">
        <f>IF(AU36="","",AVERAGE(AU4:AU35))</f>
        <v/>
      </c>
      <c r="AV37" s="122" t="str">
        <f>IF(AV36="","",AVERAGE(AV4:AV35))</f>
        <v/>
      </c>
      <c r="AW37" s="122"/>
      <c r="AX37" s="122"/>
      <c r="AY37" s="122"/>
      <c r="AZ37" s="122"/>
      <c r="BA37" s="122"/>
    </row>
    <row r="38" spans="1:58" customHeight="1" ht="23.85">
      <c r="B38" s="115" t="s">
        <v>69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C38" s="125"/>
      <c r="AD38" s="697" t="s">
        <v>70</v>
      </c>
      <c r="AE38" s="697"/>
      <c r="AF38" s="6"/>
      <c r="AG38" s="119"/>
      <c r="AH38" s="6"/>
      <c r="AI38" s="6"/>
      <c r="AJ38" s="6"/>
      <c r="AK38" s="6"/>
      <c r="AL38" s="6"/>
      <c r="AM38" s="6"/>
      <c r="AN38" s="121"/>
      <c r="AO38" s="121"/>
      <c r="AP38" s="121"/>
      <c r="AQ38" s="121"/>
      <c r="AR38" s="116"/>
      <c r="AS38" s="123"/>
      <c r="AT38" s="123"/>
      <c r="AU38" s="121"/>
    </row>
    <row r="39" spans="1:58">
      <c r="B39" s="115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25"/>
      <c r="AE39" s="697" t="s">
        <v>71</v>
      </c>
      <c r="AF39" s="697"/>
      <c r="AG39" s="119"/>
      <c r="AH39" s="127"/>
      <c r="AI39" s="127"/>
      <c r="AJ39" s="6"/>
      <c r="AK39" s="6"/>
      <c r="AL39" s="6"/>
      <c r="AM39" s="6"/>
      <c r="AN39" s="121"/>
      <c r="AO39" s="121"/>
      <c r="AP39" s="121"/>
      <c r="AQ39" s="121"/>
      <c r="AR39" s="121"/>
      <c r="AS39" s="116"/>
      <c r="AT39" s="123"/>
      <c r="AU39" s="116"/>
      <c r="AV39" s="121"/>
    </row>
    <row r="40" spans="1:58">
      <c r="A40" s="137"/>
      <c r="B40" s="499" t="s">
        <v>67</v>
      </c>
      <c r="C40" s="476">
        <f>SUM(C4:C35)</f>
        <v>0</v>
      </c>
      <c r="D40" s="476">
        <f>SUM(D4:D35)</f>
        <v>0</v>
      </c>
      <c r="E40" s="476">
        <f>SUM(E4:E35)</f>
        <v>0</v>
      </c>
      <c r="F40" s="476">
        <f>SUM(F4:F35)</f>
        <v>0</v>
      </c>
      <c r="G40" s="476">
        <f>SUM(G4:G35)</f>
        <v>0</v>
      </c>
      <c r="H40" s="476">
        <f>SUM(H4:H35)</f>
        <v>0</v>
      </c>
      <c r="I40" s="476">
        <f>SUM(I4:I35)</f>
        <v>0</v>
      </c>
      <c r="J40" s="476">
        <f>SUM(J4:J35)</f>
        <v>0</v>
      </c>
      <c r="K40" s="476">
        <f>SUM(K4:K35)</f>
        <v>0</v>
      </c>
      <c r="L40" s="476">
        <f>SUM(L4:L35)</f>
        <v>0</v>
      </c>
      <c r="M40" s="476">
        <f>SUM(M4:M35)</f>
        <v>0</v>
      </c>
      <c r="N40" s="476">
        <f>SUM(N4:N35)</f>
        <v>0</v>
      </c>
      <c r="O40" s="476">
        <f>SUM(O4:O35)</f>
        <v>0</v>
      </c>
      <c r="P40" s="476">
        <f>SUM(P4:P35)</f>
        <v>0</v>
      </c>
      <c r="Q40" s="476">
        <f>SUM(Q4:Q35)</f>
        <v>0</v>
      </c>
      <c r="R40" s="476">
        <f>SUM(R4:R35)</f>
        <v>0</v>
      </c>
      <c r="S40" s="476">
        <f>SUM(S4:S35)</f>
        <v>0</v>
      </c>
      <c r="T40" s="476">
        <f>SUM(T4:T35)</f>
        <v>0</v>
      </c>
      <c r="U40" s="476">
        <f>SUM(U4:U35)</f>
        <v>0</v>
      </c>
      <c r="V40" s="476">
        <f>SUM(V4:V35)</f>
        <v>0</v>
      </c>
      <c r="W40" s="476">
        <f>SUM(W4:W35)</f>
        <v>0</v>
      </c>
      <c r="X40" s="476">
        <f>SUM(X4:X35)</f>
        <v>0</v>
      </c>
      <c r="Y40" s="476">
        <f>SUM(Y4:Y35)</f>
        <v>0</v>
      </c>
      <c r="Z40" s="476">
        <f>SUM(Z4:Z35)</f>
        <v>0</v>
      </c>
      <c r="AA40" s="476">
        <f>SUM(AA4:AA35)</f>
        <v>0</v>
      </c>
      <c r="AB40" s="476">
        <f>SUM(AB4:AB35)</f>
        <v>0</v>
      </c>
      <c r="AC40" s="476">
        <f>SUM(AC4:AC35)</f>
        <v>0</v>
      </c>
      <c r="AD40" s="534">
        <f>AD36/1000</f>
        <v>0</v>
      </c>
      <c r="AE40" s="6"/>
      <c r="AF40" s="6"/>
      <c r="AG40" s="119"/>
      <c r="AH40" s="6"/>
      <c r="AI40" s="6"/>
      <c r="AJ40" s="6"/>
      <c r="AK40" s="6"/>
      <c r="AL40" s="115"/>
      <c r="AM40" s="115"/>
      <c r="AN40" s="121"/>
      <c r="AO40" s="121"/>
      <c r="AP40" s="121"/>
      <c r="AQ40" s="116"/>
      <c r="AR40" s="123"/>
      <c r="AS40" s="116"/>
      <c r="AT40" s="128"/>
    </row>
    <row r="41" spans="1:58"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4"/>
      <c r="AB41" s="7"/>
      <c r="AC41" s="6"/>
      <c r="AD41" s="6"/>
      <c r="AE41" s="115"/>
      <c r="AF41" s="121"/>
      <c r="AG41" s="129"/>
      <c r="AH41" s="121"/>
      <c r="AI41" s="121"/>
      <c r="AJ41" s="121"/>
      <c r="AK41" s="121"/>
      <c r="AL41" s="121"/>
      <c r="AM41" s="121"/>
      <c r="AN41" s="116"/>
      <c r="AO41" s="121"/>
    </row>
    <row r="42" spans="1:58">
      <c r="A42" s="130" t="s">
        <v>72</v>
      </c>
      <c r="B42" s="226"/>
      <c r="C42" s="131"/>
      <c r="D42" s="75"/>
      <c r="E42" s="75"/>
      <c r="F42" s="75"/>
      <c r="G42" s="75"/>
      <c r="H42" s="75"/>
      <c r="I42" s="72"/>
      <c r="J42" s="71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249"/>
      <c r="V42" s="71"/>
      <c r="W42" s="75"/>
      <c r="X42" s="79"/>
      <c r="Y42" s="79"/>
      <c r="Z42" s="79"/>
      <c r="AA42" s="79"/>
      <c r="AB42" s="79"/>
      <c r="AC42" s="85"/>
      <c r="AD42" s="55">
        <f>(Z42+AA42)*25.8</f>
        <v>0</v>
      </c>
      <c r="AE42" s="55">
        <f>Z42</f>
        <v>0</v>
      </c>
      <c r="AF42" s="56" t="str">
        <f>IF(B42="","",((AE42*25)/AD42))</f>
        <v/>
      </c>
      <c r="AG42" s="57" t="str">
        <f>IF(B42="","",((Z42)*25)/AD42)</f>
        <v/>
      </c>
      <c r="AH42" s="57" t="str">
        <f>IF(B42="","",(X42*25)/AD42)</f>
        <v/>
      </c>
      <c r="AI42" s="57" t="str">
        <f>IF(B42="","",(Y42*25)/AD42)</f>
        <v/>
      </c>
      <c r="AJ42" s="57" t="str">
        <f>IF(B42="","",(AA42*25)/AD42)</f>
        <v/>
      </c>
      <c r="AK42" s="58" t="str">
        <f>IF(B42="","",(AB42*40)/AD42)</f>
        <v/>
      </c>
      <c r="AL42" s="58" t="str">
        <f>IF(B42="","",(AC42*50)/AD42)</f>
        <v/>
      </c>
      <c r="AM42" s="59" t="str">
        <f>IF(B42="","",B42)</f>
        <v/>
      </c>
      <c r="AN42" s="81"/>
      <c r="AO42" s="94"/>
      <c r="AP42" s="83"/>
      <c r="AQ42" s="63" t="str">
        <f>IF(AN42="","",AN42/AO42)</f>
        <v/>
      </c>
      <c r="AR42" s="64" t="str">
        <f>IF(AN42="","",(AD42/AN42)/1000)</f>
        <v/>
      </c>
      <c r="AS42" s="64" t="str">
        <f>IF(AN42="","",AR42*24)</f>
        <v/>
      </c>
      <c r="AT42" s="65" t="str">
        <f>IF(AN42="","",(AD42/1000)*100%/AS42)</f>
        <v/>
      </c>
      <c r="AU42" s="64" t="str">
        <f>IF(AN42="","",(AE42/AN42))</f>
        <v/>
      </c>
      <c r="AV42" s="66" t="str">
        <f>IF(AN42="","",(AD42/AO42)/1000)</f>
        <v/>
      </c>
      <c r="AW42" s="389"/>
      <c r="AX42" s="390"/>
      <c r="AY42" s="390"/>
      <c r="AZ42" s="391"/>
      <c r="BA42" s="391"/>
      <c r="BB42" s="392"/>
      <c r="BC42" s="368"/>
      <c r="BD42" s="368"/>
      <c r="BE42" s="368"/>
      <c r="BF42" s="393"/>
    </row>
    <row r="43" spans="1:58">
      <c r="A43" s="130" t="s">
        <v>73</v>
      </c>
      <c r="B43" s="68"/>
      <c r="C43" s="131"/>
      <c r="D43" s="75"/>
      <c r="E43" s="75"/>
      <c r="F43" s="75"/>
      <c r="G43" s="75"/>
      <c r="H43" s="75"/>
      <c r="I43" s="72"/>
      <c r="J43" s="71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249"/>
      <c r="V43" s="71"/>
      <c r="W43" s="75"/>
      <c r="X43" s="79"/>
      <c r="Y43" s="79"/>
      <c r="Z43" s="79"/>
      <c r="AA43" s="79"/>
      <c r="AB43" s="79"/>
      <c r="AC43" s="85"/>
      <c r="AD43" s="55">
        <f>(Z43*25)+(AA43*25)+(AB43*40)+(AC43*50)</f>
        <v>0</v>
      </c>
      <c r="AE43" s="55" t="str">
        <f>IF(B43="","",C43+E43+G43+K43+N43+O43+Q43+R43+((D43+H43)/4)+((F43+I43+J43+T43+Z43)/2))</f>
        <v/>
      </c>
      <c r="AF43" s="56" t="str">
        <f>IF(B43="","",((AE43*50)/AD43))</f>
        <v/>
      </c>
      <c r="AG43" s="57" t="str">
        <f>IF(B43="","",((Z43)*25)/AD43)</f>
        <v/>
      </c>
      <c r="AH43" s="57" t="str">
        <f>IF(B43="","",(X43*25)/AD43)</f>
        <v/>
      </c>
      <c r="AI43" s="57" t="str">
        <f>IF(B43="","",(Y43*25)/AD43)</f>
        <v/>
      </c>
      <c r="AJ43" s="57" t="str">
        <f>IF(B43="","",(AA43*25)/AD43)</f>
        <v/>
      </c>
      <c r="AK43" s="58" t="str">
        <f>IF(B43="","",(AB43*40)/AD43)</f>
        <v/>
      </c>
      <c r="AL43" s="58" t="str">
        <f>IF(B43="","",(AC43*50)/AD43)</f>
        <v/>
      </c>
      <c r="AM43" s="59" t="str">
        <f>IF(B43="","",B43)</f>
        <v/>
      </c>
      <c r="AN43" s="81"/>
      <c r="AO43" s="94"/>
      <c r="AP43" s="83"/>
      <c r="AQ43" s="63" t="str">
        <f>IF(AN43="","",AN43/AO43)</f>
        <v/>
      </c>
      <c r="AR43" s="64" t="str">
        <f>IF(AN43="","",(AD43/AN43)/1000)</f>
        <v/>
      </c>
      <c r="AS43" s="64" t="str">
        <f>IF(AN43="","",AR43*24)</f>
        <v/>
      </c>
      <c r="AT43" s="65" t="str">
        <f>IF(AN43="","",(AD43/1000)*100%/AS43)</f>
        <v/>
      </c>
      <c r="AU43" s="64" t="str">
        <f>IF(AN43="","",(AE43/AN43))</f>
        <v/>
      </c>
      <c r="AV43" s="66" t="str">
        <f>IF(AN43="","",(AD43/AO43)/1000)</f>
        <v/>
      </c>
      <c r="AW43" s="394"/>
      <c r="AX43" s="92"/>
      <c r="AY43" s="92"/>
      <c r="AZ43" s="93"/>
      <c r="BA43" s="93"/>
      <c r="BB43" s="350"/>
      <c r="BC43" s="351"/>
      <c r="BD43" s="351"/>
      <c r="BE43" s="351"/>
      <c r="BF43" s="395"/>
    </row>
    <row r="44" spans="1:58">
      <c r="A44" s="130" t="s">
        <v>74</v>
      </c>
      <c r="B44" s="68"/>
      <c r="C44" s="131"/>
      <c r="D44" s="75"/>
      <c r="E44" s="75"/>
      <c r="F44" s="75"/>
      <c r="G44" s="75"/>
      <c r="H44" s="75"/>
      <c r="I44" s="72"/>
      <c r="J44" s="71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249"/>
      <c r="V44" s="71"/>
      <c r="W44" s="75"/>
      <c r="X44" s="79"/>
      <c r="Y44" s="79"/>
      <c r="Z44" s="79"/>
      <c r="AA44" s="79"/>
      <c r="AB44" s="79"/>
      <c r="AC44" s="85"/>
      <c r="AD44" s="55">
        <f>Z44*25</f>
        <v>0</v>
      </c>
      <c r="AE44" s="55" t="str">
        <f>IF(B44="","",C44+E44+G44+K44+N44+O44+Q44+R44+((D44+H44)/4)+((F44+I44+J44+T44)/2))</f>
        <v/>
      </c>
      <c r="AF44" s="56" t="str">
        <f>IF(B44="","",((AE44*50)/AD44))</f>
        <v/>
      </c>
      <c r="AG44" s="57" t="str">
        <f>IF(B44="","",((Z44)*25)/AD44)</f>
        <v/>
      </c>
      <c r="AH44" s="57" t="str">
        <f>IF(B44="","",(X44*25)/AD44)</f>
        <v/>
      </c>
      <c r="AI44" s="57" t="str">
        <f>IF(B44="","",(Y44*25)/AD44)</f>
        <v/>
      </c>
      <c r="AJ44" s="57" t="str">
        <f>IF(B44="","",(AA44*25)/AD44)</f>
        <v/>
      </c>
      <c r="AK44" s="58" t="str">
        <f>IF(B44="","",(AB44*40)/AD44)</f>
        <v/>
      </c>
      <c r="AL44" s="58" t="str">
        <f>IF(B44="","",(AC44*50)/AD44)</f>
        <v/>
      </c>
      <c r="AM44" s="59" t="str">
        <f>IF(B44="","",B44)</f>
        <v/>
      </c>
      <c r="AN44" s="81"/>
      <c r="AO44" s="94"/>
      <c r="AP44" s="83"/>
      <c r="AQ44" s="63" t="str">
        <f>IF(AN44="","",AN44/AO44)</f>
        <v/>
      </c>
      <c r="AR44" s="64" t="str">
        <f>IF(AN44="","",(AD44/AN44)/1000)</f>
        <v/>
      </c>
      <c r="AS44" s="64" t="str">
        <f>IF(AN44="","",AR44*24)</f>
        <v/>
      </c>
      <c r="AT44" s="65" t="str">
        <f>IF(AN44="","",(AD44/1000)*100%/AS44)</f>
        <v/>
      </c>
      <c r="AU44" s="64" t="str">
        <f>IF(AN44="","",(AE44/AN44))</f>
        <v/>
      </c>
      <c r="AV44" s="66" t="str">
        <f>IF(AN44="","",(AD44/AO44)/1000)</f>
        <v/>
      </c>
      <c r="AW44" s="394"/>
      <c r="AX44" s="92"/>
      <c r="AY44" s="92"/>
      <c r="AZ44" s="93"/>
      <c r="BA44" s="93"/>
      <c r="BB44" s="350"/>
      <c r="BC44" s="351"/>
      <c r="BD44" s="351"/>
      <c r="BE44" s="351"/>
      <c r="BF44" s="395"/>
    </row>
    <row r="45" spans="1:58">
      <c r="A45" s="130" t="s">
        <v>75</v>
      </c>
      <c r="B45" s="68"/>
      <c r="C45" s="131"/>
      <c r="D45" s="75"/>
      <c r="E45" s="75"/>
      <c r="F45" s="75"/>
      <c r="G45" s="75"/>
      <c r="H45" s="75"/>
      <c r="I45" s="72"/>
      <c r="J45" s="71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249"/>
      <c r="V45" s="71"/>
      <c r="W45" s="75"/>
      <c r="X45" s="79"/>
      <c r="Y45" s="79"/>
      <c r="Z45" s="79"/>
      <c r="AA45" s="79"/>
      <c r="AB45" s="79"/>
      <c r="AC45" s="85"/>
      <c r="AD45" s="55">
        <f>(Z45+AA45)*25.275</f>
        <v>0</v>
      </c>
      <c r="AE45" s="55" t="str">
        <f>IF(B45="","",C45+E45+G45+K45+N45+O45+Q45+R45+((D45+H45)/4)+((F45+I45+J45+T45)/2))</f>
        <v/>
      </c>
      <c r="AF45" s="56" t="str">
        <f>IF(B45="","",((AE45*50)/AD45))</f>
        <v/>
      </c>
      <c r="AG45" s="57" t="str">
        <f>IF(B45="","",((Z45)*25)/AD45)</f>
        <v/>
      </c>
      <c r="AH45" s="57" t="str">
        <f>IF(B45="","",(X45*25)/AD45)</f>
        <v/>
      </c>
      <c r="AI45" s="57" t="str">
        <f>IF(B45="","",(Y45*25)/AD45)</f>
        <v/>
      </c>
      <c r="AJ45" s="57" t="str">
        <f>IF(B45="","",(AA45*25)/AD45)</f>
        <v/>
      </c>
      <c r="AK45" s="58" t="str">
        <f>IF(B45="","",(AB45*40)/AD45)</f>
        <v/>
      </c>
      <c r="AL45" s="58" t="str">
        <f>IF(B45="","",(AC45*50)/AD45)</f>
        <v/>
      </c>
      <c r="AM45" s="59" t="str">
        <f>IF(B45="","",B45)</f>
        <v/>
      </c>
      <c r="AN45" s="81"/>
      <c r="AO45" s="94"/>
      <c r="AP45" s="83"/>
      <c r="AQ45" s="63" t="str">
        <f>IF(AN45="","",AN45/AO45)</f>
        <v/>
      </c>
      <c r="AR45" s="64" t="str">
        <f>IF(AN45="","",(AD45/AN45)/1000)</f>
        <v/>
      </c>
      <c r="AS45" s="64" t="str">
        <f>IF(AN45="","",AR45*24)</f>
        <v/>
      </c>
      <c r="AT45" s="65" t="str">
        <f>IF(AN45="","",(AD45/1000)*100%/AS45)</f>
        <v/>
      </c>
      <c r="AU45" s="64" t="str">
        <f>IF(AN45="","",(AE45/AN45))</f>
        <v/>
      </c>
      <c r="AV45" s="66" t="str">
        <f>IF(AN45="","",(AD45/AO45)/1000)</f>
        <v/>
      </c>
      <c r="AW45" s="396"/>
      <c r="AX45" s="231"/>
      <c r="AY45" s="231"/>
      <c r="AZ45" s="232"/>
      <c r="BA45" s="232"/>
      <c r="BB45" s="397"/>
      <c r="BC45" s="398"/>
      <c r="BD45" s="398"/>
      <c r="BE45" s="398"/>
      <c r="BF45" s="399"/>
    </row>
    <row r="46" spans="1:58">
      <c r="B46" s="115"/>
      <c r="C46" s="116"/>
      <c r="D46" s="116"/>
      <c r="E46" s="116"/>
      <c r="F46" s="116"/>
      <c r="G46" s="116"/>
      <c r="H46" s="116"/>
      <c r="O46" s="116"/>
      <c r="P46" s="116"/>
      <c r="Q46" s="116"/>
      <c r="R46" s="116"/>
      <c r="S46" s="116"/>
      <c r="T46" s="116"/>
      <c r="U46" s="116"/>
      <c r="V46" s="116"/>
      <c r="W46" s="7"/>
      <c r="X46" s="7"/>
      <c r="AB46" s="6"/>
      <c r="AC46" s="6"/>
      <c r="AD46" s="55">
        <f>SUM(AD42:AD45)</f>
        <v>0</v>
      </c>
      <c r="AE46" s="121"/>
      <c r="AF46" s="121"/>
      <c r="AG46" s="121"/>
      <c r="AH46" s="116"/>
      <c r="AI46" s="123"/>
      <c r="AJ46" s="123"/>
      <c r="AK46" s="116"/>
      <c r="AL46" s="121"/>
      <c r="AX46" s="1">
        <f>AX42/1000</f>
        <v>0</v>
      </c>
    </row>
    <row r="47" spans="1:58">
      <c r="B47" s="115"/>
      <c r="C47" s="116"/>
      <c r="D47" s="116"/>
      <c r="E47" s="116"/>
      <c r="F47" s="116"/>
      <c r="G47" s="116"/>
      <c r="H47" s="116"/>
      <c r="I47" s="116"/>
      <c r="Q47" s="116"/>
      <c r="R47" s="116"/>
      <c r="S47" s="116"/>
      <c r="T47" s="116"/>
      <c r="U47" s="116"/>
      <c r="V47" s="116"/>
      <c r="W47" s="116"/>
      <c r="X47" s="7"/>
      <c r="Y47" s="7"/>
      <c r="AC47" s="6"/>
      <c r="AD47" s="697" t="s">
        <v>70</v>
      </c>
      <c r="AE47" s="697"/>
      <c r="AF47" s="121"/>
      <c r="AG47" s="121"/>
      <c r="AH47" s="121"/>
      <c r="AI47" s="116"/>
      <c r="AJ47" s="123"/>
      <c r="AK47" s="123"/>
      <c r="AL47" s="116"/>
      <c r="AM47" s="121"/>
    </row>
    <row r="48" spans="1:58">
      <c r="B48" s="115"/>
      <c r="C48" s="116"/>
      <c r="D48" s="116"/>
      <c r="E48" s="116"/>
      <c r="F48" s="116"/>
      <c r="G48" s="116"/>
      <c r="H48" s="116"/>
      <c r="I48" s="117">
        <v>3.6</v>
      </c>
      <c r="J48" s="116"/>
      <c r="K48" s="516"/>
      <c r="L48" s="516"/>
      <c r="M48" s="516"/>
      <c r="N48" s="5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7"/>
      <c r="Z48" s="7"/>
      <c r="AD48" s="126">
        <f>AD46/1000</f>
        <v>0</v>
      </c>
      <c r="AE48" s="697" t="s">
        <v>71</v>
      </c>
      <c r="AF48" s="697"/>
      <c r="AG48" s="121"/>
      <c r="AH48" s="121"/>
      <c r="AI48" s="121"/>
      <c r="AJ48" s="116"/>
      <c r="AK48" s="123"/>
      <c r="AL48" s="123"/>
      <c r="AM48" s="116"/>
      <c r="AN48" s="121"/>
    </row>
    <row r="49" spans="1:58" customHeight="1" ht="13.9">
      <c r="A49" s="676" t="s">
        <v>76</v>
      </c>
      <c r="B49" s="677"/>
      <c r="C49" s="678" t="s">
        <v>77</v>
      </c>
      <c r="D49" s="133"/>
      <c r="F49" s="655" t="s">
        <v>78</v>
      </c>
      <c r="G49" s="656"/>
      <c r="H49" s="657"/>
      <c r="I49" s="355" t="s">
        <v>79</v>
      </c>
      <c r="J49" s="136"/>
      <c r="K49" s="679" t="s">
        <v>80</v>
      </c>
      <c r="L49" s="679"/>
      <c r="M49" s="680"/>
      <c r="N49" s="515" t="s">
        <v>81</v>
      </c>
      <c r="O49" s="688" t="s">
        <v>82</v>
      </c>
      <c r="P49" s="689"/>
      <c r="Q49" s="690"/>
      <c r="R49" s="688" t="s">
        <v>83</v>
      </c>
      <c r="S49" s="689"/>
      <c r="T49" s="689"/>
      <c r="U49" s="690"/>
      <c r="V49" s="500" t="s">
        <v>84</v>
      </c>
      <c r="W49" s="488"/>
      <c r="X49" s="501"/>
      <c r="AB49" s="247"/>
      <c r="AG49" s="6"/>
      <c r="AH49" s="6"/>
      <c r="AI49" s="121"/>
      <c r="AJ49" s="121"/>
      <c r="AK49" s="116"/>
      <c r="AL49" s="123"/>
      <c r="AM49" s="123"/>
      <c r="AN49" s="116"/>
      <c r="AO49" s="121"/>
    </row>
    <row r="50" spans="1:58" customHeight="1" ht="15">
      <c r="A50" s="369" t="s">
        <v>85</v>
      </c>
      <c r="B50" s="482">
        <f>AD40+AD48</f>
        <v>0</v>
      </c>
      <c r="C50" s="678"/>
      <c r="E50" s="137"/>
      <c r="F50" s="662" t="s">
        <v>86</v>
      </c>
      <c r="G50" s="663"/>
      <c r="H50" s="325">
        <f>IF(G53="",0,G56/G53)</f>
        <v>0</v>
      </c>
      <c r="I50" s="138">
        <f>IF(I53="",0,I56/I53)</f>
        <v>0</v>
      </c>
      <c r="J50" s="136"/>
      <c r="K50" s="681"/>
      <c r="L50" s="681"/>
      <c r="M50" s="141" t="e">
        <f>IF($V$50="",0,K50/$V$55)</f>
        <v>#DIV/0!</v>
      </c>
      <c r="N50" s="489"/>
      <c r="O50" s="695"/>
      <c r="P50" s="696"/>
      <c r="Q50" s="141" t="e">
        <f>IF($V$50="",0,O50/$V$55)</f>
        <v>#DIV/0!</v>
      </c>
      <c r="R50" s="140" t="str">
        <f>D80</f>
        <v>CWRS</v>
      </c>
      <c r="S50" s="721">
        <f>(B82*D82)+(B85*D85)+(B86*D86)+(B87*D87)+(B89*D89)+(B92*D92)+(B94*D94)+(B95*D95)+(B98*D98)+(B99*D99)+(B100*D100)+(B102*D102)+(B103*D103)+(B108*D108)+(B111*D111)+(B83*D83)+(B104*D104)+(B84*D84)+(B91*D91)+(B115*D115)+(B106*D106)+(B105*D105)+(B113*D113)+(B110*D110)+(B88*D88)+(B90*D90)+(B96*D96)+(B97*D97)+(B107*D107)</f>
        <v>0</v>
      </c>
      <c r="T50" s="721"/>
      <c r="U50" s="486">
        <f>IF($S$55=0,0,S50/$S$55)</f>
        <v>0</v>
      </c>
      <c r="V50" s="695">
        <f>K50+O50-S50</f>
        <v>0</v>
      </c>
      <c r="W50" s="696"/>
      <c r="X50" s="484" t="e">
        <f>IF($V$50="",0,V50/$V$55)</f>
        <v>#DIV/0!</v>
      </c>
      <c r="AB50" s="157"/>
      <c r="AJ50" s="121"/>
      <c r="AK50" s="116"/>
      <c r="AL50" s="123"/>
      <c r="AM50" s="123"/>
      <c r="AN50" s="116"/>
      <c r="AO50" s="121"/>
    </row>
    <row r="51" spans="1:58" customHeight="1" ht="15">
      <c r="A51" s="326" t="s">
        <v>87</v>
      </c>
      <c r="B51" s="318">
        <f>AE36</f>
        <v>0</v>
      </c>
      <c r="C51" s="377">
        <f>B50/(B60*120)</f>
        <v>-0</v>
      </c>
      <c r="E51" s="137"/>
      <c r="F51" s="662" t="s">
        <v>88</v>
      </c>
      <c r="G51" s="663"/>
      <c r="H51" s="318">
        <f>IF(G53="",0,G53/B50)</f>
        <v>0</v>
      </c>
      <c r="I51" s="272"/>
      <c r="J51" s="136"/>
      <c r="K51" s="685"/>
      <c r="L51" s="685"/>
      <c r="M51" s="141" t="e">
        <f>IF($V$51="",0,K51/$V$55)</f>
        <v>#DIV/0!</v>
      </c>
      <c r="N51" s="489"/>
      <c r="O51" s="687"/>
      <c r="P51" s="681"/>
      <c r="Q51" s="141" t="e">
        <f>IF($V$51="",0,O51/$V$55)</f>
        <v>#DIV/0!</v>
      </c>
      <c r="R51" s="140" t="str">
        <f>IF(E80="","",E80)</f>
        <v>CPS</v>
      </c>
      <c r="S51" s="720">
        <f>(B82*E82)+(B85*E85)+(B86*E86)+(B87*E87)+(B89*E89)+(B92*E92)+(B94*E94)+(B95*E95)+(B98*E98)+(B99*E99)+(B100*E100)+(B102*E102)+(B103*E103)+(B108*E108)+(B113*E113)+(B105*E105)+(B111*E111)+(B104*E104)+(B83*E83)+(B84*E84)+(B91*E91)+(B106*E106)+(B115*E115)+(B116*E116)+(B110*E110)+(B101*E101)+(B88*E88)+(B90*E90)+(B97*E97)+(B107*E107+B96*E96)</f>
        <v>0</v>
      </c>
      <c r="T51" s="720"/>
      <c r="U51" s="486">
        <f>IF($S$55=0,0,S51/$S$55)</f>
        <v>0</v>
      </c>
      <c r="V51" s="687">
        <f>K51+O51-S51</f>
        <v>0</v>
      </c>
      <c r="W51" s="681"/>
      <c r="X51" s="141" t="e">
        <f>IF($V$51="",0,V51/$V$55)</f>
        <v>#DIV/0!</v>
      </c>
      <c r="AJ51" s="121"/>
      <c r="AK51" s="116"/>
      <c r="AL51" s="123"/>
      <c r="AM51" s="123"/>
      <c r="AN51" s="116"/>
      <c r="AO51" s="121"/>
    </row>
    <row r="52" spans="1:58" customHeight="1" ht="15">
      <c r="A52" s="326" t="s">
        <v>89</v>
      </c>
      <c r="B52" s="318">
        <f>(B51*50)/1000</f>
        <v>0</v>
      </c>
      <c r="E52" s="120"/>
      <c r="F52" s="662" t="s">
        <v>90</v>
      </c>
      <c r="G52" s="663"/>
      <c r="H52" s="318">
        <f>IF(G53="",0,G53/((B51*50)/1000))</f>
        <v>0</v>
      </c>
      <c r="I52" s="272"/>
      <c r="J52" s="136"/>
      <c r="K52" s="685"/>
      <c r="L52" s="685"/>
      <c r="M52" s="141" t="e">
        <f>IF($V$50="",0,K52/$V$55)</f>
        <v>#DIV/0!</v>
      </c>
      <c r="N52" s="489"/>
      <c r="O52" s="687"/>
      <c r="P52" s="681"/>
      <c r="Q52" s="141" t="e">
        <f>IF($V$50="",0,O52/$V$55)</f>
        <v>#DIV/0!</v>
      </c>
      <c r="R52" s="148" t="s">
        <v>91</v>
      </c>
      <c r="S52" s="720">
        <f>(B82*G82)+(B85*G85)+(B86*G86)+(B87*G87)+(B89*G89)+(B92*G92)+(B94*G94)+(B95*G95)+(B98*G98)+(B99*G99)+(B100*G100)+(B102*G102)+(B103*G103)+(B108*G108)+(B113*G113)+(B109*G109)+(B116*G116)+(B114*G114)+(B115*G115)+(B83*G83)+(B84*G84)+(B104*G104)+(B106*G106)+(B96*G96)+(B97*G97)+(B90*G90)+(B88*G88)+(B105*G105)+(B91*G91)+(B110*G110)</f>
        <v>0</v>
      </c>
      <c r="T52" s="720"/>
      <c r="U52" s="486">
        <f>IF($S$55=0,0,S52/$S$55)</f>
        <v>0</v>
      </c>
      <c r="V52" s="687">
        <f>K52+O52-S52</f>
        <v>0</v>
      </c>
      <c r="W52" s="681"/>
      <c r="X52" s="141" t="e">
        <f>IF($V$50="",0,V52/$V$55)</f>
        <v>#DIV/0!</v>
      </c>
      <c r="AJ52" s="121"/>
      <c r="AK52" s="116"/>
      <c r="AL52" s="123"/>
      <c r="AM52" s="123"/>
      <c r="AN52" s="116"/>
      <c r="AO52" s="121"/>
    </row>
    <row r="53" spans="1:58" customHeight="1" ht="15">
      <c r="A53" s="326" t="s">
        <v>92</v>
      </c>
      <c r="B53" s="580">
        <f>IF(AF36="",0,AF36)</f>
        <v>0</v>
      </c>
      <c r="E53" s="144"/>
      <c r="F53" s="326" t="s">
        <v>93</v>
      </c>
      <c r="G53" s="693"/>
      <c r="H53" s="694"/>
      <c r="I53" s="353"/>
      <c r="J53" s="136"/>
      <c r="K53" s="686">
        <v>0</v>
      </c>
      <c r="L53" s="686"/>
      <c r="M53" s="141" t="e">
        <f>IF($V$50="",0,L53/$V$55)</f>
        <v>#DIV/0!</v>
      </c>
      <c r="N53" s="490"/>
      <c r="O53" s="687"/>
      <c r="P53" s="681"/>
      <c r="Q53" s="141" t="e">
        <f>IF($V$50="",0,O53/$V$55)</f>
        <v>#DIV/0!</v>
      </c>
      <c r="R53" s="140" t="s">
        <v>94</v>
      </c>
      <c r="S53" s="720">
        <f>(B82*F82)+(B85*F85)+(B86*F86)+(B87*F87)+(B89*F89)+(B92*F92)+(B94*F94)+(B95*F95)+(B98*F98)+(B99*F99)+(B100*F100)+(B102*F102)+(B103*F103)+(B108*F108)+(B113*F113)+(B115*F115)+(B111*F111)+(B109*F109)+(B105*F105)+(B116*F116)+(B101*F101)+(B88*F88)+(B90*F90)+(B91*F91)+(B106*F106)+(B107*F107)+(B96*F96)</f>
        <v>0</v>
      </c>
      <c r="T53" s="720"/>
      <c r="U53" s="486">
        <f>IF($S$55=0,0,S53/$S$55)</f>
        <v>0</v>
      </c>
      <c r="V53" s="687">
        <f>L53+O53-S53</f>
        <v>0</v>
      </c>
      <c r="W53" s="681"/>
      <c r="X53" s="141" t="e">
        <f>IF($V$50="",0,V53/$V$55)</f>
        <v>#DIV/0!</v>
      </c>
      <c r="AG53" s="6"/>
      <c r="AH53" s="6"/>
      <c r="AI53" s="121"/>
      <c r="AJ53" s="121"/>
      <c r="AK53" s="116"/>
      <c r="AL53" s="123"/>
      <c r="AM53" s="123"/>
      <c r="AN53" s="116"/>
      <c r="AO53" s="121"/>
    </row>
    <row r="54" spans="1:58" customHeight="1" ht="15">
      <c r="A54" s="326" t="s">
        <v>95</v>
      </c>
      <c r="B54" s="319">
        <f>AN36</f>
        <v>0</v>
      </c>
      <c r="E54" s="146"/>
      <c r="F54" s="326" t="s">
        <v>96</v>
      </c>
      <c r="G54" s="682"/>
      <c r="H54" s="683"/>
      <c r="I54" s="684"/>
      <c r="J54" s="136"/>
      <c r="K54" s="686">
        <v>0</v>
      </c>
      <c r="L54" s="686"/>
      <c r="M54" s="141" t="e">
        <f>IF($V$50="",0,L54/$V$55)</f>
        <v>#DIV/0!</v>
      </c>
      <c r="N54" s="489"/>
      <c r="O54" s="691">
        <v>0</v>
      </c>
      <c r="P54" s="692"/>
      <c r="Q54" s="141" t="e">
        <f>IF($V$50="",0,O54/$V$55)</f>
        <v>#DIV/0!</v>
      </c>
      <c r="R54" s="480" t="s">
        <v>97</v>
      </c>
      <c r="S54" s="719">
        <f>IF(AD43="",0,AD43)</f>
        <v>0</v>
      </c>
      <c r="T54" s="719"/>
      <c r="U54" s="141">
        <f>IF($S$55=0,0,S54/$S$55)</f>
        <v>0</v>
      </c>
      <c r="V54" s="691">
        <f>L54+O54-S54</f>
        <v>0</v>
      </c>
      <c r="W54" s="692"/>
      <c r="X54" s="141" t="e">
        <f>IF($V$50="",0,V54/$V$55)</f>
        <v>#DIV/0!</v>
      </c>
      <c r="AC54" s="421"/>
      <c r="AF54" s="6"/>
      <c r="AG54" s="6"/>
      <c r="AH54" s="6"/>
      <c r="AJ54" s="147"/>
      <c r="AK54" s="147"/>
      <c r="AL54" s="6"/>
      <c r="AM54" s="6"/>
      <c r="AN54" s="147"/>
      <c r="AO54" s="147"/>
    </row>
    <row r="55" spans="1:58" customHeight="1" ht="15">
      <c r="A55" s="326" t="s">
        <v>98</v>
      </c>
      <c r="B55" s="320">
        <f>IF(B50=0,0,AP36/AN36)</f>
        <v>0</v>
      </c>
      <c r="E55" s="146"/>
      <c r="F55" s="326" t="s">
        <v>99</v>
      </c>
      <c r="G55" s="660"/>
      <c r="H55" s="661"/>
      <c r="I55" s="149"/>
      <c r="J55" s="136"/>
      <c r="K55" s="671">
        <f>SUM(K50:K54)</f>
        <v>0</v>
      </c>
      <c r="L55" s="670"/>
      <c r="M55" s="481"/>
      <c r="N55" s="487">
        <f>SUM(N50:N54)</f>
        <v>0</v>
      </c>
      <c r="O55" s="671">
        <f>SUM(O50:O54)</f>
        <v>0</v>
      </c>
      <c r="P55" s="670"/>
      <c r="Q55" s="481"/>
      <c r="R55" s="150"/>
      <c r="S55" s="670">
        <f>SUM(S50:S54)</f>
        <v>0</v>
      </c>
      <c r="T55" s="670"/>
      <c r="U55" s="479"/>
      <c r="V55" s="671">
        <f>SUM(V50:V54)</f>
        <v>0</v>
      </c>
      <c r="W55" s="670"/>
      <c r="X55" s="481"/>
      <c r="AH55" s="6"/>
      <c r="AJ55" s="147"/>
      <c r="AK55" s="147"/>
      <c r="AL55" s="6"/>
      <c r="AM55" s="6"/>
      <c r="AN55" s="147"/>
      <c r="AO55" s="147"/>
    </row>
    <row r="56" spans="1:58" customHeight="1" ht="13.9">
      <c r="A56" s="326" t="s">
        <v>100</v>
      </c>
      <c r="B56" s="321" t="str">
        <f>AT37</f>
        <v/>
      </c>
      <c r="E56" s="146"/>
      <c r="F56" s="326" t="s">
        <v>101</v>
      </c>
      <c r="G56" s="672">
        <v>77284230</v>
      </c>
      <c r="H56" s="673"/>
      <c r="I56" s="153">
        <v>2803509</v>
      </c>
      <c r="K56" s="216"/>
      <c r="L56" s="216"/>
      <c r="M56" s="216"/>
      <c r="N56" s="216"/>
      <c r="O56" s="375"/>
      <c r="P56" s="517"/>
      <c r="Q56" s="517"/>
      <c r="AH56" s="6"/>
      <c r="AJ56" s="147"/>
      <c r="AK56" s="147"/>
      <c r="AL56" s="6"/>
      <c r="AM56" s="6"/>
      <c r="AN56" s="147"/>
      <c r="AO56" s="147"/>
    </row>
    <row r="57" spans="1:58" customHeight="1" ht="13.9">
      <c r="A57" s="326" t="s">
        <v>102</v>
      </c>
      <c r="B57" s="580" t="str">
        <f>+AT36</f>
        <v/>
      </c>
      <c r="E57" s="137"/>
      <c r="F57" s="662" t="s">
        <v>103</v>
      </c>
      <c r="G57" s="663"/>
      <c r="H57" s="327"/>
      <c r="I57" s="155"/>
      <c r="K57" s="665" t="s">
        <v>104</v>
      </c>
      <c r="L57" s="666"/>
      <c r="M57" s="666"/>
      <c r="N57" s="666"/>
      <c r="O57" s="666"/>
      <c r="P57" s="518"/>
      <c r="Q57" s="246"/>
      <c r="X57" s="4"/>
      <c r="AD57" s="4"/>
      <c r="AH57" s="6"/>
      <c r="AJ57" s="147"/>
      <c r="AK57" s="147"/>
      <c r="AL57" s="6"/>
      <c r="AM57" s="6"/>
      <c r="AN57" s="147"/>
      <c r="AO57" s="147"/>
    </row>
    <row r="58" spans="1:58" customHeight="1" ht="13.9">
      <c r="A58" s="326" t="s">
        <v>105</v>
      </c>
      <c r="B58" s="322">
        <f>IF(AS36="",0,AS36)</f>
        <v>0</v>
      </c>
      <c r="E58" s="137"/>
      <c r="F58" s="326"/>
      <c r="G58" s="216"/>
      <c r="H58" s="323"/>
      <c r="K58" s="326" t="s">
        <v>106</v>
      </c>
      <c r="L58" s="216"/>
      <c r="M58" s="332">
        <f>AX36</f>
        <v>0</v>
      </c>
      <c r="N58" s="332"/>
      <c r="O58" s="216" t="s">
        <v>107</v>
      </c>
      <c r="P58" s="140"/>
      <c r="S58" s="156"/>
      <c r="V58" s="142"/>
      <c r="X58" s="4"/>
      <c r="AB58" s="157"/>
      <c r="AD58" s="4"/>
      <c r="AH58" s="6"/>
      <c r="AJ58" s="147"/>
      <c r="AK58" s="147"/>
      <c r="AL58" s="6"/>
      <c r="AM58" s="6"/>
      <c r="AN58" s="147"/>
      <c r="AO58" s="147"/>
    </row>
    <row r="59" spans="1:58" customHeight="1" ht="13.9">
      <c r="A59" s="326" t="s">
        <v>108</v>
      </c>
      <c r="B59" s="322">
        <f>IF(AU36="",0,AU36)</f>
        <v>0</v>
      </c>
      <c r="E59" s="137"/>
      <c r="F59" s="328" t="s">
        <v>109</v>
      </c>
      <c r="G59" s="329"/>
      <c r="H59" s="330" t="s">
        <v>110</v>
      </c>
      <c r="K59" s="326" t="s">
        <v>111</v>
      </c>
      <c r="L59" s="216"/>
      <c r="M59" s="332">
        <f>AY36</f>
        <v>0</v>
      </c>
      <c r="N59" s="332"/>
      <c r="O59" s="323" t="s">
        <v>107</v>
      </c>
      <c r="S59" s="156"/>
      <c r="W59" s="156"/>
      <c r="AC59" s="247"/>
      <c r="AD59" s="157"/>
      <c r="AE59" s="157"/>
      <c r="AF59" s="157"/>
      <c r="AG59" s="6"/>
      <c r="AJ59" s="147"/>
      <c r="AK59" s="6"/>
      <c r="AL59" s="147"/>
      <c r="AM59" s="147"/>
      <c r="AN59" s="147"/>
    </row>
    <row r="60" spans="1:58" customHeight="1" ht="13.9">
      <c r="A60" s="326" t="s">
        <v>112</v>
      </c>
      <c r="B60" s="323">
        <f>31-COUNTBLANK(A4:A35)</f>
        <v>-1</v>
      </c>
      <c r="F60" s="331" t="s">
        <v>113</v>
      </c>
      <c r="G60" s="664" t="e">
        <f>G59/(B50*1000)</f>
        <v>#DIV/0!</v>
      </c>
      <c r="H60" s="664"/>
      <c r="I60" s="376"/>
      <c r="J60" s="136"/>
      <c r="K60" s="418" t="s">
        <v>92</v>
      </c>
      <c r="L60" s="483"/>
      <c r="M60" s="419" t="e">
        <f>M59/M58</f>
        <v>#DIV/0!</v>
      </c>
      <c r="N60" s="419"/>
      <c r="O60" s="420"/>
      <c r="S60" s="145"/>
      <c r="T60" s="665" t="s">
        <v>114</v>
      </c>
      <c r="U60" s="666"/>
      <c r="V60" s="667"/>
      <c r="X60" s="4"/>
      <c r="Y60" s="472" t="s">
        <v>115</v>
      </c>
      <c r="Z60" s="273" t="s">
        <v>169</v>
      </c>
      <c r="AA60" s="273">
        <v>900</v>
      </c>
      <c r="AB60" s="273" t="s">
        <v>117</v>
      </c>
      <c r="AC60" s="273">
        <v>7200</v>
      </c>
      <c r="AD60" s="273">
        <v>4200</v>
      </c>
      <c r="AE60" s="273">
        <v>8530</v>
      </c>
      <c r="AF60" s="157"/>
      <c r="AG60" s="6"/>
      <c r="AJ60" s="147"/>
      <c r="AK60" s="6"/>
      <c r="AL60" s="147"/>
      <c r="AM60" s="147"/>
      <c r="AN60" s="147"/>
    </row>
    <row r="61" spans="1:58" customHeight="1" ht="13.9">
      <c r="A61" s="370" t="s">
        <v>118</v>
      </c>
      <c r="B61" s="324">
        <f>AD40+AD48</f>
        <v>0</v>
      </c>
      <c r="G61" s="156" t="s">
        <v>119</v>
      </c>
      <c r="O61" s="4"/>
      <c r="P61" s="4"/>
      <c r="T61" s="354" t="s">
        <v>120</v>
      </c>
      <c r="U61" s="668"/>
      <c r="V61" s="669"/>
      <c r="X61" s="165" t="str">
        <f>C82</f>
        <v>Extrapan
 50</v>
      </c>
      <c r="Y61" s="531"/>
      <c r="Z61" s="531"/>
      <c r="AA61" s="531"/>
      <c r="AB61" s="531"/>
      <c r="AC61" s="531"/>
      <c r="AD61" s="531"/>
      <c r="AE61" s="531"/>
      <c r="AG61" s="147"/>
      <c r="AH61" s="147"/>
      <c r="AI61" s="6"/>
      <c r="AJ61" s="6"/>
      <c r="AK61" s="147"/>
      <c r="AL61" s="147"/>
      <c r="AM61" s="147"/>
    </row>
    <row r="62" spans="1:58" customHeight="1" ht="14.45">
      <c r="A62" s="259" t="s">
        <v>121</v>
      </c>
      <c r="B62" s="477">
        <f>B50/B67</f>
        <v>0</v>
      </c>
      <c r="E62" s="136"/>
      <c r="F62" s="655" t="s">
        <v>122</v>
      </c>
      <c r="G62" s="656"/>
      <c r="H62" s="657"/>
      <c r="K62" s="655" t="s">
        <v>123</v>
      </c>
      <c r="L62" s="656"/>
      <c r="M62" s="656"/>
      <c r="N62" s="656"/>
      <c r="O62" s="656"/>
      <c r="P62" s="519"/>
      <c r="Q62" s="133"/>
      <c r="R62" s="162"/>
      <c r="S62" s="162"/>
      <c r="T62" s="354" t="s">
        <v>124</v>
      </c>
      <c r="U62" s="658">
        <f>AZ4</f>
        <v>0</v>
      </c>
      <c r="V62" s="659"/>
      <c r="W62" s="162"/>
      <c r="X62" s="165" t="str">
        <f>C85</f>
        <v>Extrapan
25</v>
      </c>
      <c r="Y62" s="532"/>
      <c r="Z62" s="532"/>
      <c r="AA62" s="532"/>
      <c r="AB62" s="532"/>
      <c r="AC62" s="532"/>
      <c r="AD62" s="532"/>
      <c r="AE62" s="532"/>
      <c r="AG62" s="147"/>
      <c r="AH62" s="147"/>
      <c r="AI62" s="6"/>
      <c r="AJ62" s="6"/>
      <c r="AK62" s="147"/>
      <c r="AL62" s="147"/>
      <c r="AM62" s="147"/>
    </row>
    <row r="63" spans="1:58" customHeight="1" ht="14.45">
      <c r="A63" s="256" t="s">
        <v>125</v>
      </c>
      <c r="B63" s="502" t="e">
        <f>B75/B50</f>
        <v>#DIV/0!</v>
      </c>
      <c r="F63" s="632" t="s">
        <v>126</v>
      </c>
      <c r="G63" s="633"/>
      <c r="H63" s="268"/>
      <c r="I63" s="140"/>
      <c r="J63" s="136"/>
      <c r="K63" s="1" t="s">
        <v>127</v>
      </c>
      <c r="O63" s="520">
        <v>662</v>
      </c>
      <c r="R63" s="162"/>
      <c r="S63" s="162"/>
      <c r="T63" s="162"/>
      <c r="U63" s="162"/>
      <c r="V63" s="162"/>
      <c r="W63" s="162"/>
      <c r="X63" s="165" t="str">
        <f>C86</f>
        <v>Extrapan
10</v>
      </c>
      <c r="Y63" s="532"/>
      <c r="Z63" s="532"/>
      <c r="AA63" s="532"/>
      <c r="AB63" s="532"/>
      <c r="AC63" s="532"/>
      <c r="AD63" s="532"/>
      <c r="AE63" s="532"/>
      <c r="AG63" s="147"/>
      <c r="AH63" s="147"/>
      <c r="AI63" s="6"/>
      <c r="AJ63" s="6"/>
      <c r="AK63" s="147"/>
      <c r="AL63" s="147"/>
      <c r="AM63" s="147"/>
    </row>
    <row r="64" spans="1:58" customHeight="1" ht="14.45">
      <c r="A64" s="258" t="s">
        <v>128</v>
      </c>
      <c r="B64" s="503" t="e">
        <f>B76/B50</f>
        <v>#DIV/0!</v>
      </c>
      <c r="F64" s="140" t="s">
        <v>129</v>
      </c>
      <c r="H64" s="474">
        <f>(H63*1)*2</f>
        <v>0</v>
      </c>
      <c r="I64" s="140"/>
      <c r="K64" s="140" t="s">
        <v>129</v>
      </c>
      <c r="O64" s="474">
        <f>O63/30</f>
        <v>22.066666666666666</v>
      </c>
      <c r="T64" s="634" t="s">
        <v>130</v>
      </c>
      <c r="U64" s="635"/>
      <c r="V64" s="636"/>
      <c r="X64" s="165" t="str">
        <f>C87</f>
        <v>Artesanal 
50</v>
      </c>
      <c r="Y64" s="531"/>
      <c r="Z64" s="531"/>
      <c r="AA64" s="531"/>
      <c r="AB64" s="531"/>
      <c r="AC64" s="531"/>
      <c r="AD64" s="531"/>
      <c r="AE64" s="531"/>
      <c r="AG64" s="147"/>
      <c r="AH64" s="147"/>
      <c r="AI64" s="6"/>
      <c r="AJ64" s="6"/>
      <c r="AK64" s="147"/>
      <c r="AL64" s="147"/>
      <c r="AM64" s="147"/>
    </row>
    <row r="65" spans="1:58">
      <c r="F65" s="637" t="s">
        <v>131</v>
      </c>
      <c r="G65" s="638"/>
      <c r="H65" s="639"/>
      <c r="I65" s="140"/>
      <c r="J65" s="136"/>
      <c r="K65" s="1" t="s">
        <v>132</v>
      </c>
      <c r="P65" s="140"/>
      <c r="T65" s="417" t="s">
        <v>133</v>
      </c>
      <c r="U65" s="732"/>
      <c r="V65" s="733"/>
      <c r="X65" s="165" t="str">
        <f>C89</f>
        <v>Artesanal
25</v>
      </c>
      <c r="Y65" s="532"/>
      <c r="Z65" s="532"/>
      <c r="AA65" s="532"/>
      <c r="AB65" s="532"/>
      <c r="AC65" s="532"/>
      <c r="AD65" s="532"/>
      <c r="AE65" s="532"/>
      <c r="AG65" s="147"/>
      <c r="AH65" s="147"/>
      <c r="AI65" s="6"/>
      <c r="AJ65" s="6"/>
      <c r="AK65" s="147"/>
      <c r="AL65" s="147"/>
      <c r="AM65" s="147"/>
    </row>
    <row r="66" spans="1:58" customHeight="1" ht="14.45">
      <c r="A66" s="371" t="s">
        <v>134</v>
      </c>
      <c r="B66" s="373"/>
      <c r="F66" s="630" t="s">
        <v>91</v>
      </c>
      <c r="G66" s="642"/>
      <c r="H66" s="270"/>
      <c r="I66" s="140"/>
      <c r="K66" s="159" t="s">
        <v>94</v>
      </c>
      <c r="L66" s="158"/>
      <c r="M66" s="158"/>
      <c r="N66" s="158"/>
      <c r="O66" s="478"/>
      <c r="P66" s="524"/>
      <c r="T66" s="417" t="s">
        <v>135</v>
      </c>
      <c r="U66" s="651"/>
      <c r="V66" s="652"/>
      <c r="X66" s="165" t="str">
        <f>C92</f>
        <v>Natural 
50</v>
      </c>
      <c r="Y66" s="532"/>
      <c r="Z66" s="532"/>
      <c r="AA66" s="532"/>
      <c r="AB66" s="532"/>
      <c r="AC66" s="532"/>
      <c r="AD66" s="532"/>
      <c r="AE66" s="532"/>
      <c r="AG66" s="147"/>
      <c r="AH66" s="147"/>
      <c r="AI66" s="147"/>
      <c r="AJ66" s="147"/>
      <c r="AK66" s="6"/>
      <c r="AL66" s="6"/>
      <c r="AM66" s="147"/>
      <c r="AN66" s="147"/>
    </row>
    <row r="67" spans="1:58" customHeight="1" ht="14.45">
      <c r="A67" s="255" t="s">
        <v>136</v>
      </c>
      <c r="B67" s="264">
        <v>24</v>
      </c>
      <c r="F67" s="140" t="s">
        <v>137</v>
      </c>
      <c r="G67" s="475"/>
      <c r="H67" s="267">
        <f>H64*G67</f>
        <v>0</v>
      </c>
      <c r="K67" s="140" t="s">
        <v>137</v>
      </c>
      <c r="L67" s="475">
        <v>100</v>
      </c>
      <c r="M67" s="367">
        <f>(O64*L67)</f>
        <v>2206.66666666666652</v>
      </c>
      <c r="P67" s="524"/>
      <c r="Q67" s="521"/>
      <c r="T67" s="417" t="s">
        <v>94</v>
      </c>
      <c r="U67" s="730"/>
      <c r="V67" s="731"/>
      <c r="X67" s="165" t="str">
        <f>C99</f>
        <v>Harina Tortas y Ponques</v>
      </c>
      <c r="Y67" s="531"/>
      <c r="Z67" s="531"/>
      <c r="AA67" s="531"/>
      <c r="AB67" s="531"/>
      <c r="AC67" s="531"/>
      <c r="AD67" s="531"/>
      <c r="AE67" s="531"/>
      <c r="AG67" s="147"/>
      <c r="AH67" s="147"/>
      <c r="AI67" s="6"/>
      <c r="AJ67" s="6"/>
      <c r="AK67" s="147"/>
      <c r="AL67" s="147"/>
      <c r="AM67" s="147"/>
    </row>
    <row r="68" spans="1:58" customHeight="1" ht="14.45">
      <c r="A68" s="255" t="s">
        <v>138</v>
      </c>
      <c r="B68" s="265">
        <v>28760</v>
      </c>
      <c r="F68" s="148" t="s">
        <v>139</v>
      </c>
      <c r="G68" s="649">
        <f>(G67*436*1.7321*0.96)/1000</f>
        <v>0</v>
      </c>
      <c r="H68" s="650">
        <f>(H67*436*1.7321*0.96)/1000</f>
        <v>0</v>
      </c>
      <c r="K68" s="148" t="s">
        <v>139</v>
      </c>
      <c r="L68" s="271">
        <f>(L67*436*1.7321*0.96)/1000</f>
        <v>72.4987776</v>
      </c>
      <c r="M68" s="156"/>
      <c r="O68" s="525"/>
      <c r="P68" s="522"/>
      <c r="T68" s="354" t="s">
        <v>140</v>
      </c>
      <c r="U68" s="651"/>
      <c r="V68" s="652"/>
      <c r="X68" s="165" t="str">
        <f>C100</f>
        <v>Harina Galeras Ligera</v>
      </c>
      <c r="Y68" s="532"/>
      <c r="Z68" s="532"/>
      <c r="AA68" s="532"/>
      <c r="AB68" s="532"/>
      <c r="AC68" s="532"/>
      <c r="AD68" s="532"/>
      <c r="AE68" s="532"/>
      <c r="AG68" s="147"/>
      <c r="AH68" s="147"/>
      <c r="AI68" s="147"/>
      <c r="AJ68" s="147"/>
      <c r="AK68" s="6"/>
      <c r="AL68" s="6"/>
      <c r="AM68" s="147"/>
      <c r="AN68" s="147"/>
    </row>
    <row r="69" spans="1:58">
      <c r="A69" s="156" t="s">
        <v>142</v>
      </c>
      <c r="B69" s="424">
        <v>36087</v>
      </c>
      <c r="F69" s="140" t="s">
        <v>143</v>
      </c>
      <c r="G69" s="653">
        <f>G68*H63</f>
        <v>0</v>
      </c>
      <c r="H69" s="639"/>
      <c r="K69" s="140" t="s">
        <v>143</v>
      </c>
      <c r="M69" s="653">
        <f>L68*O64</f>
        <v>1599.80635903999996</v>
      </c>
      <c r="N69" s="653"/>
      <c r="O69" s="654"/>
      <c r="X69" s="165" t="str">
        <f>C103</f>
        <v>Harina de alta proteina x 1
G</v>
      </c>
      <c r="Y69" s="532"/>
      <c r="Z69" s="532"/>
      <c r="AA69" s="532"/>
      <c r="AB69" s="532"/>
      <c r="AC69" s="532"/>
      <c r="AD69" s="532"/>
      <c r="AE69" s="532"/>
      <c r="AG69" s="147"/>
      <c r="AH69" s="147"/>
      <c r="AI69" s="147"/>
      <c r="AJ69" s="147"/>
      <c r="AK69" s="6"/>
      <c r="AL69" s="6"/>
      <c r="AM69" s="147"/>
      <c r="AN69" s="147"/>
    </row>
    <row r="70" spans="1:58" customHeight="1" ht="14.45">
      <c r="A70" s="257" t="s">
        <v>144</v>
      </c>
      <c r="B70" s="266">
        <f>+B51/B68</f>
        <v>0</v>
      </c>
      <c r="F70" s="632" t="s">
        <v>86</v>
      </c>
      <c r="G70" s="633"/>
      <c r="H70" s="269">
        <f>G69*H50</f>
        <v>0</v>
      </c>
      <c r="K70" s="140" t="s">
        <v>86</v>
      </c>
      <c r="M70" s="352">
        <f>M69*H50</f>
        <v>0</v>
      </c>
      <c r="O70" s="136"/>
      <c r="P70" s="523"/>
      <c r="Q70" s="523"/>
      <c r="T70" s="374" t="s">
        <v>145</v>
      </c>
      <c r="U70" s="374"/>
      <c r="V70" s="374"/>
      <c r="X70" s="165" t="s">
        <v>67</v>
      </c>
      <c r="Y70" s="533"/>
      <c r="Z70" s="533"/>
      <c r="AA70" s="533"/>
      <c r="AB70" s="533"/>
      <c r="AC70" s="533"/>
      <c r="AD70" s="533"/>
      <c r="AE70" s="533"/>
      <c r="AG70" s="6"/>
      <c r="AI70" s="147"/>
      <c r="AJ70" s="147"/>
      <c r="AK70" s="147"/>
      <c r="AL70" s="147"/>
      <c r="AM70" s="147"/>
      <c r="AN70" s="6"/>
      <c r="AO70" s="147"/>
      <c r="AP70" s="147"/>
    </row>
    <row r="71" spans="1:58" customHeight="1" ht="22.5">
      <c r="A71" s="257" t="s">
        <v>146</v>
      </c>
      <c r="B71" s="266">
        <f>+B51/B69</f>
        <v>0</v>
      </c>
      <c r="F71" s="159"/>
      <c r="G71" s="158"/>
      <c r="H71" s="151"/>
      <c r="K71" s="159"/>
      <c r="L71" s="158"/>
      <c r="M71" s="158"/>
      <c r="N71" s="158"/>
      <c r="O71" s="151"/>
      <c r="T71" s="253" t="s">
        <v>147</v>
      </c>
      <c r="U71" s="254"/>
      <c r="V71" s="645">
        <f>AP36*(U71+U72)</f>
        <v>0</v>
      </c>
      <c r="X71" s="202" t="s">
        <v>141</v>
      </c>
      <c r="Y71" s="203"/>
      <c r="Z71" s="203"/>
      <c r="AA71" s="203"/>
      <c r="AB71" s="203"/>
      <c r="AC71" s="203"/>
      <c r="AE71" s="6"/>
      <c r="AG71" s="6"/>
      <c r="AI71" s="147"/>
      <c r="AJ71" s="147"/>
      <c r="AK71" s="147"/>
      <c r="AL71" s="147"/>
      <c r="AM71" s="147"/>
      <c r="AN71" s="6"/>
      <c r="AO71" s="147"/>
      <c r="AP71" s="147"/>
    </row>
    <row r="72" spans="1:58">
      <c r="T72" s="253" t="s">
        <v>151</v>
      </c>
      <c r="U72" s="254"/>
      <c r="V72" s="646"/>
      <c r="X72" s="202"/>
      <c r="Y72" s="245"/>
      <c r="Z72" s="245"/>
      <c r="AA72" s="245"/>
      <c r="AB72" s="245"/>
      <c r="AC72" s="245"/>
      <c r="AE72" s="6"/>
      <c r="AG72" s="6"/>
      <c r="AI72" s="147"/>
      <c r="AJ72" s="147"/>
      <c r="AK72" s="147"/>
      <c r="AL72" s="147"/>
      <c r="AM72" s="147"/>
      <c r="AN72" s="6"/>
      <c r="AO72" s="147"/>
      <c r="AP72" s="147"/>
    </row>
    <row r="73" spans="1:58">
      <c r="AE73" s="6"/>
      <c r="AG73" s="6"/>
      <c r="AI73" s="147"/>
      <c r="AJ73" s="147"/>
      <c r="AK73" s="147"/>
      <c r="AL73" s="147"/>
      <c r="AM73" s="147"/>
      <c r="AN73" s="6"/>
      <c r="AO73" s="147"/>
      <c r="AP73" s="147"/>
    </row>
    <row r="74" spans="1:58" customHeight="1" ht="14.45">
      <c r="A74" s="371" t="s">
        <v>154</v>
      </c>
      <c r="B74" s="372"/>
      <c r="C74" s="140"/>
      <c r="Y74" s="156" t="s">
        <v>148</v>
      </c>
      <c r="Z74" s="1" t="s">
        <v>149</v>
      </c>
      <c r="AA74" s="1" t="s">
        <v>150</v>
      </c>
      <c r="AE74" s="6"/>
      <c r="AG74" s="6"/>
      <c r="AI74" s="147"/>
      <c r="AJ74" s="147"/>
      <c r="AK74" s="147"/>
      <c r="AL74" s="147"/>
      <c r="AM74" s="147"/>
      <c r="AN74" s="6"/>
      <c r="AO74" s="147"/>
      <c r="AP74" s="147"/>
    </row>
    <row r="75" spans="1:58" customHeight="1" ht="14.45">
      <c r="A75" s="260" t="s">
        <v>155</v>
      </c>
      <c r="B75" s="262">
        <v>64062235</v>
      </c>
      <c r="Y75" s="209" t="s">
        <v>152</v>
      </c>
      <c r="Z75" s="7">
        <v>12.5</v>
      </c>
      <c r="AA75" s="7">
        <v>13.5</v>
      </c>
      <c r="AB75" s="7"/>
      <c r="AC75" s="1" t="s">
        <v>152</v>
      </c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8" customHeight="1" ht="14.45">
      <c r="A76" s="261" t="s">
        <v>156</v>
      </c>
      <c r="B76" s="263">
        <v>7837432</v>
      </c>
      <c r="Y76" s="209" t="s">
        <v>67</v>
      </c>
      <c r="Z76" s="212">
        <f>SUM(A82+A85+A86+A87+A89+A92+A94+A98+A100+A102+A103+A108+A105+A110+A113+A115+A109+A83+A84+A90+A88+A91+A96+A97+A104+A106+A111)*Z75</f>
        <v>0</v>
      </c>
      <c r="AA76" s="212">
        <f>(A95+A99)*AA75</f>
        <v>0</v>
      </c>
      <c r="AB76" s="240"/>
      <c r="AC76" s="156" t="s">
        <v>153</v>
      </c>
      <c r="AE76" s="206"/>
      <c r="AK76" s="147"/>
      <c r="AL76" s="147"/>
      <c r="AM76" s="147"/>
      <c r="AN76" s="6"/>
      <c r="AO76" s="147"/>
      <c r="AP76" s="147"/>
    </row>
    <row r="77" spans="1:58">
      <c r="Y77" s="202" t="s">
        <v>141</v>
      </c>
      <c r="Z77" s="142"/>
      <c r="AA77" s="142"/>
      <c r="AB77" s="142"/>
      <c r="AC77" s="156" t="s">
        <v>153</v>
      </c>
      <c r="AE77" s="206"/>
      <c r="AK77" s="147"/>
      <c r="AL77" s="147"/>
      <c r="AM77" s="147"/>
      <c r="AN77" s="6"/>
      <c r="AO77" s="147"/>
      <c r="AP77" s="147"/>
      <c r="AQ77" s="147"/>
      <c r="AR77" s="147"/>
    </row>
    <row r="78" spans="1:58">
      <c r="X78" s="169"/>
      <c r="AK78" s="147"/>
      <c r="AL78" s="147"/>
      <c r="AM78" s="147"/>
      <c r="AN78" s="6"/>
      <c r="AO78" s="147"/>
      <c r="AP78" s="147"/>
      <c r="AQ78" s="147"/>
      <c r="AR78" s="147"/>
    </row>
    <row r="79" spans="1:58">
      <c r="N79" s="4"/>
      <c r="X79" s="169"/>
      <c r="AE79" s="6"/>
      <c r="AK79" s="147"/>
      <c r="AL79" s="147"/>
      <c r="AM79" s="147"/>
      <c r="AN79" s="6"/>
      <c r="AO79" s="147"/>
      <c r="AP79" s="147"/>
      <c r="AQ79" s="147"/>
      <c r="AR79" s="147"/>
    </row>
    <row r="80" spans="1:58" customHeight="1" ht="16.35">
      <c r="A80" s="170"/>
      <c r="C80" s="171"/>
      <c r="D80" s="423" t="s">
        <v>157</v>
      </c>
      <c r="E80" s="423" t="s">
        <v>158</v>
      </c>
      <c r="F80" s="423" t="s">
        <v>94</v>
      </c>
      <c r="G80" s="423" t="s">
        <v>91</v>
      </c>
      <c r="AE80" s="6"/>
      <c r="AK80" s="147"/>
      <c r="AL80" s="147"/>
      <c r="AM80" s="147"/>
    </row>
    <row r="81" spans="1:58" customHeight="1" ht="16.35">
      <c r="A81" s="356" t="s">
        <v>45</v>
      </c>
      <c r="B81" s="472" t="s">
        <v>159</v>
      </c>
      <c r="C81" s="176" t="s">
        <v>160</v>
      </c>
      <c r="D81" s="178" t="s">
        <v>161</v>
      </c>
      <c r="E81" s="178" t="s">
        <v>161</v>
      </c>
      <c r="F81" s="178" t="s">
        <v>161</v>
      </c>
      <c r="G81" s="178" t="s">
        <v>161</v>
      </c>
      <c r="AE81" s="6"/>
      <c r="AK81" s="147"/>
      <c r="AL81" s="147"/>
      <c r="AM81" s="147"/>
    </row>
    <row r="82" spans="1:58" customHeight="1" ht="16.35">
      <c r="A82" s="139">
        <f>C36</f>
        <v>0</v>
      </c>
      <c r="B82" s="139">
        <f>IF(A82=0,0,((A82*50)/$B$53))</f>
        <v>0</v>
      </c>
      <c r="C82" s="180" t="s">
        <v>16</v>
      </c>
      <c r="D82" s="569">
        <v>0.8</v>
      </c>
      <c r="E82" s="570">
        <v>0.2</v>
      </c>
      <c r="F82" s="571"/>
      <c r="G82" s="572"/>
      <c r="Z82" s="213"/>
      <c r="AA82" s="213"/>
      <c r="AB82" s="213"/>
      <c r="AC82" s="213"/>
      <c r="AD82" s="213"/>
      <c r="AE82" s="6"/>
      <c r="AK82" s="147"/>
      <c r="AL82" s="147"/>
      <c r="AM82" s="147"/>
    </row>
    <row r="83" spans="1:58" customHeight="1" ht="16.35">
      <c r="A83" s="139">
        <f>C38</f>
        <v>0</v>
      </c>
      <c r="B83" s="139">
        <f>IF(A83=0,0,((A83*50)/$B$53))</f>
        <v>0</v>
      </c>
      <c r="C83" s="180" t="s">
        <v>16</v>
      </c>
      <c r="D83" s="573"/>
      <c r="E83" s="186"/>
      <c r="F83" s="462"/>
      <c r="G83" s="574"/>
      <c r="Z83" s="213"/>
      <c r="AA83" s="213"/>
      <c r="AB83" s="213"/>
      <c r="AC83" s="213"/>
      <c r="AD83" s="213"/>
      <c r="AE83" s="6"/>
      <c r="AK83" s="147"/>
      <c r="AL83" s="147"/>
      <c r="AM83" s="147"/>
    </row>
    <row r="84" spans="1:58" customHeight="1" ht="16.35">
      <c r="A84" s="139">
        <f>C39</f>
        <v>0</v>
      </c>
      <c r="B84" s="139">
        <f>IF(A84=0,0,((A84*50)/$B$53))</f>
        <v>0</v>
      </c>
      <c r="C84" s="180" t="s">
        <v>16</v>
      </c>
      <c r="D84" s="575">
        <v>0.8</v>
      </c>
      <c r="E84" s="382">
        <v>0.2</v>
      </c>
      <c r="F84" s="382"/>
      <c r="G84" s="574"/>
      <c r="Z84" s="213"/>
      <c r="AA84" s="213"/>
      <c r="AB84" s="213"/>
      <c r="AC84" s="213"/>
      <c r="AD84" s="213"/>
      <c r="AE84" s="6"/>
      <c r="AK84" s="147"/>
      <c r="AL84" s="147"/>
      <c r="AM84" s="147"/>
    </row>
    <row r="85" spans="1:58" customHeight="1" ht="16.35">
      <c r="A85" s="139">
        <f>D36/2</f>
        <v>0</v>
      </c>
      <c r="B85" s="139">
        <f>IF(A85=0,0,((A85*50)/$B$53))</f>
        <v>0</v>
      </c>
      <c r="C85" s="180" t="str">
        <f>D3</f>
        <v>Extrapan
25</v>
      </c>
      <c r="D85" s="573">
        <v>0.8</v>
      </c>
      <c r="E85" s="186">
        <v>0.2</v>
      </c>
      <c r="F85" s="186"/>
      <c r="G85" s="576"/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8" customHeight="1" ht="16.35">
      <c r="A86" s="139">
        <f>E36/5</f>
        <v>0</v>
      </c>
      <c r="B86" s="139">
        <f>IF(A86=0,0,((A86*50)/$B$53))</f>
        <v>0</v>
      </c>
      <c r="C86" s="189" t="str">
        <f>E3</f>
        <v>Extrapan
10</v>
      </c>
      <c r="D86" s="573">
        <v>0.8</v>
      </c>
      <c r="E86" s="186">
        <v>0.2</v>
      </c>
      <c r="F86" s="186"/>
      <c r="G86" s="576"/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8" customHeight="1" ht="16.35">
      <c r="A87" s="139">
        <f>F36</f>
        <v>0</v>
      </c>
      <c r="B87" s="139">
        <f>IF(A87=0,0,((A87*50)/$B$53))</f>
        <v>0</v>
      </c>
      <c r="C87" s="189" t="str">
        <f>F3</f>
        <v>Artesanal 
50</v>
      </c>
      <c r="D87" s="573">
        <v>0.6</v>
      </c>
      <c r="E87" s="186">
        <v>0.15</v>
      </c>
      <c r="F87" s="186">
        <v>0.25</v>
      </c>
      <c r="G87" s="576"/>
      <c r="J87" s="137"/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8" customHeight="1" ht="16.35">
      <c r="A88" s="139">
        <f>F38</f>
        <v>0</v>
      </c>
      <c r="B88" s="139">
        <f>IF(A88=0,0,((A88*50)/$B$53))</f>
        <v>0</v>
      </c>
      <c r="C88" s="568" t="str">
        <f>C87</f>
        <v>Artesanal 
50</v>
      </c>
      <c r="D88" s="573"/>
      <c r="E88" s="186"/>
      <c r="F88" s="186"/>
      <c r="G88" s="576"/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8" customHeight="1" ht="16.35">
      <c r="A89" s="139">
        <f>G36/2</f>
        <v>0</v>
      </c>
      <c r="B89" s="139">
        <f>IF(A89=0,0,((A89*50)/$B$53))</f>
        <v>0</v>
      </c>
      <c r="C89" s="190" t="str">
        <f>G3</f>
        <v>Artesanal
25</v>
      </c>
      <c r="D89" s="573">
        <v>0.6</v>
      </c>
      <c r="E89" s="186">
        <v>0.15</v>
      </c>
      <c r="F89" s="186">
        <v>0.25</v>
      </c>
      <c r="G89" s="576"/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8" customHeight="1" ht="16.35">
      <c r="A90" s="139">
        <f>G38/2</f>
        <v>0</v>
      </c>
      <c r="B90" s="139">
        <f>IF(A90=0,0,((A90*50)/$B$53))</f>
        <v>0</v>
      </c>
      <c r="C90" s="190" t="str">
        <f>C89</f>
        <v>Artesanal
25</v>
      </c>
      <c r="D90" s="573"/>
      <c r="E90" s="186"/>
      <c r="F90" s="186"/>
      <c r="G90" s="576"/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8" customHeight="1" ht="16.35">
      <c r="A91" s="139">
        <f>H36</f>
        <v>0</v>
      </c>
      <c r="B91" s="139">
        <f>IF(A91=0,0,((A91*50)/$B$53))</f>
        <v>0</v>
      </c>
      <c r="C91" s="180" t="str">
        <f>H3</f>
        <v>Natural 
50</v>
      </c>
      <c r="D91" s="573">
        <v>0.7</v>
      </c>
      <c r="E91" s="186">
        <v>0.07</v>
      </c>
      <c r="F91" s="186">
        <v>0.23</v>
      </c>
      <c r="G91" s="576"/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8" customHeight="1" ht="16.35">
      <c r="A92" s="139">
        <f>H38</f>
        <v>0</v>
      </c>
      <c r="B92" s="139">
        <f>IF(A92=0,0,((A92*50)/$B$53))</f>
        <v>0</v>
      </c>
      <c r="C92" s="180" t="str">
        <f>H3</f>
        <v>Natural 
50</v>
      </c>
      <c r="D92" s="577"/>
      <c r="E92" s="578"/>
      <c r="F92" s="578"/>
      <c r="G92" s="579"/>
      <c r="V92" s="124"/>
      <c r="W92" s="124"/>
      <c r="Z92" s="6"/>
      <c r="AA92" s="6"/>
      <c r="AB92" s="6"/>
      <c r="AC92" s="6"/>
      <c r="AD92" s="6"/>
      <c r="AE92" s="6"/>
      <c r="AH92" s="147"/>
      <c r="AI92" s="147"/>
      <c r="AJ92" s="147"/>
    </row>
    <row r="93" spans="1:58" customHeight="1" ht="16.35">
      <c r="A93" s="139"/>
      <c r="B93" s="139">
        <f>IF(A93=0,0,((A93*50)/$B$53))</f>
        <v>0</v>
      </c>
      <c r="C93" s="548"/>
      <c r="D93" s="200"/>
      <c r="E93" s="200"/>
      <c r="F93" s="201"/>
      <c r="G93" s="201"/>
      <c r="V93" s="245"/>
      <c r="W93" s="245"/>
      <c r="Y93" s="213"/>
      <c r="Z93" s="6"/>
      <c r="AA93" s="6"/>
      <c r="AB93" s="6"/>
      <c r="AC93" s="6"/>
      <c r="AD93" s="6"/>
      <c r="AE93" s="6"/>
      <c r="AH93" s="147"/>
      <c r="AI93" s="147"/>
      <c r="AJ93" s="147"/>
    </row>
    <row r="94" spans="1:58" customHeight="1" ht="15.6">
      <c r="A94" s="139">
        <f>I36/2</f>
        <v>0</v>
      </c>
      <c r="B94" s="139">
        <f>IF(A94=0,0,((A94*50)/$B$53))</f>
        <v>0</v>
      </c>
      <c r="C94" s="379" t="str">
        <f>I3</f>
        <v>Fuerte
25</v>
      </c>
      <c r="D94" s="463">
        <v>0.57</v>
      </c>
      <c r="E94" s="182">
        <v>0.13</v>
      </c>
      <c r="F94" s="182">
        <v>0.3</v>
      </c>
      <c r="G94" s="506"/>
      <c r="Y94" s="213"/>
      <c r="Z94" s="6"/>
      <c r="AA94" s="6"/>
      <c r="AB94" s="6"/>
      <c r="AC94" s="6"/>
      <c r="AD94" s="6"/>
      <c r="AE94" s="6"/>
      <c r="AH94" s="147"/>
      <c r="AI94" s="147"/>
      <c r="AJ94" s="147"/>
    </row>
    <row r="95" spans="1:58" customHeight="1" ht="16.35">
      <c r="A95" s="139">
        <f>J36/2</f>
        <v>0</v>
      </c>
      <c r="B95" s="139">
        <f>IF(A95=0,0,((A95*50)/$B$53))</f>
        <v>0</v>
      </c>
      <c r="C95" s="448" t="str">
        <f>J3</f>
        <v>Fuerte exp
25</v>
      </c>
      <c r="D95" s="462">
        <v>0.57</v>
      </c>
      <c r="E95" s="186">
        <v>0.13</v>
      </c>
      <c r="F95" s="382">
        <v>0.3</v>
      </c>
      <c r="G95" s="504"/>
      <c r="Y95" s="213"/>
      <c r="Z95" s="6"/>
      <c r="AA95" s="6"/>
      <c r="AB95" s="6"/>
      <c r="AC95" s="6"/>
      <c r="AD95" s="6"/>
      <c r="AE95" s="6"/>
      <c r="AH95" s="147"/>
      <c r="AI95" s="147"/>
      <c r="AJ95" s="147"/>
    </row>
    <row r="96" spans="1:58" customHeight="1" ht="16.35">
      <c r="A96" s="139">
        <f>I38/2</f>
        <v>0</v>
      </c>
      <c r="B96" s="139">
        <f>IF(A96=0,0,((A96*50)/$B$53))</f>
        <v>0</v>
      </c>
      <c r="C96" s="379" t="str">
        <f>I3</f>
        <v>Fuerte
25</v>
      </c>
      <c r="D96" s="462"/>
      <c r="E96" s="186"/>
      <c r="F96" s="382"/>
      <c r="G96" s="504"/>
      <c r="Y96" s="213"/>
      <c r="Z96" s="6"/>
      <c r="AA96" s="6"/>
      <c r="AB96" s="6"/>
      <c r="AC96" s="6"/>
      <c r="AD96" s="6"/>
      <c r="AE96" s="6"/>
      <c r="AH96" s="147"/>
      <c r="AI96" s="147"/>
      <c r="AJ96" s="147"/>
    </row>
    <row r="97" spans="1:58" customHeight="1" ht="16.35">
      <c r="A97" s="139">
        <f>I39/2</f>
        <v>0</v>
      </c>
      <c r="B97" s="139">
        <f>IF(A97=0,0,((A97*50)/$B$53))</f>
        <v>0</v>
      </c>
      <c r="C97" s="379" t="str">
        <f>C96</f>
        <v>Fuerte
25</v>
      </c>
      <c r="D97" s="462"/>
      <c r="E97" s="186"/>
      <c r="F97" s="382"/>
      <c r="G97" s="504"/>
      <c r="Y97" s="213"/>
      <c r="Z97" s="6"/>
      <c r="AA97" s="6"/>
      <c r="AB97" s="6"/>
      <c r="AC97" s="6"/>
      <c r="AD97" s="6"/>
      <c r="AE97" s="6"/>
      <c r="AH97" s="147"/>
      <c r="AI97" s="147"/>
      <c r="AJ97" s="147"/>
    </row>
    <row r="98" spans="1:58" customHeight="1" ht="16.35">
      <c r="A98" s="139">
        <f>K36</f>
        <v>0</v>
      </c>
      <c r="B98" s="139">
        <f>IF(A98=0,0,((A98*50)/$B$53))</f>
        <v>0</v>
      </c>
      <c r="C98" s="379" t="str">
        <f>K3</f>
        <v>Exclusiva
50</v>
      </c>
      <c r="D98" s="462">
        <v>0.62</v>
      </c>
      <c r="E98" s="186">
        <v>0.13</v>
      </c>
      <c r="F98" s="382">
        <v>0.25</v>
      </c>
      <c r="G98" s="504"/>
      <c r="Y98" s="213"/>
      <c r="Z98" s="6"/>
      <c r="AA98" s="6"/>
      <c r="AB98" s="6"/>
      <c r="AC98" s="6"/>
      <c r="AD98" s="6"/>
      <c r="AE98" s="6"/>
      <c r="AH98" s="147"/>
      <c r="AI98" s="147"/>
      <c r="AJ98" s="147"/>
    </row>
    <row r="99" spans="1:58" customHeight="1" ht="26.85">
      <c r="A99" s="139">
        <f>N36</f>
        <v>0</v>
      </c>
      <c r="B99" s="139">
        <f>IF(A99=0,0,((A99*50)/$B$53))</f>
        <v>0</v>
      </c>
      <c r="C99" s="449" t="str">
        <f>N3</f>
        <v>Harina Tortas y Ponques</v>
      </c>
      <c r="D99" s="462"/>
      <c r="E99" s="186"/>
      <c r="F99" s="186"/>
      <c r="G99" s="504"/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8" customHeight="1" ht="29.25">
      <c r="A100" s="139">
        <f>O36</f>
        <v>0</v>
      </c>
      <c r="B100" s="139">
        <f>IF(A100=0,0,((A100*50)/$B$53))</f>
        <v>0</v>
      </c>
      <c r="C100" s="449" t="str">
        <f>O3</f>
        <v>Harina Galeras Ligera</v>
      </c>
      <c r="D100" s="462"/>
      <c r="E100" s="186"/>
      <c r="F100" s="508"/>
      <c r="G100" s="188"/>
      <c r="H100" s="214"/>
      <c r="I100" s="214"/>
      <c r="J100" s="214"/>
      <c r="K100" s="156"/>
      <c r="L100" s="156"/>
      <c r="M100" s="156"/>
      <c r="N100" s="156"/>
      <c r="O100" s="202"/>
      <c r="P100" s="202"/>
      <c r="Q100" s="214"/>
      <c r="R100" s="214"/>
      <c r="S100" s="214"/>
      <c r="T100" s="156"/>
      <c r="U100" s="156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8" customHeight="1" ht="29.25">
      <c r="A101" s="139">
        <f>O38</f>
        <v>0</v>
      </c>
      <c r="B101" s="139">
        <f>IF(A101=0,0,((A101*50)/$B$53))</f>
        <v>0</v>
      </c>
      <c r="C101" s="449" t="str">
        <f>C100</f>
        <v>Harina Galeras Ligera</v>
      </c>
      <c r="D101" s="462"/>
      <c r="E101" s="186"/>
      <c r="F101" s="186"/>
      <c r="G101" s="504"/>
      <c r="H101" s="214"/>
      <c r="I101" s="214"/>
      <c r="J101" s="214"/>
      <c r="K101" s="156"/>
      <c r="L101" s="156"/>
      <c r="M101" s="156"/>
      <c r="N101" s="156"/>
      <c r="O101" s="202"/>
      <c r="P101" s="202"/>
      <c r="Q101" s="214"/>
      <c r="R101" s="214"/>
      <c r="S101" s="214"/>
      <c r="T101" s="156"/>
      <c r="U101" s="156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8" customHeight="1" ht="17.1">
      <c r="A102" s="139">
        <f>Q36</f>
        <v>0</v>
      </c>
      <c r="B102" s="139">
        <f>IF(A102=0,0,((A102*50)/$B$53))</f>
        <v>0</v>
      </c>
      <c r="C102" s="379" t="str">
        <f>Q3</f>
        <v>ESPECIAL
50</v>
      </c>
      <c r="D102" s="462"/>
      <c r="E102" s="186"/>
      <c r="F102" s="186"/>
      <c r="G102" s="505"/>
      <c r="X102" s="213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8" customHeight="1" ht="31.5">
      <c r="A103" s="139">
        <f>R36/50</f>
        <v>0</v>
      </c>
      <c r="B103" s="139">
        <f>IF(A103=0,0,((A103*50)/$B$53))</f>
        <v>0</v>
      </c>
      <c r="C103" s="449" t="str">
        <f>R3</f>
        <v>Harina de alta proteina x 1
G</v>
      </c>
      <c r="D103" s="462">
        <v>1</v>
      </c>
      <c r="E103" s="186"/>
      <c r="F103" s="186"/>
      <c r="G103" s="505"/>
      <c r="X103" s="213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8" customHeight="1" ht="16.35">
      <c r="A104" s="139">
        <f>R38/50</f>
        <v>0</v>
      </c>
      <c r="B104" s="139">
        <f>IF(A104=0,0,((A104*50)/$B$53))</f>
        <v>0</v>
      </c>
      <c r="C104" s="379" t="s">
        <v>170</v>
      </c>
      <c r="D104" s="381"/>
      <c r="E104" s="230"/>
      <c r="F104" s="230"/>
      <c r="G104" s="505"/>
      <c r="X104" s="213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8" customHeight="1" ht="27.6">
      <c r="A105" s="139">
        <f>S36/50</f>
        <v>0</v>
      </c>
      <c r="B105" s="139">
        <f>IF(A105=0,0,((A105*50)/$B$53))</f>
        <v>0</v>
      </c>
      <c r="C105" s="449" t="str">
        <f>S3</f>
        <v>Harina de baja proteina x 1</v>
      </c>
      <c r="D105" s="381"/>
      <c r="E105" s="230"/>
      <c r="F105" s="230">
        <v>1</v>
      </c>
      <c r="G105" s="505"/>
      <c r="X105" s="213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8" customHeight="1" ht="16.35">
      <c r="A106" s="139">
        <f>S38/50</f>
        <v>0</v>
      </c>
      <c r="B106" s="139">
        <f>IF(A106=0,0,((A106*50)/$B$53))</f>
        <v>0</v>
      </c>
      <c r="C106" s="449" t="s">
        <v>171</v>
      </c>
      <c r="D106" s="381"/>
      <c r="E106" s="230"/>
      <c r="F106" s="230"/>
      <c r="G106" s="507"/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8" customHeight="1" ht="16.35">
      <c r="A107" s="139">
        <f>S39/50</f>
        <v>0</v>
      </c>
      <c r="B107" s="139">
        <f>IF(A107=0,0,((A107*50)/$B$53))</f>
        <v>0</v>
      </c>
      <c r="C107" s="449" t="s">
        <v>171</v>
      </c>
      <c r="D107" s="381"/>
      <c r="E107" s="230"/>
      <c r="F107" s="230"/>
      <c r="G107" s="507"/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8" customHeight="1" ht="24">
      <c r="A108" s="139">
        <f>T36/50</f>
        <v>0</v>
      </c>
      <c r="B108" s="139">
        <f>IF(A108=0,0,((A108*50)/$B$53))</f>
        <v>0</v>
      </c>
      <c r="C108" s="449" t="str">
        <f>T3</f>
        <v>ARTESANAL X 1
G</v>
      </c>
      <c r="D108" s="462">
        <v>0.61</v>
      </c>
      <c r="E108" s="186"/>
      <c r="F108" s="186">
        <v>0.39</v>
      </c>
      <c r="G108" s="505"/>
      <c r="X108" s="213"/>
      <c r="Y108" s="213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8" customHeight="1" ht="22.5">
      <c r="A109" s="139">
        <f>T38/50</f>
        <v>0</v>
      </c>
      <c r="B109" s="139">
        <f>IF(A109=0,0,((A109*50)/$B$53))</f>
        <v>0</v>
      </c>
      <c r="C109" s="449" t="str">
        <f>T3</f>
        <v>ARTESANAL X 1
G</v>
      </c>
      <c r="D109" s="462"/>
      <c r="E109" s="186"/>
      <c r="F109" s="186"/>
      <c r="G109" s="505"/>
      <c r="X109" s="213"/>
      <c r="Y109" s="213"/>
      <c r="Z109" s="6"/>
      <c r="AA109" s="6"/>
      <c r="AB109" s="6"/>
      <c r="AC109" s="6"/>
      <c r="AD109" s="6"/>
      <c r="AE109" s="6"/>
      <c r="AH109" s="147"/>
      <c r="AI109" s="147"/>
      <c r="AJ109" s="147"/>
    </row>
    <row r="110" spans="1:58" customHeight="1" ht="16.35">
      <c r="A110" s="139">
        <f>P36/2</f>
        <v>0</v>
      </c>
      <c r="B110" s="139">
        <f>IF(A110=0,0,((A110*50)/$B$53))</f>
        <v>0</v>
      </c>
      <c r="C110" s="379" t="str">
        <f>P3</f>
        <v>H. Manitova </v>
      </c>
      <c r="D110" s="470"/>
      <c r="E110" s="186"/>
      <c r="F110" s="186"/>
      <c r="G110" s="507"/>
      <c r="X110" s="213"/>
      <c r="Y110" s="213"/>
      <c r="Z110" s="6"/>
      <c r="AA110" s="6"/>
      <c r="AB110" s="6"/>
      <c r="AC110" s="6"/>
      <c r="AD110" s="6"/>
      <c r="AE110" s="6"/>
      <c r="AH110" s="147"/>
      <c r="AI110" s="147"/>
      <c r="AJ110" s="147"/>
    </row>
    <row r="111" spans="1:58" customHeight="1" ht="16.35">
      <c r="A111" s="139">
        <f>U36/2</f>
        <v>0</v>
      </c>
      <c r="B111" s="139">
        <f>IF(A111=0,0,((A111*50)/$B$53))</f>
        <v>0</v>
      </c>
      <c r="C111" s="379" t="str">
        <f>U3</f>
        <v>H. espcial x 25
</v>
      </c>
      <c r="D111" s="378"/>
      <c r="E111" s="251">
        <v>0.14</v>
      </c>
      <c r="F111" s="509">
        <v>0.86</v>
      </c>
      <c r="G111" s="510"/>
      <c r="X111" s="213"/>
      <c r="Y111" s="213"/>
      <c r="Z111" s="6"/>
      <c r="AA111" s="6"/>
      <c r="AB111" s="6"/>
      <c r="AC111" s="6"/>
      <c r="AD111" s="6"/>
      <c r="AE111" s="6"/>
      <c r="AH111" s="147"/>
      <c r="AI111" s="147"/>
      <c r="AJ111" s="147"/>
    </row>
    <row r="112" spans="1:58" customHeight="1" ht="16.35">
      <c r="A112" s="139"/>
      <c r="B112" s="139"/>
      <c r="C112" s="216"/>
      <c r="D112" s="4"/>
      <c r="E112" s="4"/>
      <c r="F112" s="4"/>
      <c r="G112" s="464"/>
      <c r="X112" s="213"/>
      <c r="Y112" s="213"/>
      <c r="Z112" s="6"/>
      <c r="AA112" s="6"/>
      <c r="AB112" s="6"/>
      <c r="AC112" s="6"/>
      <c r="AD112" s="6"/>
      <c r="AE112" s="6"/>
      <c r="AH112" s="147"/>
      <c r="AI112" s="147"/>
      <c r="AJ112" s="147"/>
    </row>
    <row r="113" spans="1:58" customHeight="1" ht="16.35">
      <c r="A113" s="139">
        <f>Z42/2</f>
        <v>0</v>
      </c>
      <c r="B113" s="139">
        <f>IF(A113=0,0,((A113*51.6)))</f>
        <v>0</v>
      </c>
      <c r="C113" s="217" t="str">
        <f>A42</f>
        <v>Grano entero</v>
      </c>
      <c r="D113" s="182"/>
      <c r="E113" s="182"/>
      <c r="F113" s="512"/>
      <c r="G113" s="511"/>
      <c r="X113" s="213"/>
      <c r="Y113" s="213"/>
      <c r="Z113" s="6"/>
      <c r="AA113" s="6"/>
      <c r="AB113" s="6"/>
      <c r="AC113" s="6"/>
      <c r="AD113" s="6"/>
      <c r="AE113" s="6"/>
      <c r="AH113" s="147"/>
      <c r="AI113" s="147"/>
      <c r="AJ113" s="147"/>
    </row>
    <row r="114" spans="1:58" customHeight="1" ht="16.35">
      <c r="A114" s="139">
        <f>Z43/2</f>
        <v>0</v>
      </c>
      <c r="B114" s="139">
        <f>IF(A114=0,0,((A114*50)))</f>
        <v>0</v>
      </c>
      <c r="C114" s="379" t="str">
        <f>A43</f>
        <v>Bio Convercion </v>
      </c>
      <c r="D114" s="462"/>
      <c r="E114" s="366"/>
      <c r="F114" s="186"/>
      <c r="G114" s="505"/>
      <c r="X114" s="213"/>
      <c r="Y114" s="213"/>
      <c r="Z114" s="6"/>
      <c r="AA114" s="6"/>
      <c r="AB114" s="6"/>
      <c r="AC114" s="6"/>
      <c r="AD114" s="6"/>
      <c r="AE114" s="6"/>
      <c r="AH114" s="147"/>
      <c r="AI114" s="147"/>
      <c r="AJ114" s="147"/>
    </row>
    <row r="115" spans="1:58" customHeight="1" ht="16.35">
      <c r="A115" s="139">
        <f>Z45/2</f>
        <v>0</v>
      </c>
      <c r="B115" s="139">
        <f>IF(A115=0,0,((A115*50.55)))</f>
        <v>0</v>
      </c>
      <c r="C115" s="380" t="str">
        <f>A45</f>
        <v>Trigo entero </v>
      </c>
      <c r="D115" s="470"/>
      <c r="E115" s="230"/>
      <c r="F115" s="366"/>
      <c r="G115" s="513"/>
      <c r="X115" s="213"/>
      <c r="Y115" s="213"/>
      <c r="Z115" s="6"/>
      <c r="AA115" s="6"/>
      <c r="AB115" s="6"/>
      <c r="AC115" s="6"/>
      <c r="AD115" s="6"/>
      <c r="AE115" s="6"/>
      <c r="AH115" s="147"/>
      <c r="AI115" s="147"/>
      <c r="AJ115" s="147"/>
    </row>
    <row r="116" spans="1:58" customHeight="1" ht="16.35">
      <c r="A116" s="139">
        <f>AA45/2</f>
        <v>0</v>
      </c>
      <c r="B116" s="139">
        <f>IF(A116=0,0,((A116*52)))</f>
        <v>0</v>
      </c>
      <c r="C116" s="380" t="str">
        <f>C115</f>
        <v>Trigo entero </v>
      </c>
      <c r="D116" s="378"/>
      <c r="E116" s="192"/>
      <c r="F116" s="192"/>
      <c r="G116" s="514"/>
      <c r="X116" s="213"/>
      <c r="Y116" s="213"/>
      <c r="Z116" s="6"/>
      <c r="AA116" s="6"/>
      <c r="AB116" s="6"/>
      <c r="AC116" s="6"/>
      <c r="AD116" s="6"/>
      <c r="AE116" s="6"/>
      <c r="AH116" s="147"/>
      <c r="AI116" s="147"/>
      <c r="AJ116" s="147"/>
    </row>
    <row r="117" spans="1:58" customHeight="1" ht="13.5">
      <c r="B117" s="139">
        <f>SUM(B82:B116)</f>
        <v>0</v>
      </c>
      <c r="X117" s="213"/>
      <c r="Y117" s="386"/>
      <c r="Z117" s="6"/>
      <c r="AA117" s="6"/>
      <c r="AB117" s="6"/>
      <c r="AC117" s="6"/>
      <c r="AD117" s="6"/>
      <c r="AE117" s="6"/>
      <c r="AH117" s="147"/>
      <c r="AI117" s="147"/>
      <c r="AJ117" s="147"/>
      <c r="AO117" s="147"/>
      <c r="AP117" s="147"/>
    </row>
    <row r="118" spans="1:58" customHeight="1" ht="12.75">
      <c r="X118" s="213"/>
      <c r="Y118" s="4"/>
      <c r="Z118" s="4"/>
      <c r="AB118" s="384"/>
      <c r="AC118" s="385"/>
      <c r="AD118" s="4"/>
      <c r="AE118" s="213"/>
      <c r="AF118" s="213"/>
      <c r="AG118" s="6"/>
      <c r="AH118" s="6"/>
      <c r="AI118" s="6"/>
      <c r="AJ118" s="6"/>
      <c r="AK118" s="6"/>
      <c r="AL118" s="6"/>
      <c r="AM118" s="6"/>
      <c r="AP118" s="147"/>
      <c r="AQ118" s="147"/>
      <c r="AV118" s="147"/>
      <c r="AW118" s="147"/>
    </row>
    <row r="119" spans="1:58">
      <c r="X119" s="213"/>
      <c r="Y119" s="4"/>
      <c r="Z119" s="4"/>
      <c r="AB119" s="4"/>
      <c r="AE119" s="213"/>
      <c r="AF119" s="473"/>
      <c r="AG119" s="6"/>
      <c r="AH119" s="6"/>
      <c r="AI119" s="6"/>
      <c r="AJ119" s="6"/>
      <c r="AK119" s="6"/>
      <c r="AL119" s="6"/>
      <c r="AM119" s="6"/>
      <c r="AP119" s="147"/>
      <c r="AQ119" s="147"/>
      <c r="AV119" s="147"/>
      <c r="AW119" s="147"/>
    </row>
    <row r="120" spans="1:58">
      <c r="X120" s="213"/>
      <c r="Y120" s="213"/>
      <c r="Z120" s="4"/>
      <c r="AA120" s="4"/>
      <c r="AC120" s="4"/>
      <c r="AF120" s="213"/>
      <c r="AG120" s="213"/>
      <c r="AH120" s="6"/>
      <c r="AI120" s="6"/>
      <c r="AJ120" s="6"/>
      <c r="AK120" s="6"/>
      <c r="AL120" s="6"/>
      <c r="AM120" s="6"/>
      <c r="AN120" s="6"/>
      <c r="AQ120" s="147"/>
      <c r="AR120" s="147"/>
      <c r="AW120" s="147"/>
      <c r="AX120" s="147"/>
    </row>
    <row r="121" spans="1:58">
      <c r="X121" s="213"/>
      <c r="Z121" s="4"/>
      <c r="AA121" s="4"/>
      <c r="AC121" s="4"/>
      <c r="AF121" s="213"/>
      <c r="AG121" s="213"/>
      <c r="AH121" s="6"/>
      <c r="AI121" s="6"/>
      <c r="AJ121" s="6"/>
      <c r="AK121" s="6"/>
      <c r="AL121" s="6"/>
      <c r="AM121" s="6"/>
      <c r="AN121" s="6"/>
      <c r="AQ121" s="147"/>
      <c r="AR121" s="147"/>
      <c r="AW121" s="147"/>
      <c r="AX121" s="147"/>
    </row>
    <row r="122" spans="1:58">
      <c r="N122" s="4"/>
      <c r="X122" s="213"/>
      <c r="AA122" s="4"/>
      <c r="AC122" s="4"/>
      <c r="AF122" s="213"/>
      <c r="AG122" s="213"/>
      <c r="AH122" s="6"/>
      <c r="AI122" s="6"/>
      <c r="AJ122" s="6"/>
      <c r="AK122" s="6"/>
      <c r="AL122" s="6"/>
      <c r="AM122" s="6"/>
      <c r="AN122" s="6"/>
      <c r="AQ122" s="147"/>
      <c r="AR122" s="147"/>
      <c r="AW122" s="147"/>
      <c r="AX122" s="147"/>
    </row>
    <row r="123" spans="1:58">
      <c r="N123" s="4"/>
      <c r="X123" s="213"/>
      <c r="Z123" s="6"/>
      <c r="AA123" s="6"/>
      <c r="AB123" s="6"/>
      <c r="AC123" s="6"/>
      <c r="AD123" s="6"/>
      <c r="AE123" s="6"/>
      <c r="AH123" s="147"/>
      <c r="AI123" s="147"/>
      <c r="AJ123" s="147"/>
      <c r="AO123" s="147"/>
      <c r="AP123" s="147"/>
    </row>
    <row r="124" spans="1:58">
      <c r="N124" s="4"/>
      <c r="X124" s="213"/>
      <c r="Z124" s="6"/>
      <c r="AA124" s="6"/>
      <c r="AB124" s="6"/>
      <c r="AC124" s="6"/>
      <c r="AD124" s="6"/>
      <c r="AE124" s="6"/>
      <c r="AH124" s="147"/>
      <c r="AI124" s="147"/>
      <c r="AJ124" s="147"/>
      <c r="AO124" s="147"/>
      <c r="AP124" s="147"/>
    </row>
    <row r="125" spans="1:58">
      <c r="N125" s="4"/>
      <c r="X125" s="213"/>
      <c r="AD125" s="6"/>
      <c r="AE125" s="6"/>
      <c r="AH125" s="147"/>
      <c r="AI125" s="147"/>
      <c r="AJ125" s="147"/>
      <c r="AO125" s="147"/>
      <c r="AP125" s="147"/>
    </row>
    <row r="126" spans="1:58">
      <c r="N126" s="4"/>
      <c r="X126" s="4"/>
    </row>
    <row r="127" spans="1:58">
      <c r="N127" s="4"/>
      <c r="X127" s="4"/>
    </row>
    <row r="128" spans="1:58">
      <c r="N128" s="4"/>
    </row>
    <row r="129" spans="1:58">
      <c r="N129" s="4"/>
      <c r="W129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57"/>
    <protectedRange name="Repaso y reproceso_2" sqref="V42:W45"/>
    <protectedRange name="Produccion Harinas_2" sqref="C42:U45"/>
    <protectedRange name="Produccion otros productos_2" sqref="X42:AC45"/>
    <protectedRange name="Datos basculas_2" sqref="AW42:BB45"/>
    <protectedRange name="Horas_2" sqref="AN42:AP45"/>
    <protectedRange name="Fecha_2" sqref="B42:B45"/>
    <protectedRange name="Produccion Harinas" sqref="T5:U8 D5:R8 C9:U35"/>
    <protectedRange name="Datos energia" sqref="H544 G55:H56"/>
    <protectedRange name="Formulas trigo" sqref="H87:J98 D93:F93 H82:J85 D112:F116 H102:J116"/>
    <protectedRange name="Produccion otros productos" sqref="X5:Z8 Z4 AC15 X9:AC13 AB16:AC35 X14:AA35 AB14:AC14"/>
    <protectedRange name="Formulas vitamina" sqref="Z75:AB75"/>
    <protectedRange name="Datos basculas" sqref="AW4:BB35"/>
    <protectedRange name="Horas" sqref="AN4:AP35"/>
    <protectedRange name="Datos Nomina" sqref="O56:Q56"/>
    <protectedRange name="Fecha" sqref="B24:B35"/>
    <protectedRange name="Trigos" sqref="D80:E80 H80:M80"/>
    <protectedRange name="Formulas trigo_3" sqref="H99:J99"/>
    <protectedRange name="Formulas trigo_5" sqref="H100:J101"/>
    <protectedRange name="Datos basculas_4_2_1_2" sqref="BD4:BE5 BC4:BC7"/>
    <protectedRange name="Datos energia_2" sqref="G54:H54"/>
    <protectedRange name="Repaso y reproceso_3" sqref="V4:W4"/>
    <protectedRange name="Produccion Harinas_4" sqref="D4:Q4"/>
    <protectedRange name="Produccion otros productos_3" sqref="X4:Y4"/>
    <protectedRange name="Produccion Harinas_3_1" sqref="R4 T4:U4"/>
    <protectedRange name="Formulas trigo_1" sqref="G82:G85 G112:G116 G87:G93 G108:G109"/>
    <protectedRange name="Formulas trigo_1_2_6_1" sqref="G86"/>
    <protectedRange name="Produccion Harinas_3" sqref="C4:C8"/>
    <protectedRange name="Produccion Harinas_6" sqref="S4:S8"/>
    <protectedRange name="Produccion otros productos_4" sqref="AA4:AC8"/>
    <protectedRange name="Datos energia_1" sqref="G53:H53"/>
    <protectedRange name="Fecha_1" sqref="B4:B23"/>
    <protectedRange name="Formulas trigo_2" sqref="F82:F85 D87:F92 D108:F109"/>
    <protectedRange name="Formulas trigo_1_3_1" sqref="D82:D85"/>
    <protectedRange name="Formulas trigo_1_8_1" sqref="E86"/>
    <protectedRange name="Formulas trigo_1_2_6_2" sqref="F86"/>
    <protectedRange name="Formulas trigo_4" sqref="D102:F107 D96:F97 D110:F111"/>
    <protectedRange name="Formulas trigo_1_4_1" sqref="E99"/>
    <protectedRange name="Formulas trigo_1_2_2_2" sqref="F99"/>
    <protectedRange name="Formulas trigo_1_3_2_1" sqref="D99"/>
    <protectedRange name="Formulas trigo_1_6_1" sqref="E100:E101"/>
    <protectedRange name="Formulas trigo_1_2_4_2" sqref="F100:F101"/>
    <protectedRange name="Formulas trigo_1_3_4_1" sqref="D100:D101"/>
    <protectedRange name="Formulas trigo_1_1" sqref="G94:G101 G104:G107 G110:G111"/>
    <protectedRange name="Formulas trigo_1_2_2_1_1" sqref="G102"/>
    <protectedRange name="Formulas trigo_1_2_4_1_1" sqref="G103"/>
    <protectedRange name="Formulas trigo_2_1" sqref="D98:F98"/>
    <protectedRange name="Formulas trigo_4_1" sqref="D94:F95"/>
  </protectedRanges>
  <mergeCells>
    <mergeCell ref="B1:W1"/>
    <mergeCell ref="AH1:AM1"/>
    <mergeCell ref="AN1:AX1"/>
    <mergeCell ref="B2:Q2"/>
    <mergeCell ref="R2:T2"/>
    <mergeCell ref="V2:W2"/>
    <mergeCell ref="X2:Z2"/>
    <mergeCell ref="AA2:AC2"/>
    <mergeCell ref="AF2:AM2"/>
    <mergeCell ref="AN2:AP2"/>
    <mergeCell ref="AE48:AF48"/>
    <mergeCell ref="AQ2:AU2"/>
    <mergeCell ref="AW2:BF2"/>
    <mergeCell ref="AW4:AW33"/>
    <mergeCell ref="AX4:AX33"/>
    <mergeCell ref="AY4:AY33"/>
    <mergeCell ref="AZ4:AZ33"/>
    <mergeCell ref="BA4:BA33"/>
    <mergeCell ref="BB4:BB33"/>
    <mergeCell ref="BC4:BC33"/>
    <mergeCell ref="BD4:BD33"/>
    <mergeCell ref="BE4:BE33"/>
    <mergeCell ref="BF4:BF33"/>
    <mergeCell ref="AD38:AE38"/>
    <mergeCell ref="AE39:AF39"/>
    <mergeCell ref="AD47:AE47"/>
    <mergeCell ref="R49:U49"/>
    <mergeCell ref="F50:G50"/>
    <mergeCell ref="K50:L50"/>
    <mergeCell ref="O50:P50"/>
    <mergeCell ref="S50:T50"/>
    <mergeCell ref="A49:B49"/>
    <mergeCell ref="C49:C50"/>
    <mergeCell ref="F49:H49"/>
    <mergeCell ref="K49:M49"/>
    <mergeCell ref="O49:Q49"/>
    <mergeCell ref="V50:W50"/>
    <mergeCell ref="F51:G51"/>
    <mergeCell ref="K51:L51"/>
    <mergeCell ref="O51:P51"/>
    <mergeCell ref="S51:T51"/>
    <mergeCell ref="V51:W51"/>
    <mergeCell ref="G53:H53"/>
    <mergeCell ref="K53:L53"/>
    <mergeCell ref="O53:P53"/>
    <mergeCell ref="S53:T53"/>
    <mergeCell ref="V53:W53"/>
    <mergeCell ref="F52:G52"/>
    <mergeCell ref="K52:L52"/>
    <mergeCell ref="O52:P52"/>
    <mergeCell ref="S52:T52"/>
    <mergeCell ref="V52:W52"/>
    <mergeCell ref="G55:H55"/>
    <mergeCell ref="K55:L55"/>
    <mergeCell ref="O55:P55"/>
    <mergeCell ref="S55:T55"/>
    <mergeCell ref="V55:W55"/>
    <mergeCell ref="G54:I54"/>
    <mergeCell ref="K54:L54"/>
    <mergeCell ref="O54:P54"/>
    <mergeCell ref="S54:T54"/>
    <mergeCell ref="V54:W54"/>
    <mergeCell ref="F65:H65"/>
    <mergeCell ref="U65:V65"/>
    <mergeCell ref="G56:H56"/>
    <mergeCell ref="F57:G57"/>
    <mergeCell ref="K57:O57"/>
    <mergeCell ref="G60:H60"/>
    <mergeCell ref="T60:V60"/>
    <mergeCell ref="U61:V61"/>
    <mergeCell ref="F62:H62"/>
    <mergeCell ref="K62:O62"/>
    <mergeCell ref="U62:V62"/>
    <mergeCell ref="F63:G63"/>
    <mergeCell ref="T64:V64"/>
    <mergeCell ref="F70:G70"/>
    <mergeCell ref="V71:V72"/>
    <mergeCell ref="F66:G66"/>
    <mergeCell ref="U66:V66"/>
    <mergeCell ref="U67:V67"/>
    <mergeCell ref="G68:H68"/>
    <mergeCell ref="U68:V68"/>
    <mergeCell ref="G69:H69"/>
    <mergeCell ref="M69:O69"/>
  </mergeCells>
  <conditionalFormatting sqref="I55">
    <cfRule type="cellIs" dxfId="0" priority="4" operator="lessThan" stopIfTrue="1">
      <formula>0.935</formula>
    </cfRule>
  </conditionalFormatting>
  <conditionalFormatting sqref="AF3">
    <cfRule type="cellIs" dxfId="1" priority="3" operator="lessThan" stopIfTrue="1">
      <formula>0.76</formula>
    </cfRule>
  </conditionalFormatting>
  <conditionalFormatting sqref="AF4:AF35">
    <cfRule type="cellIs" dxfId="2" priority="5" operator="lessThan" stopIfTrue="1">
      <formula>0.765</formula>
    </cfRule>
  </conditionalFormatting>
  <conditionalFormatting sqref="AF36 AE76:AE77 AE79:AE91 Z92:AC117 AG118:AI119 AK118:AK119 AH120:AI122 AK120:AL122 Z123:AC124">
    <cfRule type="cellIs" dxfId="1" priority="6" operator="lessThan" stopIfTrue="1">
      <formula>0.76</formula>
    </cfRule>
  </conditionalFormatting>
  <conditionalFormatting sqref="AF42:AF45">
    <cfRule type="cellIs" dxfId="2" priority="1" operator="lessThan" stopIfTrue="1">
      <formula>0.765</formula>
    </cfRule>
  </conditionalFormatting>
  <conditionalFormatting sqref="AH1:AI1 AJ118:AJ122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  <legacyDrawing r:id="rId_comments_vml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29"/>
  <sheetViews>
    <sheetView tabSelected="0" workbookViewId="0" showGridLines="true" showRowColHeaders="1">
      <selection activeCell="A1" sqref="A1"/>
    </sheetView>
  </sheetViews>
  <sheetFormatPr defaultRowHeight="14.4" defaultColWidth="14.42578125" outlineLevelRow="0" outlineLevelCol="0"/>
  <cols>
    <col min="1" max="1" width="11.5703125" customWidth="true" style="1"/>
    <col min="2" max="2" width="16.5703125" customWidth="true" style="1"/>
    <col min="3" max="3" width="13.42578125" customWidth="true" style="1"/>
    <col min="4" max="4" width="10.570312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3.42578125" customWidth="true" style="1"/>
    <col min="10" max="10" width="12.28515625" customWidth="true" style="1"/>
    <col min="11" max="11" width="11.42578125" customWidth="true" style="1"/>
    <col min="12" max="12" width="10.7109375" customWidth="true" style="1"/>
    <col min="13" max="13" width="8.28515625" customWidth="true" style="1"/>
    <col min="14" max="14" width="12.28515625" customWidth="true" style="1"/>
    <col min="15" max="15" width="12" customWidth="true" style="1"/>
    <col min="16" max="16" width="12" customWidth="true" style="1"/>
    <col min="17" max="17" width="10.28515625" customWidth="true" style="1"/>
    <col min="18" max="18" width="13.42578125" customWidth="true" style="1"/>
    <col min="19" max="19" width="10.5703125" customWidth="true" style="1"/>
    <col min="20" max="20" width="12.28515625" customWidth="true" style="1"/>
    <col min="21" max="21" width="11.42578125" customWidth="true" style="1"/>
    <col min="22" max="22" width="8.28515625" customWidth="true" style="1"/>
    <col min="23" max="23" width="10.28515625" customWidth="true" style="1"/>
    <col min="24" max="24" width="13.42578125" customWidth="true" style="1"/>
    <col min="25" max="25" width="9.42578125" customWidth="true" style="1"/>
    <col min="26" max="26" width="7.5703125" customWidth="true" style="1"/>
    <col min="27" max="27" width="9.5703125" customWidth="true" style="1"/>
    <col min="28" max="28" width="9.5703125" customWidth="true" style="1"/>
    <col min="29" max="29" width="11.7109375" customWidth="true" style="1"/>
    <col min="30" max="30" width="10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0.5703125" customWidth="true" style="1"/>
    <col min="51" max="51" width="11.42578125" customWidth="true" style="1"/>
    <col min="52" max="52" width="8.28515625" customWidth="true" style="1"/>
    <col min="53" max="53" width="12" customWidth="true" style="1"/>
    <col min="54" max="54" width="12" customWidth="true" style="1"/>
    <col min="55" max="55" width="12" customWidth="true" style="1"/>
    <col min="56" max="56" width="14.42578125" style="1"/>
  </cols>
  <sheetData>
    <row r="1" spans="1:58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8" customHeight="1" ht="18.75">
      <c r="B2" s="701" t="s">
        <v>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2"/>
      <c r="Q2" s="703"/>
      <c r="R2" s="704" t="s">
        <v>4</v>
      </c>
      <c r="S2" s="705"/>
      <c r="T2" s="706"/>
      <c r="U2" s="416" t="s">
        <v>5</v>
      </c>
      <c r="V2" s="704" t="s">
        <v>6</v>
      </c>
      <c r="W2" s="707"/>
      <c r="X2" s="708" t="s">
        <v>7</v>
      </c>
      <c r="Y2" s="708"/>
      <c r="Z2" s="708"/>
      <c r="AA2" s="709" t="s">
        <v>8</v>
      </c>
      <c r="AB2" s="709"/>
      <c r="AC2" s="709"/>
      <c r="AD2" s="6"/>
      <c r="AE2" s="6"/>
      <c r="AF2" s="710" t="s">
        <v>9</v>
      </c>
      <c r="AG2" s="710"/>
      <c r="AH2" s="710"/>
      <c r="AI2" s="710"/>
      <c r="AJ2" s="710"/>
      <c r="AK2" s="710"/>
      <c r="AL2" s="710"/>
      <c r="AM2" s="710"/>
      <c r="AN2" s="711" t="s">
        <v>10</v>
      </c>
      <c r="AO2" s="711"/>
      <c r="AP2" s="711"/>
      <c r="AQ2" s="712" t="s">
        <v>11</v>
      </c>
      <c r="AR2" s="712"/>
      <c r="AS2" s="712"/>
      <c r="AT2" s="712"/>
      <c r="AU2" s="712"/>
      <c r="AV2" s="471" t="s">
        <v>12</v>
      </c>
      <c r="AW2" s="712" t="s">
        <v>13</v>
      </c>
      <c r="AX2" s="712"/>
      <c r="AY2" s="712"/>
      <c r="AZ2" s="712"/>
      <c r="BA2" s="712"/>
      <c r="BB2" s="712"/>
      <c r="BC2" s="712"/>
      <c r="BD2" s="712"/>
      <c r="BE2" s="712"/>
      <c r="BF2" s="712"/>
    </row>
    <row r="3" spans="1:58" customHeight="1" ht="53.25" s="40" customFormat="1">
      <c r="A3" s="8" t="s">
        <v>14</v>
      </c>
      <c r="B3" s="333" t="s">
        <v>15</v>
      </c>
      <c r="C3" s="566" t="s">
        <v>16</v>
      </c>
      <c r="D3" s="567" t="s">
        <v>17</v>
      </c>
      <c r="E3" s="549" t="s">
        <v>18</v>
      </c>
      <c r="F3" s="550" t="s">
        <v>19</v>
      </c>
      <c r="G3" s="551" t="s">
        <v>20</v>
      </c>
      <c r="H3" s="552" t="s">
        <v>21</v>
      </c>
      <c r="I3" s="553" t="s">
        <v>22</v>
      </c>
      <c r="J3" s="553" t="s">
        <v>23</v>
      </c>
      <c r="K3" s="554" t="s">
        <v>24</v>
      </c>
      <c r="L3" s="554" t="s">
        <v>25</v>
      </c>
      <c r="M3" s="555" t="s">
        <v>26</v>
      </c>
      <c r="N3" s="553" t="s">
        <v>27</v>
      </c>
      <c r="O3" s="553" t="s">
        <v>28</v>
      </c>
      <c r="P3" s="556" t="s">
        <v>29</v>
      </c>
      <c r="Q3" s="557" t="s">
        <v>30</v>
      </c>
      <c r="R3" s="409" t="s">
        <v>31</v>
      </c>
      <c r="S3" s="284" t="s">
        <v>32</v>
      </c>
      <c r="T3" s="559" t="s">
        <v>33</v>
      </c>
      <c r="U3" s="558" t="s">
        <v>34</v>
      </c>
      <c r="V3" s="405" t="s">
        <v>35</v>
      </c>
      <c r="W3" s="562" t="s">
        <v>36</v>
      </c>
      <c r="X3" s="560" t="s">
        <v>37</v>
      </c>
      <c r="Y3" s="561" t="s">
        <v>38</v>
      </c>
      <c r="Z3" s="565" t="s">
        <v>39</v>
      </c>
      <c r="AA3" s="563" t="s">
        <v>40</v>
      </c>
      <c r="AB3" s="334" t="s">
        <v>41</v>
      </c>
      <c r="AC3" s="564" t="s">
        <v>42</v>
      </c>
      <c r="AD3" s="27" t="s">
        <v>43</v>
      </c>
      <c r="AE3" s="27" t="s">
        <v>44</v>
      </c>
      <c r="AF3" s="335" t="s">
        <v>45</v>
      </c>
      <c r="AG3" s="336" t="s">
        <v>46</v>
      </c>
      <c r="AH3" s="337" t="str">
        <f>X3</f>
        <v>Germen 
25</v>
      </c>
      <c r="AI3" s="338" t="s">
        <v>47</v>
      </c>
      <c r="AJ3" s="337" t="str">
        <f>AA3</f>
        <v>Salvado 
25</v>
      </c>
      <c r="AK3" s="339" t="str">
        <f>AB3</f>
        <v>Mogolla 
40</v>
      </c>
      <c r="AL3" s="339" t="str">
        <f>AC3</f>
        <v>Segunda  
50</v>
      </c>
      <c r="AM3" s="340" t="str">
        <f>B3</f>
        <v>Fecha</v>
      </c>
      <c r="AN3" s="341" t="s">
        <v>48</v>
      </c>
      <c r="AO3" s="342" t="s">
        <v>49</v>
      </c>
      <c r="AP3" s="342" t="s">
        <v>50</v>
      </c>
      <c r="AQ3" s="343" t="s">
        <v>51</v>
      </c>
      <c r="AR3" s="344" t="s">
        <v>52</v>
      </c>
      <c r="AS3" s="344" t="s">
        <v>53</v>
      </c>
      <c r="AT3" s="344" t="s">
        <v>54</v>
      </c>
      <c r="AU3" s="344" t="s">
        <v>55</v>
      </c>
      <c r="AV3" s="343" t="s">
        <v>56</v>
      </c>
      <c r="AW3" s="345" t="s">
        <v>57</v>
      </c>
      <c r="AX3" s="345" t="s">
        <v>58</v>
      </c>
      <c r="AY3" s="345" t="s">
        <v>59</v>
      </c>
      <c r="AZ3" s="345" t="s">
        <v>60</v>
      </c>
      <c r="BA3" s="346" t="s">
        <v>61</v>
      </c>
      <c r="BB3" s="346" t="s">
        <v>62</v>
      </c>
      <c r="BC3" s="347" t="s">
        <v>63</v>
      </c>
      <c r="BD3" s="345" t="s">
        <v>64</v>
      </c>
      <c r="BE3" s="348" t="s">
        <v>65</v>
      </c>
      <c r="BF3" s="349" t="s">
        <v>66</v>
      </c>
    </row>
    <row r="4" spans="1:58" customHeight="1" ht="13.9">
      <c r="A4" s="485" t="str">
        <f>IF(B4="","",1)</f>
        <v/>
      </c>
      <c r="B4" s="42"/>
      <c r="C4" s="43"/>
      <c r="D4" s="526"/>
      <c r="E4" s="527"/>
      <c r="F4" s="241"/>
      <c r="G4" s="528"/>
      <c r="H4" s="44"/>
      <c r="I4" s="48"/>
      <c r="J4" s="48"/>
      <c r="K4" s="44"/>
      <c r="L4" s="493"/>
      <c r="M4" s="493"/>
      <c r="N4" s="244"/>
      <c r="O4" s="244"/>
      <c r="P4" s="465"/>
      <c r="Q4" s="529"/>
      <c r="R4" s="497"/>
      <c r="S4" s="275"/>
      <c r="T4" s="241"/>
      <c r="U4" s="450"/>
      <c r="V4" s="406"/>
      <c r="W4" s="241"/>
      <c r="X4" s="451"/>
      <c r="Y4" s="52"/>
      <c r="Z4" s="530"/>
      <c r="AA4" s="280"/>
      <c r="AB4" s="53"/>
      <c r="AC4" s="54"/>
      <c r="AD4" s="55" t="str">
        <f>IF(B4="","",(((C4+F4+H4+K4+Q4+N4+O4)*50))+((E4*10))+(((I4+J4+D4+G4+L4+M4+U4)*25)+(X4*25)+(Y4*25)+(Z4*25)+(AA4*25)+(AB4*40)+(AC4*50)+(R4*1)+(S4*1)+(T4*1)))</f>
        <v/>
      </c>
      <c r="AE4" s="55" t="str">
        <f>IF(B4="","",C4+F4+H4+K4+Q4+N4+O4+((I4+J4+D4+G4)/2)+(R4/50)+(S4/50)+(T4/50)+(U4/2)+(E4/5))</f>
        <v/>
      </c>
      <c r="AF4" s="56" t="str">
        <f>IF(B4="","",((AE4*50)/AD4))</f>
        <v/>
      </c>
      <c r="AG4" s="57" t="str">
        <f>IF(C4="","",((Z4)*25)/AD4)</f>
        <v/>
      </c>
      <c r="AH4" s="57" t="str">
        <f>IF(B4="","",(X4*25)/AD4)</f>
        <v/>
      </c>
      <c r="AI4" s="57" t="str">
        <f>IF(B4="","",(Y4*25)/AD4)</f>
        <v/>
      </c>
      <c r="AJ4" s="57" t="str">
        <f>IF(B4="","",(AA4*25)/AD4)</f>
        <v/>
      </c>
      <c r="AK4" s="58" t="str">
        <f>IF(B4="","",(AB4*40)/AD4)</f>
        <v/>
      </c>
      <c r="AL4" s="58" t="str">
        <f>IF(B4="","",(AC4*50)/AD4)</f>
        <v/>
      </c>
      <c r="AM4" s="59" t="str">
        <f>IF(B4="","",B4)</f>
        <v/>
      </c>
      <c r="AN4" s="235"/>
      <c r="AO4" s="61"/>
      <c r="AP4" s="236"/>
      <c r="AQ4" s="63" t="str">
        <f>IF(AN4="","",AN4/AO4)</f>
        <v/>
      </c>
      <c r="AR4" s="64" t="str">
        <f>IF(AN4="","",(AD4/AN4)/1000)</f>
        <v/>
      </c>
      <c r="AS4" s="64" t="str">
        <f>IF(AN4="","",AR4*24)</f>
        <v/>
      </c>
      <c r="AT4" s="65" t="str">
        <f>IF(AN4="","",(AD4/1000)*100%/AS4)</f>
        <v/>
      </c>
      <c r="AU4" s="64" t="str">
        <f>IF(AN4="","",(AE4/AN4))</f>
        <v/>
      </c>
      <c r="AV4" s="229" t="str">
        <f>IF(AN4="","",(AD4/AO4)/1000)</f>
        <v/>
      </c>
      <c r="AW4" s="713"/>
      <c r="AX4" s="713"/>
      <c r="AY4" s="713"/>
      <c r="AZ4" s="722"/>
      <c r="BA4" s="713"/>
      <c r="BB4" s="724"/>
      <c r="BC4" s="726"/>
      <c r="BD4" s="726"/>
      <c r="BE4" s="726"/>
      <c r="BF4" s="728"/>
    </row>
    <row r="5" spans="1:58" customHeight="1" ht="13.9">
      <c r="A5" s="485" t="str">
        <f>IF(B5="","",2)</f>
        <v/>
      </c>
      <c r="B5" s="68"/>
      <c r="C5" s="69"/>
      <c r="D5" s="70"/>
      <c r="E5" s="76"/>
      <c r="F5" s="70"/>
      <c r="G5" s="76"/>
      <c r="H5" s="70"/>
      <c r="I5" s="75"/>
      <c r="J5" s="75"/>
      <c r="K5" s="70"/>
      <c r="L5" s="494"/>
      <c r="M5" s="494"/>
      <c r="N5" s="76"/>
      <c r="O5" s="248"/>
      <c r="P5" s="466"/>
      <c r="Q5" s="412"/>
      <c r="R5" s="410"/>
      <c r="S5" s="277"/>
      <c r="T5" s="401"/>
      <c r="U5" s="407"/>
      <c r="V5" s="249"/>
      <c r="W5" s="401"/>
      <c r="X5" s="278"/>
      <c r="Y5" s="78"/>
      <c r="Z5" s="403"/>
      <c r="AA5" s="281"/>
      <c r="AB5" s="79"/>
      <c r="AC5" s="80"/>
      <c r="AD5" s="55" t="str">
        <f>IF(B5="","",(((C5+F5+H5+K5+Q5+N5+O5)*50))+((E5*10))+(((I5+J5+D5+G5+L5+M5+U5)*25)+(X5*25)+(Y5*25)+(Z5*25)+(AA5*25)+(AB5*40)+(AC5*50)+(R5*1)+(S5*1)+(T5*1)))</f>
        <v/>
      </c>
      <c r="AE5" s="55" t="str">
        <f>IF(B5="","",C5+F5+H5+K5+Q5+N5+O5+((I5+J5+D5+G5+U5)/2)+(R5/50)+(S5/50)+(T5/50)+(E5/5))</f>
        <v/>
      </c>
      <c r="AF5" s="56" t="str">
        <f>IF(B5="","",((AE5*50)/AD5))</f>
        <v/>
      </c>
      <c r="AG5" s="57" t="str">
        <f>IF(C5="","",((Z5)*25)/AD5)</f>
        <v/>
      </c>
      <c r="AH5" s="57" t="str">
        <f>IF(B5="","",(X5*25)/AD5)</f>
        <v/>
      </c>
      <c r="AI5" s="57" t="str">
        <f>IF(B5="","",(Y5*25)/AD5)</f>
        <v/>
      </c>
      <c r="AJ5" s="57" t="str">
        <f>IF(B5="","",(AA5*25)/AD5)</f>
        <v/>
      </c>
      <c r="AK5" s="58" t="str">
        <f>IF(B5="","",(AB5*40)/AD5)</f>
        <v/>
      </c>
      <c r="AL5" s="58" t="str">
        <f>IF(B5="","",(AC5*50)/AD5)</f>
        <v/>
      </c>
      <c r="AM5" s="59" t="str">
        <f>IF(B5="","",B5)</f>
        <v/>
      </c>
      <c r="AN5" s="233"/>
      <c r="AO5" s="82"/>
      <c r="AP5" s="234"/>
      <c r="AQ5" s="63" t="str">
        <f>IF(AN5="","",AN5/AO5)</f>
        <v/>
      </c>
      <c r="AR5" s="64" t="str">
        <f>IF(AN5="","",(AD5/AN5)/1000)</f>
        <v/>
      </c>
      <c r="AS5" s="64" t="str">
        <f>IF(AN5="","",AR5*24)</f>
        <v/>
      </c>
      <c r="AT5" s="65" t="str">
        <f>IF(AN5="","",(AD5/1000)*100%/AS5)</f>
        <v/>
      </c>
      <c r="AU5" s="64" t="str">
        <f>IF(AN5="","",(AE5/AN5))</f>
        <v/>
      </c>
      <c r="AV5" s="229" t="str">
        <f>IF(AN5="","",(AD5/AO5)/1000)</f>
        <v/>
      </c>
      <c r="AW5" s="714"/>
      <c r="AX5" s="714"/>
      <c r="AY5" s="714"/>
      <c r="AZ5" s="723"/>
      <c r="BA5" s="714"/>
      <c r="BB5" s="725"/>
      <c r="BC5" s="727"/>
      <c r="BD5" s="727"/>
      <c r="BE5" s="727"/>
      <c r="BF5" s="729"/>
    </row>
    <row r="6" spans="1:58" customHeight="1" ht="13.9">
      <c r="A6" s="485" t="str">
        <f>IF(B6="","",3)</f>
        <v/>
      </c>
      <c r="B6" s="68"/>
      <c r="C6" s="69"/>
      <c r="D6" s="70"/>
      <c r="E6" s="76"/>
      <c r="F6" s="70"/>
      <c r="G6" s="76"/>
      <c r="H6" s="70"/>
      <c r="I6" s="491"/>
      <c r="J6" s="491"/>
      <c r="K6" s="70"/>
      <c r="L6" s="494"/>
      <c r="M6" s="494"/>
      <c r="N6" s="76"/>
      <c r="O6" s="76"/>
      <c r="P6" s="467"/>
      <c r="Q6" s="412"/>
      <c r="R6" s="410"/>
      <c r="S6" s="276"/>
      <c r="T6" s="401"/>
      <c r="U6" s="407"/>
      <c r="V6" s="249"/>
      <c r="W6" s="401"/>
      <c r="X6" s="278"/>
      <c r="Y6" s="78"/>
      <c r="Z6" s="403"/>
      <c r="AA6" s="281"/>
      <c r="AB6" s="79"/>
      <c r="AC6" s="85"/>
      <c r="AD6" s="55" t="str">
        <f>IF(B6="","",(((C6+F6+H6+K6+Q6+N6+O6)*50))+((E6*10))+(((I6+J6+D6+G6+L6+M6+U6)*25)+(X6*25)+(Y6*25)+(Z6*25)+(AA6*25)+(AB6*40)+(AC6*50)+(R6*1)+(S6*1)+(T6*1)))</f>
        <v/>
      </c>
      <c r="AE6" s="55" t="str">
        <f>IF(B6="","",C6+F6+H6+K6+Q6+N6+O6+((I6+J6+D6+G6+U6)/2)+(R6/50)+(S6/50)+(T6/50)+(E6/5))</f>
        <v/>
      </c>
      <c r="AF6" s="56" t="str">
        <f>IF(B6="","",((AE6*50)/AD6))</f>
        <v/>
      </c>
      <c r="AG6" s="57" t="str">
        <f>IF(C6="","",((Z6)*25)/AD6)</f>
        <v/>
      </c>
      <c r="AH6" s="57" t="str">
        <f>IF(B6="","",(X6*25)/AD6)</f>
        <v/>
      </c>
      <c r="AI6" s="57" t="str">
        <f>IF(B6="","",(Y6*25)/AD6)</f>
        <v/>
      </c>
      <c r="AJ6" s="57" t="str">
        <f>IF(B6="","",(AA6*25)/AD6)</f>
        <v/>
      </c>
      <c r="AK6" s="58" t="str">
        <f>IF(B6="","",(AB6*40)/AD6)</f>
        <v/>
      </c>
      <c r="AL6" s="58" t="str">
        <f>IF(B6="","",(AC6*50)/AD6)</f>
        <v/>
      </c>
      <c r="AM6" s="59" t="str">
        <f>IF(B6="","",B6)</f>
        <v/>
      </c>
      <c r="AN6" s="233"/>
      <c r="AO6" s="82"/>
      <c r="AP6" s="234"/>
      <c r="AQ6" s="63" t="str">
        <f>IF(AN6="","",AN6/AO6)</f>
        <v/>
      </c>
      <c r="AR6" s="64" t="str">
        <f>IF(AN6="","",(AD6/AN6)/1000)</f>
        <v/>
      </c>
      <c r="AS6" s="64" t="str">
        <f>IF(AN6="","",AR6*24)</f>
        <v/>
      </c>
      <c r="AT6" s="65" t="str">
        <f>IF(AN6="","",(AD6/1000)*100%/AS6)</f>
        <v/>
      </c>
      <c r="AU6" s="64" t="str">
        <f>IF(AN6="","",(AE6/AN6))</f>
        <v/>
      </c>
      <c r="AV6" s="229" t="str">
        <f>IF(AN6="","",(AD6/AO6)/1000)</f>
        <v/>
      </c>
      <c r="AW6" s="714"/>
      <c r="AX6" s="714"/>
      <c r="AY6" s="714"/>
      <c r="AZ6" s="723"/>
      <c r="BA6" s="714"/>
      <c r="BB6" s="725"/>
      <c r="BC6" s="727"/>
      <c r="BD6" s="727"/>
      <c r="BE6" s="727"/>
      <c r="BF6" s="729"/>
    </row>
    <row r="7" spans="1:58" customHeight="1" ht="13.9">
      <c r="A7" s="485" t="str">
        <f>IF(B7="","",4)</f>
        <v/>
      </c>
      <c r="B7" s="68"/>
      <c r="C7" s="69"/>
      <c r="D7" s="70"/>
      <c r="E7" s="76"/>
      <c r="F7" s="70"/>
      <c r="G7" s="76"/>
      <c r="H7" s="70"/>
      <c r="I7" s="414"/>
      <c r="J7" s="414"/>
      <c r="K7" s="70"/>
      <c r="L7" s="494"/>
      <c r="M7" s="494"/>
      <c r="N7" s="76"/>
      <c r="O7" s="76"/>
      <c r="P7" s="467"/>
      <c r="Q7" s="412"/>
      <c r="R7" s="410"/>
      <c r="S7" s="274"/>
      <c r="T7" s="401"/>
      <c r="U7" s="407"/>
      <c r="V7" s="249"/>
      <c r="W7" s="401"/>
      <c r="X7" s="278"/>
      <c r="Y7" s="78"/>
      <c r="Z7" s="403"/>
      <c r="AA7" s="281"/>
      <c r="AB7" s="79"/>
      <c r="AC7" s="85"/>
      <c r="AD7" s="55" t="str">
        <f>IF(B7="","",(((C7+F7+H7+K7+Q7+N7+O7)*50))+((E7*10))+(((I7+J7+D7+G7+L7+M7+U7)*25)+(X7*25)+(Y7*25)+(Z7*25)+(AA7*25)+(AB7*40)+(AC7*50)+(R7*1)+(S7*1)+(T7*1)))</f>
        <v/>
      </c>
      <c r="AE7" s="55" t="str">
        <f>IF(B7="","",C7+F7+H7+K7+Q7+N7+O7+((I7+J7+D7+G7+U7)/2)+(R7/50)+(S7/50)+(T7/50)+(E7/5))</f>
        <v/>
      </c>
      <c r="AF7" s="56" t="str">
        <f>IF(B7="","",((AE7*50)/AD7))</f>
        <v/>
      </c>
      <c r="AG7" s="57" t="str">
        <f>IF(C7="","",((Z7)*25)/AD7)</f>
        <v/>
      </c>
      <c r="AH7" s="57" t="str">
        <f>IF(B7="","",(X7*25)/AD7)</f>
        <v/>
      </c>
      <c r="AI7" s="57" t="str">
        <f>IF(B7="","",(Y7*25)/AD7)</f>
        <v/>
      </c>
      <c r="AJ7" s="57" t="str">
        <f>IF(B7="","",(AA7*25)/AD7)</f>
        <v/>
      </c>
      <c r="AK7" s="58" t="str">
        <f>IF(B7="","",(AB7*40)/AD7)</f>
        <v/>
      </c>
      <c r="AL7" s="58" t="str">
        <f>IF(B7="","",(AC7*50)/AD7)</f>
        <v/>
      </c>
      <c r="AM7" s="59" t="str">
        <f>IF(B7="","",B7)</f>
        <v/>
      </c>
      <c r="AN7" s="233"/>
      <c r="AO7" s="82"/>
      <c r="AP7" s="234"/>
      <c r="AQ7" s="63" t="str">
        <f>IF(AN7="","",AN7/AO7)</f>
        <v/>
      </c>
      <c r="AR7" s="64" t="str">
        <f>IF(AN7="","",(AD7/AN7)/1000)</f>
        <v/>
      </c>
      <c r="AS7" s="64" t="str">
        <f>IF(AN7="","",AR7*24)</f>
        <v/>
      </c>
      <c r="AT7" s="65" t="str">
        <f>IF(AN7="","",(AD7/1000)*100%/AS7)</f>
        <v/>
      </c>
      <c r="AU7" s="64" t="str">
        <f>IF(AN7="","",(AE7/AN7))</f>
        <v/>
      </c>
      <c r="AV7" s="229" t="str">
        <f>IF(AN7="","",(AD7/AO7)/1000)</f>
        <v/>
      </c>
      <c r="AW7" s="714"/>
      <c r="AX7" s="714"/>
      <c r="AY7" s="714"/>
      <c r="AZ7" s="723"/>
      <c r="BA7" s="714"/>
      <c r="BB7" s="725"/>
      <c r="BC7" s="727"/>
      <c r="BD7" s="727"/>
      <c r="BE7" s="727"/>
      <c r="BF7" s="729"/>
    </row>
    <row r="8" spans="1:58" customHeight="1" ht="13.9">
      <c r="A8" s="485" t="str">
        <f>IF(B8="","",5)</f>
        <v/>
      </c>
      <c r="B8" s="68"/>
      <c r="C8" s="69"/>
      <c r="D8" s="70"/>
      <c r="E8" s="76"/>
      <c r="F8" s="70"/>
      <c r="G8" s="76"/>
      <c r="H8" s="70"/>
      <c r="I8" s="491"/>
      <c r="J8" s="491"/>
      <c r="K8" s="70"/>
      <c r="L8" s="494"/>
      <c r="M8" s="494"/>
      <c r="N8" s="76"/>
      <c r="O8" s="76"/>
      <c r="P8" s="467"/>
      <c r="Q8" s="412"/>
      <c r="R8" s="422"/>
      <c r="S8" s="274"/>
      <c r="T8" s="401"/>
      <c r="U8" s="407"/>
      <c r="V8" s="249"/>
      <c r="W8" s="401"/>
      <c r="X8" s="278"/>
      <c r="Y8" s="78"/>
      <c r="Z8" s="403"/>
      <c r="AA8" s="281"/>
      <c r="AB8" s="79"/>
      <c r="AC8" s="85"/>
      <c r="AD8" s="55" t="str">
        <f>IF(B8="","",(((C8+F8+H8+K8+Q8+N8+O8)*50))+((E8*10))+(((I8+J8+D8+G8+L8+M8+U8)*25)+(X8*25)+(Y8*25)+(Z8*25)+(AA8*25)+(AB8*40)+(AC8*50)+(R8*1)+(S8*1)+(T8*1)))</f>
        <v/>
      </c>
      <c r="AE8" s="55" t="str">
        <f>IF(B8="","",C8+F8+H8+K8+Q8+N8+O8+((I8+J8+D8+G8+U8)/2)+(R8/50)+(S8/50)+(T8/50)+(E8/5))</f>
        <v/>
      </c>
      <c r="AF8" s="56" t="str">
        <f>IF(B8="","",((AE8*50)/AD8))</f>
        <v/>
      </c>
      <c r="AG8" s="252" t="str">
        <f>IF(C8="","",((Z8)*25)/AD8)</f>
        <v/>
      </c>
      <c r="AH8" s="57" t="str">
        <f>IF(B8="","",(X8*25)/AD8)</f>
        <v/>
      </c>
      <c r="AI8" s="57" t="str">
        <f>IF(B8="","",(Y8*25)/AD8)</f>
        <v/>
      </c>
      <c r="AJ8" s="57" t="str">
        <f>IF(B8="","",(AA8*25)/AD8)</f>
        <v/>
      </c>
      <c r="AK8" s="58" t="str">
        <f>IF(B8="","",(AB8*40)/AD8)</f>
        <v/>
      </c>
      <c r="AL8" s="58" t="str">
        <f>IF(B8="","",(AC8*50)/AD8)</f>
        <v/>
      </c>
      <c r="AM8" s="59" t="str">
        <f>IF(B8="","",B8)</f>
        <v/>
      </c>
      <c r="AN8" s="233"/>
      <c r="AO8" s="82"/>
      <c r="AP8" s="234"/>
      <c r="AQ8" s="63" t="str">
        <f>IF(AN8="","",AN8/AO8)</f>
        <v/>
      </c>
      <c r="AR8" s="64" t="str">
        <f>IF(AN8="","",(AD8/AN8)/1000)</f>
        <v/>
      </c>
      <c r="AS8" s="64" t="str">
        <f>IF(AN8="","",AR8*24)</f>
        <v/>
      </c>
      <c r="AT8" s="65" t="str">
        <f>IF(AN8="","",(AD8/1000)*100%/AS8)</f>
        <v/>
      </c>
      <c r="AU8" s="64" t="str">
        <f>IF(AN8="","",(AE8/AN8))</f>
        <v/>
      </c>
      <c r="AV8" s="229" t="str">
        <f>IF(AN8="","",(AD8/AO8)/1000)</f>
        <v/>
      </c>
      <c r="AW8" s="714"/>
      <c r="AX8" s="714"/>
      <c r="AY8" s="714"/>
      <c r="AZ8" s="723"/>
      <c r="BA8" s="714"/>
      <c r="BB8" s="725"/>
      <c r="BC8" s="727"/>
      <c r="BD8" s="727"/>
      <c r="BE8" s="727"/>
      <c r="BF8" s="729"/>
    </row>
    <row r="9" spans="1:58" customHeight="1" ht="15">
      <c r="A9" s="485" t="str">
        <f>IF(B9="","",6)</f>
        <v/>
      </c>
      <c r="B9" s="68"/>
      <c r="C9" s="69"/>
      <c r="D9" s="70"/>
      <c r="E9" s="76"/>
      <c r="F9" s="70"/>
      <c r="G9" s="76"/>
      <c r="H9" s="70"/>
      <c r="I9" s="491"/>
      <c r="J9" s="491"/>
      <c r="K9" s="70"/>
      <c r="L9" s="494"/>
      <c r="M9" s="494"/>
      <c r="N9" s="76"/>
      <c r="O9" s="76"/>
      <c r="P9" s="467"/>
      <c r="Q9" s="412"/>
      <c r="R9" s="410"/>
      <c r="S9" s="242"/>
      <c r="T9" s="401"/>
      <c r="U9" s="407"/>
      <c r="V9" s="249"/>
      <c r="W9" s="401"/>
      <c r="X9" s="278"/>
      <c r="Y9" s="78"/>
      <c r="Z9" s="403"/>
      <c r="AA9" s="281"/>
      <c r="AB9" s="79"/>
      <c r="AC9" s="85"/>
      <c r="AD9" s="55" t="str">
        <f>IF(B9="","",(((C9+F9+H9+K9+Q9+N9+O9)*50))+((E9*10))+(((I9+J9+D9+G9+L9+M9+U9)*25)+(X9*25)+(Y9*25)+(Z9*25)+(AA9*25)+(AB9*40)+(AC9*50)+(R9*1)+(S9*1)+(T9*1)))</f>
        <v/>
      </c>
      <c r="AE9" s="55" t="str">
        <f>IF(B9="","",C9+F9+H9+K9+Q9+N9+O9+((I9+J9+D9+G9+U9)/2)+(R9/50)+(S9/50)+(T9/50)+(E9/5))</f>
        <v/>
      </c>
      <c r="AF9" s="56" t="str">
        <f>IF(B9="","",((AE9*50)/AD9))</f>
        <v/>
      </c>
      <c r="AG9" s="57" t="str">
        <f>IF(C9="","",((Z9)*25)/AD9)</f>
        <v/>
      </c>
      <c r="AH9" s="57" t="str">
        <f>IF(B9="","",(X9*25)/AD9)</f>
        <v/>
      </c>
      <c r="AI9" s="57" t="str">
        <f>IF(B9="","",(Y9*25)/AD9)</f>
        <v/>
      </c>
      <c r="AJ9" s="57" t="str">
        <f>IF(B9="","",(AA9*25)/AD9)</f>
        <v/>
      </c>
      <c r="AK9" s="58" t="str">
        <f>IF(B9="","",(AB9*40)/AD9)</f>
        <v/>
      </c>
      <c r="AL9" s="58" t="str">
        <f>IF(B9="","",(AC9*50)/AD9)</f>
        <v/>
      </c>
      <c r="AM9" s="59" t="str">
        <f>IF(B9="","",B9)</f>
        <v/>
      </c>
      <c r="AN9" s="233"/>
      <c r="AO9" s="82"/>
      <c r="AP9" s="234"/>
      <c r="AQ9" s="63" t="str">
        <f>IF(AN9="","",AN9/AO9)</f>
        <v/>
      </c>
      <c r="AR9" s="64" t="str">
        <f>IF(AN9="","",(AD9/AN9)/1000)</f>
        <v/>
      </c>
      <c r="AS9" s="64" t="str">
        <f>IF(AN9="","",AR9*24)</f>
        <v/>
      </c>
      <c r="AT9" s="65" t="str">
        <f>IF(AN9="","",(AD9/1000)*100%/AS9)</f>
        <v/>
      </c>
      <c r="AU9" s="64" t="str">
        <f>IF(AN9="","",(AE9/AN9))</f>
        <v/>
      </c>
      <c r="AV9" s="229" t="str">
        <f>IF(AN9="","",(AD9/AO9)/1000)</f>
        <v/>
      </c>
      <c r="AW9" s="714"/>
      <c r="AX9" s="714"/>
      <c r="AY9" s="714"/>
      <c r="AZ9" s="723"/>
      <c r="BA9" s="714"/>
      <c r="BB9" s="725"/>
      <c r="BC9" s="727"/>
      <c r="BD9" s="727"/>
      <c r="BE9" s="727"/>
      <c r="BF9" s="729"/>
    </row>
    <row r="10" spans="1:58" customHeight="1" ht="13.9">
      <c r="A10" s="485" t="str">
        <f>IF(B10="","",7)</f>
        <v/>
      </c>
      <c r="B10" s="68"/>
      <c r="C10" s="69"/>
      <c r="D10" s="70"/>
      <c r="E10" s="76"/>
      <c r="F10" s="70"/>
      <c r="G10" s="76"/>
      <c r="H10" s="70"/>
      <c r="I10" s="491"/>
      <c r="J10" s="491"/>
      <c r="K10" s="70"/>
      <c r="L10" s="494"/>
      <c r="M10" s="494"/>
      <c r="N10" s="76"/>
      <c r="O10" s="76"/>
      <c r="P10" s="467"/>
      <c r="Q10" s="412"/>
      <c r="R10" s="410"/>
      <c r="S10" s="242"/>
      <c r="T10" s="401"/>
      <c r="U10" s="407"/>
      <c r="V10" s="249"/>
      <c r="W10" s="401"/>
      <c r="X10" s="278"/>
      <c r="Y10" s="78"/>
      <c r="Z10" s="403"/>
      <c r="AA10" s="281"/>
      <c r="AB10" s="79"/>
      <c r="AC10" s="85"/>
      <c r="AD10" s="55" t="str">
        <f>IF(B10="","",(((C10+F10+H10+K10+Q10+N10+O10)*50))+((E10*10))+(((I10+J10+D10+G10+L10+M10+U10)*25)+(X10*25)+(Y10*25)+(Z10*25)+(AA10*25)+(AB10*40)+(AC10*50)+(R10*1)+(S10*1)+(T10*1)))</f>
        <v/>
      </c>
      <c r="AE10" s="55" t="str">
        <f>IF(B10="","",C10+F10+H10+K10+Q10+N10+O10+((I10+J10+D10+G10+U10)/2)+(R10/50)+(S10/50)+(T10/50)+(E10/5))</f>
        <v/>
      </c>
      <c r="AF10" s="56" t="str">
        <f>IF(B10="","",((AE10*50)/AD10))</f>
        <v/>
      </c>
      <c r="AG10" s="57" t="str">
        <f>IF(C10="","",((Z10)*25)/AD10)</f>
        <v/>
      </c>
      <c r="AH10" s="57" t="str">
        <f>IF(B10="","",(X10*25)/AD10)</f>
        <v/>
      </c>
      <c r="AI10" s="57" t="str">
        <f>IF(B10="","",(Y10*25)/AD10)</f>
        <v/>
      </c>
      <c r="AJ10" s="57" t="str">
        <f>IF(B10="","",(AA10*25)/AD10)</f>
        <v/>
      </c>
      <c r="AK10" s="58" t="str">
        <f>IF(B10="","",(AB10*40)/AD10)</f>
        <v/>
      </c>
      <c r="AL10" s="58" t="str">
        <f>IF(B10="","",(AC10*50)/AD10)</f>
        <v/>
      </c>
      <c r="AM10" s="59" t="str">
        <f>IF(B10="","",B10)</f>
        <v/>
      </c>
      <c r="AN10" s="233"/>
      <c r="AO10" s="82"/>
      <c r="AP10" s="234"/>
      <c r="AQ10" s="63" t="str">
        <f>IF(AN10="","",AN10/AO10)</f>
        <v/>
      </c>
      <c r="AR10" s="64" t="str">
        <f>IF(AN10="","",(AD10/AN10)/1000)</f>
        <v/>
      </c>
      <c r="AS10" s="64" t="str">
        <f>IF(AN10="","",AR10*24)</f>
        <v/>
      </c>
      <c r="AT10" s="65" t="str">
        <f>IF(AN10="","",(AD10/1000)*100%/AS10)</f>
        <v/>
      </c>
      <c r="AU10" s="64" t="str">
        <f>IF(AN10="","",(AE10/AN10))</f>
        <v/>
      </c>
      <c r="AV10" s="229" t="str">
        <f>IF(AN10="","",(AD10/AO10)/1000)</f>
        <v/>
      </c>
      <c r="AW10" s="714"/>
      <c r="AX10" s="714"/>
      <c r="AY10" s="714"/>
      <c r="AZ10" s="723"/>
      <c r="BA10" s="714"/>
      <c r="BB10" s="725"/>
      <c r="BC10" s="727"/>
      <c r="BD10" s="727"/>
      <c r="BE10" s="727"/>
      <c r="BF10" s="729"/>
    </row>
    <row r="11" spans="1:58" customHeight="1" ht="13.9">
      <c r="A11" s="485" t="str">
        <f>IF(B11="","",8)</f>
        <v/>
      </c>
      <c r="B11" s="226"/>
      <c r="C11" s="69"/>
      <c r="D11" s="70"/>
      <c r="E11" s="76"/>
      <c r="F11" s="70"/>
      <c r="G11" s="76"/>
      <c r="H11" s="70"/>
      <c r="I11" s="491"/>
      <c r="J11" s="491"/>
      <c r="K11" s="70"/>
      <c r="L11" s="494"/>
      <c r="M11" s="494"/>
      <c r="N11" s="76"/>
      <c r="O11" s="76"/>
      <c r="P11" s="467"/>
      <c r="Q11" s="412"/>
      <c r="R11" s="410"/>
      <c r="S11" s="242"/>
      <c r="T11" s="401"/>
      <c r="U11" s="407"/>
      <c r="V11" s="249"/>
      <c r="W11" s="401"/>
      <c r="X11" s="278"/>
      <c r="Y11" s="78"/>
      <c r="Z11" s="403"/>
      <c r="AA11" s="281"/>
      <c r="AB11" s="79"/>
      <c r="AC11" s="85"/>
      <c r="AD11" s="55" t="str">
        <f>IF(B11="","",(((C11+F11+H11+K11+Q11+N11+O11)*50))+((E11*10))+(((I11+J11+D11+G11+L11+M11+U11)*25)+(X11*25)+(Y11*25)+(Z11*25)+(AA11*25)+(AB11*40)+(AC11*50)+(R11*1)+(S11*1)+(T11*1)))</f>
        <v/>
      </c>
      <c r="AE11" s="55" t="str">
        <f>IF(B11="","",C11+F11+H11+K11+Q11+N11+O11+((I11+J11+D11+G11+U11+P11)/2)+(R11/50)+(S11/50)+(T11/50)+(E11/5))</f>
        <v/>
      </c>
      <c r="AF11" s="56" t="str">
        <f>IF(B11="","",((AE11*50)/AD11))</f>
        <v/>
      </c>
      <c r="AG11" s="57" t="str">
        <f>IF(C11="","",((Z11)*25)/AD11)</f>
        <v/>
      </c>
      <c r="AH11" s="57" t="str">
        <f>IF(B11="","",(X11*25)/AD11)</f>
        <v/>
      </c>
      <c r="AI11" s="57" t="str">
        <f>IF(B11="","",(Y11*25)/AD11)</f>
        <v/>
      </c>
      <c r="AJ11" s="57" t="str">
        <f>IF(B11="","",(AA11*25)/AD11)</f>
        <v/>
      </c>
      <c r="AK11" s="58" t="str">
        <f>IF(B11="","",(AB11*40)/AD11)</f>
        <v/>
      </c>
      <c r="AL11" s="58" t="str">
        <f>IF(B11="","",(AC11*50)/AD11)</f>
        <v/>
      </c>
      <c r="AM11" s="59" t="str">
        <f>IF(B11="","",B11)</f>
        <v/>
      </c>
      <c r="AN11" s="233"/>
      <c r="AO11" s="82"/>
      <c r="AP11" s="234"/>
      <c r="AQ11" s="63" t="str">
        <f>IF(AN11="","",AN11/AO11)</f>
        <v/>
      </c>
      <c r="AR11" s="64" t="str">
        <f>IF(AN11="","",(AD11/AN11)/1000)</f>
        <v/>
      </c>
      <c r="AS11" s="64" t="str">
        <f>IF(AN11="","",AR11*24)</f>
        <v/>
      </c>
      <c r="AT11" s="65" t="str">
        <f>IF(AN11="","",(AD11/1000)*100%/AS11)</f>
        <v/>
      </c>
      <c r="AU11" s="64" t="str">
        <f>IF(AN11="","",(AE11/AN11))</f>
        <v/>
      </c>
      <c r="AV11" s="229" t="str">
        <f>IF(AN11="","",(AD11/AO11)/1000)</f>
        <v/>
      </c>
      <c r="AW11" s="714"/>
      <c r="AX11" s="714"/>
      <c r="AY11" s="714"/>
      <c r="AZ11" s="723"/>
      <c r="BA11" s="714"/>
      <c r="BB11" s="725"/>
      <c r="BC11" s="727"/>
      <c r="BD11" s="727"/>
      <c r="BE11" s="727"/>
      <c r="BF11" s="729"/>
    </row>
    <row r="12" spans="1:58" customHeight="1" ht="13.9">
      <c r="A12" s="485" t="str">
        <f>IF(B12="","",9)</f>
        <v/>
      </c>
      <c r="B12" s="226"/>
      <c r="C12" s="69"/>
      <c r="D12" s="70"/>
      <c r="E12" s="76"/>
      <c r="F12" s="70"/>
      <c r="G12" s="76"/>
      <c r="H12" s="70"/>
      <c r="I12" s="491"/>
      <c r="J12" s="491"/>
      <c r="K12" s="70"/>
      <c r="L12" s="494"/>
      <c r="M12" s="494"/>
      <c r="N12" s="76"/>
      <c r="O12" s="76"/>
      <c r="P12" s="467"/>
      <c r="Q12" s="412"/>
      <c r="R12" s="410"/>
      <c r="S12" s="242"/>
      <c r="T12" s="401"/>
      <c r="U12" s="407"/>
      <c r="V12" s="249"/>
      <c r="W12" s="401"/>
      <c r="X12" s="278"/>
      <c r="Y12" s="78"/>
      <c r="Z12" s="403"/>
      <c r="AA12" s="281"/>
      <c r="AB12" s="79"/>
      <c r="AC12" s="85"/>
      <c r="AD12" s="55" t="str">
        <f>IF(B12="","",(((C12+F12+H12+K12+Q12+N12+O12)*50))+((E12*10))+(((I12+J12+D12+G12+L12+M12+U12)*25)+(X12*25)+(Y12*25)+(Z12*25)+(AA12*25)+(AB12*40)+(AC12*50)+(R12*1)+(S12*1)+(T12*1)))</f>
        <v/>
      </c>
      <c r="AE12" s="55" t="str">
        <f>IF(B12="","",C12+F12+H12+K12+Q12+N12+O12+((I12+J12+D12+G12+U12)/2)+(R12/50)+(S12/50)+(T12/50)+(E12/5))</f>
        <v/>
      </c>
      <c r="AF12" s="56" t="str">
        <f>IF(B12="","",((AE12*50)/AD12))</f>
        <v/>
      </c>
      <c r="AG12" s="57" t="str">
        <f>IF(C12="","",((Z12)*25)/AD12)</f>
        <v/>
      </c>
      <c r="AH12" s="57" t="str">
        <f>IF(B12="","",(X12*25)/AD12)</f>
        <v/>
      </c>
      <c r="AI12" s="57" t="str">
        <f>IF(B12="","",(Y12*25)/AD12)</f>
        <v/>
      </c>
      <c r="AJ12" s="57" t="str">
        <f>IF(B12="","",(AA12*25)/AD12)</f>
        <v/>
      </c>
      <c r="AK12" s="58" t="str">
        <f>IF(B12="","",(AB12*40)/AD12)</f>
        <v/>
      </c>
      <c r="AL12" s="58" t="str">
        <f>IF(B12="","",(AC12*50)/AD12)</f>
        <v/>
      </c>
      <c r="AM12" s="59" t="str">
        <f>IF(B12="","",B12)</f>
        <v/>
      </c>
      <c r="AN12" s="233"/>
      <c r="AO12" s="82"/>
      <c r="AP12" s="234"/>
      <c r="AQ12" s="63" t="str">
        <f>IF(AN12="","",AN12/AO12)</f>
        <v/>
      </c>
      <c r="AR12" s="64" t="str">
        <f>IF(AN12="","",(AD12/AN12)/1000)</f>
        <v/>
      </c>
      <c r="AS12" s="64" t="str">
        <f>IF(AN12="","",AR12*24)</f>
        <v/>
      </c>
      <c r="AT12" s="65" t="str">
        <f>IF(AN12="","",(AD12/1000)*100%/AS12)</f>
        <v/>
      </c>
      <c r="AU12" s="64" t="str">
        <f>IF(AN12="","",(AE12/AN12))</f>
        <v/>
      </c>
      <c r="AV12" s="229" t="str">
        <f>IF(AN12="","",(AD12/AO12)/1000)</f>
        <v/>
      </c>
      <c r="AW12" s="714"/>
      <c r="AX12" s="714"/>
      <c r="AY12" s="714"/>
      <c r="AZ12" s="723"/>
      <c r="BA12" s="714"/>
      <c r="BB12" s="725"/>
      <c r="BC12" s="727"/>
      <c r="BD12" s="727"/>
      <c r="BE12" s="727"/>
      <c r="BF12" s="729"/>
    </row>
    <row r="13" spans="1:58" customHeight="1" ht="13.9">
      <c r="A13" s="485" t="str">
        <f>IF(B13="","",11)</f>
        <v/>
      </c>
      <c r="B13" s="226"/>
      <c r="C13" s="69"/>
      <c r="D13" s="70"/>
      <c r="E13" s="76"/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/>
      <c r="S13" s="242"/>
      <c r="T13" s="401"/>
      <c r="U13" s="407"/>
      <c r="V13" s="249"/>
      <c r="W13" s="401"/>
      <c r="X13" s="278"/>
      <c r="Y13" s="78"/>
      <c r="Z13" s="403"/>
      <c r="AA13" s="281"/>
      <c r="AB13" s="79"/>
      <c r="AC13" s="85"/>
      <c r="AD13" s="55" t="str">
        <f>IF(B13="","",(((C13+F13+H13+K13+Q13+N13+O13)*50))+((E13*10))+(((I13+J13+D13+G13+L13+M13+U13)*25)+(X13*25)+(Y13*25)+(Z13*25)+(AA13*25)+(AB13*40)+(AC13*50)+(R13*1)+(S13*1)+(T13*1)))</f>
        <v/>
      </c>
      <c r="AE13" s="55" t="str">
        <f>IF(B13="","",C13+F13+H13+K13+Q13+N13+O13+((I13+J13+D13+G13+U13)/2)+(R13/50)+(S13/50)+(T13/50)+(E13/5))</f>
        <v/>
      </c>
      <c r="AF13" s="56" t="str">
        <f>IF(B13="","",((AE13*50)/AD13))</f>
        <v/>
      </c>
      <c r="AG13" s="57" t="str">
        <f>IF(C13="","",((Z13)*25)/AD13)</f>
        <v/>
      </c>
      <c r="AH13" s="57" t="str">
        <f>IF(B13="","",(X13*25)/AD13)</f>
        <v/>
      </c>
      <c r="AI13" s="57" t="str">
        <f>IF(B13="","",(Y13*25)/AD13)</f>
        <v/>
      </c>
      <c r="AJ13" s="57" t="str">
        <f>IF(B13="","",(AA13*25)/AD13)</f>
        <v/>
      </c>
      <c r="AK13" s="58" t="str">
        <f>IF(B13="","",(AB13*40)/AD13)</f>
        <v/>
      </c>
      <c r="AL13" s="58" t="str">
        <f>IF(B13="","",(AC13*50)/AD13)</f>
        <v/>
      </c>
      <c r="AM13" s="59" t="str">
        <f>IF(B13="","",B13)</f>
        <v/>
      </c>
      <c r="AN13" s="233"/>
      <c r="AO13" s="82"/>
      <c r="AP13" s="234"/>
      <c r="AQ13" s="63" t="str">
        <f>IF(AN13="","",AN13/AO13)</f>
        <v/>
      </c>
      <c r="AR13" s="64" t="str">
        <f>IF(AN13="","",(AD13/AN13)/1000)</f>
        <v/>
      </c>
      <c r="AS13" s="64" t="str">
        <f>IF(AN13="","",AR13*24)</f>
        <v/>
      </c>
      <c r="AT13" s="65" t="str">
        <f>IF(AN13="","",(AD13/1000)*100%/AS13)</f>
        <v/>
      </c>
      <c r="AU13" s="64" t="str">
        <f>IF(AN13="","",(AE13/AN13))</f>
        <v/>
      </c>
      <c r="AV13" s="229" t="str">
        <f>IF(AN13="","",(AD13/AO13)/1000)</f>
        <v/>
      </c>
      <c r="AW13" s="714"/>
      <c r="AX13" s="714"/>
      <c r="AY13" s="714"/>
      <c r="AZ13" s="723"/>
      <c r="BA13" s="714"/>
      <c r="BB13" s="725"/>
      <c r="BC13" s="727"/>
      <c r="BD13" s="727"/>
      <c r="BE13" s="727"/>
      <c r="BF13" s="729"/>
    </row>
    <row r="14" spans="1:58" customHeight="1" ht="13.9">
      <c r="A14" s="485" t="str">
        <f>IF(B14="","",12)</f>
        <v/>
      </c>
      <c r="B14" s="226"/>
      <c r="C14" s="69"/>
      <c r="D14" s="70"/>
      <c r="E14" s="76"/>
      <c r="F14" s="70"/>
      <c r="G14" s="76"/>
      <c r="H14" s="70"/>
      <c r="I14" s="491"/>
      <c r="J14" s="491"/>
      <c r="K14" s="70"/>
      <c r="L14" s="494"/>
      <c r="M14" s="494"/>
      <c r="N14" s="76"/>
      <c r="O14" s="76"/>
      <c r="P14" s="467"/>
      <c r="Q14" s="412"/>
      <c r="R14" s="410"/>
      <c r="S14" s="242"/>
      <c r="T14" s="401"/>
      <c r="U14" s="407"/>
      <c r="V14" s="249"/>
      <c r="W14" s="401"/>
      <c r="X14" s="278"/>
      <c r="Y14" s="78"/>
      <c r="Z14" s="403"/>
      <c r="AA14" s="281"/>
      <c r="AB14" s="79"/>
      <c r="AC14" s="85"/>
      <c r="AD14" s="55" t="str">
        <f>IF(B14="","",(((C14+F14+H14+K14+Q14+N14+O14)*50))+((E14*10))+(((I14+J14+D14+G14+L14+M14+U14)*25)+(X14*25)+(Y14*25)+(Z14*25)+(AA14*25)+(AB14*40)+(AC14*50)+(R14*1)+(S14*1)+(T14*1)))</f>
        <v/>
      </c>
      <c r="AE14" s="55" t="str">
        <f>IF(B14="","",C14+F14+H14+K14+Q14+N14+O14+((I14+J14+D14+G14+U14)/2)+(R14/50)+(S14/50)+(T14/50)+(E14/5))</f>
        <v/>
      </c>
      <c r="AF14" s="56" t="str">
        <f>IF(B14="","",((AE14*50)/AD14))</f>
        <v/>
      </c>
      <c r="AG14" s="57" t="str">
        <f>IF(C14="","",((Z14)*25)/AD14)</f>
        <v/>
      </c>
      <c r="AH14" s="57" t="str">
        <f>IF(B14="","",(X14*25)/AD14)</f>
        <v/>
      </c>
      <c r="AI14" s="57" t="str">
        <f>IF(B14="","",(Y14*25)/AD14)</f>
        <v/>
      </c>
      <c r="AJ14" s="57" t="str">
        <f>IF(B14="","",(AA14*25)/AD14)</f>
        <v/>
      </c>
      <c r="AK14" s="58" t="str">
        <f>IF(B14="","",(AB14*40)/AD14)</f>
        <v/>
      </c>
      <c r="AL14" s="58" t="str">
        <f>IF(B14="","",(AC14*50)/AD14)</f>
        <v/>
      </c>
      <c r="AM14" s="59" t="str">
        <f>IF(B14="","",B14)</f>
        <v/>
      </c>
      <c r="AN14" s="233"/>
      <c r="AO14" s="82"/>
      <c r="AP14" s="234"/>
      <c r="AQ14" s="63" t="str">
        <f>IF(AN14="","",AN14/AO14)</f>
        <v/>
      </c>
      <c r="AR14" s="64" t="str">
        <f>IF(AN14="","",(AD14/AN14)/1000)</f>
        <v/>
      </c>
      <c r="AS14" s="64" t="str">
        <f>IF(AN14="","",AR14*24)</f>
        <v/>
      </c>
      <c r="AT14" s="65" t="str">
        <f>IF(AN14="","",(AD14/1000)*100%/AS14)</f>
        <v/>
      </c>
      <c r="AU14" s="64" t="str">
        <f>IF(AN14="","",(AE14/AN14))</f>
        <v/>
      </c>
      <c r="AV14" s="229" t="str">
        <f>IF(AN14="","",(AD14/AO14)/1000)</f>
        <v/>
      </c>
      <c r="AW14" s="714"/>
      <c r="AX14" s="714"/>
      <c r="AY14" s="714"/>
      <c r="AZ14" s="723"/>
      <c r="BA14" s="714"/>
      <c r="BB14" s="725"/>
      <c r="BC14" s="727"/>
      <c r="BD14" s="727"/>
      <c r="BE14" s="727"/>
      <c r="BF14" s="729"/>
    </row>
    <row r="15" spans="1:58" customHeight="1" ht="13.9">
      <c r="A15" s="485" t="str">
        <f>IF(B15="","",13)</f>
        <v/>
      </c>
      <c r="B15" s="226"/>
      <c r="C15" s="69"/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/>
      <c r="S15" s="242"/>
      <c r="T15" s="401"/>
      <c r="U15" s="407"/>
      <c r="V15" s="249"/>
      <c r="W15" s="401"/>
      <c r="X15" s="278"/>
      <c r="Y15" s="78"/>
      <c r="Z15" s="403"/>
      <c r="AA15" s="281"/>
      <c r="AC15" s="79"/>
      <c r="AD15" s="55" t="str">
        <f>IF(B15="","",(((C15+F15+H15+K15+Q15+N15+O15)*50))+((E15*10))+(((I15+J15+D15+G15+L15+M15+U15)*25)+(X15*25)+(Y15*25)+(Z15*25)+(AA15*25)+(AB15*40)+(AC15*50)+(R15*1)+(S15*1)+(T15*1)))</f>
        <v/>
      </c>
      <c r="AE15" s="55" t="str">
        <f>IF(B15="","",C15+F15+H15+K15+Q15+N15+O15+((I15+J15+D15+G15+U15)/2)+(R15/50)+(S15/50)+(T15/50)+(E15/5))</f>
        <v/>
      </c>
      <c r="AF15" s="56" t="str">
        <f>IF(B15="","",((AE15*50)/AD15))</f>
        <v/>
      </c>
      <c r="AG15" s="57" t="str">
        <f>IF(C15="","",((Z15)*25)/AD15)</f>
        <v/>
      </c>
      <c r="AH15" s="57" t="str">
        <f>IF(B15="","",(X15*25)/AD15)</f>
        <v/>
      </c>
      <c r="AI15" s="57" t="str">
        <f>IF(B15="","",(Y15*25)/AD15)</f>
        <v/>
      </c>
      <c r="AJ15" s="57" t="str">
        <f>IF(B15="","",(AA15*25)/AD15)</f>
        <v/>
      </c>
      <c r="AK15" s="58" t="str">
        <f>IF(B15="","",(AC15*40)/AD15)</f>
        <v/>
      </c>
      <c r="AL15" s="58" t="str">
        <f>IF(B15="","",(AC15*50)/AD15)</f>
        <v/>
      </c>
      <c r="AM15" s="59" t="str">
        <f>IF(B15="","",B15)</f>
        <v/>
      </c>
      <c r="AN15" s="233"/>
      <c r="AO15" s="82"/>
      <c r="AP15" s="234"/>
      <c r="AQ15" s="63" t="str">
        <f>IF(AN15="","",AN15/AO15)</f>
        <v/>
      </c>
      <c r="AR15" s="64" t="str">
        <f>IF(AN15="","",(AD15/AN15)/1000)</f>
        <v/>
      </c>
      <c r="AS15" s="64" t="str">
        <f>IF(AN15="","",AR15*24)</f>
        <v/>
      </c>
      <c r="AT15" s="65" t="str">
        <f>IF(AN15="","",(AD15/1000)*100%/AS15)</f>
        <v/>
      </c>
      <c r="AU15" s="64" t="str">
        <f>IF(AN15="","",(AE15/AN15))</f>
        <v/>
      </c>
      <c r="AV15" s="229" t="str">
        <f>IF(AN15="","",(AD15/AO15)/1000)</f>
        <v/>
      </c>
      <c r="AW15" s="714"/>
      <c r="AX15" s="714"/>
      <c r="AY15" s="714"/>
      <c r="AZ15" s="723"/>
      <c r="BA15" s="714"/>
      <c r="BB15" s="725"/>
      <c r="BC15" s="727"/>
      <c r="BD15" s="727"/>
      <c r="BE15" s="727"/>
      <c r="BF15" s="729"/>
    </row>
    <row r="16" spans="1:58" customHeight="1" ht="13.9">
      <c r="A16" s="485" t="str">
        <f>IF(B16="","",1+A15)</f>
        <v/>
      </c>
      <c r="B16" s="226"/>
      <c r="C16" s="69"/>
      <c r="D16" s="70"/>
      <c r="E16" s="76"/>
      <c r="F16" s="70"/>
      <c r="G16" s="76"/>
      <c r="H16" s="70"/>
      <c r="I16" s="491"/>
      <c r="J16" s="491"/>
      <c r="K16" s="70"/>
      <c r="L16" s="494"/>
      <c r="M16" s="494"/>
      <c r="N16" s="76"/>
      <c r="O16" s="76"/>
      <c r="P16" s="467"/>
      <c r="Q16" s="412"/>
      <c r="R16" s="410"/>
      <c r="S16" s="242"/>
      <c r="T16" s="401"/>
      <c r="U16" s="407"/>
      <c r="V16" s="249"/>
      <c r="W16" s="401"/>
      <c r="X16" s="278"/>
      <c r="Y16" s="78"/>
      <c r="Z16" s="403"/>
      <c r="AA16" s="281"/>
      <c r="AB16" s="79"/>
      <c r="AC16" s="85"/>
      <c r="AD16" s="55" t="str">
        <f>IF(B16="","",(((C16+F16+H16+K16+Q16+N16+O16)*50))+((E16*10))+(((I16+J16+D16+G16+L16+M16+U16)*25)+(X16*25)+(Y16*25)+(Z16*25)+(AA16*25)+(AB16*40)+(AC16*50)+(R16*1)+(S16*1)+(T16*1)))</f>
        <v/>
      </c>
      <c r="AE16" s="55" t="str">
        <f>IF(B16="","",C16+F16+H16+K16+Q16+N16+O16+((I16+J16+D16+G16+U16)/2)+(R16/50)+(S16/50)+(T16/50)+(E16/5))</f>
        <v/>
      </c>
      <c r="AF16" s="56" t="str">
        <f>IF(B16="","",((AE16*50)/AD16))</f>
        <v/>
      </c>
      <c r="AG16" s="57" t="str">
        <f>IF(C16="","",((Z16)*25)/AD16)</f>
        <v/>
      </c>
      <c r="AH16" s="57" t="str">
        <f>IF(B16="","",(X16*25)/AD16)</f>
        <v/>
      </c>
      <c r="AI16" s="57" t="str">
        <f>IF(B16="","",(Y16*25)/AD16)</f>
        <v/>
      </c>
      <c r="AJ16" s="57" t="str">
        <f>IF(B16="","",(AA16*25)/AD16)</f>
        <v/>
      </c>
      <c r="AK16" s="58" t="str">
        <f>IF(B16="","",(AB16*40)/AD16)</f>
        <v/>
      </c>
      <c r="AL16" s="58" t="str">
        <f>IF(B16="","",(AC16*50)/AD16)</f>
        <v/>
      </c>
      <c r="AM16" s="59" t="str">
        <f>IF(B16="","",B16)</f>
        <v/>
      </c>
      <c r="AN16" s="233"/>
      <c r="AO16" s="82"/>
      <c r="AP16" s="234"/>
      <c r="AQ16" s="63" t="str">
        <f>IF(AN16="","",AN16/AO16)</f>
        <v/>
      </c>
      <c r="AR16" s="64" t="str">
        <f>IF(AN16="","",(AD16/AN16)/1000)</f>
        <v/>
      </c>
      <c r="AS16" s="64" t="str">
        <f>IF(AN16="","",AR16*24)</f>
        <v/>
      </c>
      <c r="AT16" s="65" t="str">
        <f>IF(AN16="","",(AD16/1000)*100%/AS16)</f>
        <v/>
      </c>
      <c r="AU16" s="64" t="str">
        <f>IF(AN16="","",(AE16/AN16))</f>
        <v/>
      </c>
      <c r="AV16" s="229" t="str">
        <f>IF(AN16="","",(AD16/AO16)/1000)</f>
        <v/>
      </c>
      <c r="AW16" s="714"/>
      <c r="AX16" s="714"/>
      <c r="AY16" s="714"/>
      <c r="AZ16" s="723"/>
      <c r="BA16" s="714"/>
      <c r="BB16" s="725"/>
      <c r="BC16" s="727"/>
      <c r="BD16" s="727"/>
      <c r="BE16" s="727"/>
      <c r="BF16" s="729"/>
    </row>
    <row r="17" spans="1:58" customHeight="1" ht="13.9">
      <c r="A17" s="485" t="str">
        <f>IF(B17="","",15)</f>
        <v/>
      </c>
      <c r="B17" s="226"/>
      <c r="C17" s="69"/>
      <c r="D17" s="70"/>
      <c r="E17" s="76"/>
      <c r="F17" s="70"/>
      <c r="G17" s="76"/>
      <c r="H17" s="70"/>
      <c r="I17" s="491"/>
      <c r="J17" s="491"/>
      <c r="K17" s="70"/>
      <c r="L17" s="494"/>
      <c r="M17" s="494"/>
      <c r="N17" s="76"/>
      <c r="O17" s="76"/>
      <c r="P17" s="467"/>
      <c r="Q17" s="412"/>
      <c r="R17" s="410"/>
      <c r="S17" s="242"/>
      <c r="T17" s="401"/>
      <c r="U17" s="407"/>
      <c r="V17" s="249"/>
      <c r="W17" s="401"/>
      <c r="X17" s="278"/>
      <c r="Y17" s="78"/>
      <c r="Z17" s="403"/>
      <c r="AA17" s="281"/>
      <c r="AB17" s="79"/>
      <c r="AC17" s="85"/>
      <c r="AD17" s="55" t="str">
        <f>IF(B17="","",(((C17+F17+H17+K17+Q17+N17+O17)*50))+((E17*10))+(((I17+J17+D17+G17+L17+M17+U17)*25)+(X17*25)+(Y17*25)+(Z17*25)+(AA17*25)+(AB17*40)+(AC17*50)+(R17*1)+(S17*1)+(T17*1)))</f>
        <v/>
      </c>
      <c r="AE17" s="55" t="str">
        <f>IF(B17="","",C17+F17+H17+K17+Q17+N17+O17+((I17+J17+D17+G17+U17)/2)+(R17/50)+(S17/50)+(T17/50)+(E17/5))</f>
        <v/>
      </c>
      <c r="AF17" s="56" t="str">
        <f>IF(B17="","",((AE17*50)/AD17))</f>
        <v/>
      </c>
      <c r="AG17" s="57" t="str">
        <f>IF(C17="","",((Z17)*25)/AD17)</f>
        <v/>
      </c>
      <c r="AH17" s="57" t="str">
        <f>IF(B17="","",(X17*25)/AD17)</f>
        <v/>
      </c>
      <c r="AI17" s="57" t="str">
        <f>IF(B17="","",(Y17*25)/AD17)</f>
        <v/>
      </c>
      <c r="AJ17" s="57" t="str">
        <f>IF(B17="","",(AA17*25)/AD17)</f>
        <v/>
      </c>
      <c r="AK17" s="58" t="str">
        <f>IF(B17="","",(AB17*40)/AD17)</f>
        <v/>
      </c>
      <c r="AL17" s="58" t="str">
        <f>IF(B17="","",(AC17*50)/AD17)</f>
        <v/>
      </c>
      <c r="AM17" s="59" t="str">
        <f>IF(B17="","",B17)</f>
        <v/>
      </c>
      <c r="AN17" s="233"/>
      <c r="AO17" s="82"/>
      <c r="AP17" s="234"/>
      <c r="AQ17" s="63" t="str">
        <f>IF(AN17="","",AN17/AO17)</f>
        <v/>
      </c>
      <c r="AR17" s="64" t="str">
        <f>IF(AN17="","",(AD17/AN17)/1000)</f>
        <v/>
      </c>
      <c r="AS17" s="64" t="str">
        <f>IF(AN17="","",AR17*24)</f>
        <v/>
      </c>
      <c r="AT17" s="65" t="str">
        <f>IF(AN17="","",(AD17/1000)*100%/AS17)</f>
        <v/>
      </c>
      <c r="AU17" s="64" t="str">
        <f>IF(AN17="","",(AE17/AN17))</f>
        <v/>
      </c>
      <c r="AV17" s="229" t="str">
        <f>IF(AN17="","",(AD17/AO17)/1000)</f>
        <v/>
      </c>
      <c r="AW17" s="714"/>
      <c r="AX17" s="714"/>
      <c r="AY17" s="714"/>
      <c r="AZ17" s="723"/>
      <c r="BA17" s="714"/>
      <c r="BB17" s="725"/>
      <c r="BC17" s="727"/>
      <c r="BD17" s="727"/>
      <c r="BE17" s="727"/>
      <c r="BF17" s="729"/>
    </row>
    <row r="18" spans="1:58" customHeight="1" ht="13.9">
      <c r="A18" s="485" t="str">
        <f>IF(B18="","",16)</f>
        <v/>
      </c>
      <c r="B18" s="226"/>
      <c r="C18" s="69"/>
      <c r="D18" s="70"/>
      <c r="E18" s="76"/>
      <c r="F18" s="70"/>
      <c r="G18" s="76"/>
      <c r="H18" s="70"/>
      <c r="I18" s="491"/>
      <c r="J18" s="491"/>
      <c r="K18" s="70"/>
      <c r="L18" s="494"/>
      <c r="M18" s="494"/>
      <c r="N18" s="76"/>
      <c r="O18" s="76"/>
      <c r="P18" s="467"/>
      <c r="Q18" s="412"/>
      <c r="R18" s="410"/>
      <c r="S18" s="242"/>
      <c r="T18" s="401"/>
      <c r="U18" s="407"/>
      <c r="V18" s="249"/>
      <c r="W18" s="401"/>
      <c r="X18" s="278"/>
      <c r="Y18" s="78"/>
      <c r="Z18" s="403"/>
      <c r="AA18" s="281"/>
      <c r="AB18" s="79"/>
      <c r="AC18" s="85"/>
      <c r="AD18" s="55" t="str">
        <f>IF(B18="","",(((C18+F18+H18+K18+Q18+N18+O18)*50))+((E18*10))+(((I18+J18+D18+G18+L18+M18+U18)*25)+(X18*25)+(Y18*25)+(Z18*25)+(AA18*25)+(AB18*40)+(AC18*50)+(R18*1)+(S18*1)+(T18*1)))</f>
        <v/>
      </c>
      <c r="AE18" s="55" t="str">
        <f>IF(B18="","",C18+F18+H18+K18+Q18+N18+O18+((I18+J18+D18+G18+U18)/2)+(R18/50)+(S18/50)+(T18/50)+(E18/5))</f>
        <v/>
      </c>
      <c r="AF18" s="56" t="str">
        <f>IF(B18="","",((AE18*50)/AD18))</f>
        <v/>
      </c>
      <c r="AG18" s="57" t="str">
        <f>IF(C18="","",((Z18)*25)/AD18)</f>
        <v/>
      </c>
      <c r="AH18" s="57" t="str">
        <f>IF(B18="","",(X18*25)/AD18)</f>
        <v/>
      </c>
      <c r="AI18" s="57" t="str">
        <f>IF(B18="","",(Y18*25)/AD18)</f>
        <v/>
      </c>
      <c r="AJ18" s="57" t="str">
        <f>IF(B18="","",(AA18*25)/AD18)</f>
        <v/>
      </c>
      <c r="AK18" s="58" t="str">
        <f>IF(B18="","",(AB18*40)/AD18)</f>
        <v/>
      </c>
      <c r="AL18" s="58" t="str">
        <f>IF(B18="","",(AC18*50)/AD18)</f>
        <v/>
      </c>
      <c r="AM18" s="59" t="str">
        <f>IF(B18="","",B18)</f>
        <v/>
      </c>
      <c r="AN18" s="233"/>
      <c r="AO18" s="82"/>
      <c r="AP18" s="234"/>
      <c r="AQ18" s="63" t="str">
        <f>IF(AN18="","",AN18/AO18)</f>
        <v/>
      </c>
      <c r="AR18" s="64" t="str">
        <f>IF(AN18="","",(AD18/AN18)/1000)</f>
        <v/>
      </c>
      <c r="AS18" s="64" t="str">
        <f>IF(AN18="","",AR18*24)</f>
        <v/>
      </c>
      <c r="AT18" s="65" t="str">
        <f>IF(AN18="","",(AD18/1000)*100%/AS18)</f>
        <v/>
      </c>
      <c r="AU18" s="64" t="str">
        <f>IF(AN18="","",(AE18/AN18))</f>
        <v/>
      </c>
      <c r="AV18" s="229" t="str">
        <f>IF(AN18="","",(AD18/AO18)/1000)</f>
        <v/>
      </c>
      <c r="AW18" s="714"/>
      <c r="AX18" s="714"/>
      <c r="AY18" s="714"/>
      <c r="AZ18" s="723"/>
      <c r="BA18" s="714"/>
      <c r="BB18" s="725"/>
      <c r="BC18" s="727"/>
      <c r="BD18" s="727"/>
      <c r="BE18" s="727"/>
      <c r="BF18" s="729"/>
    </row>
    <row r="19" spans="1:58" customHeight="1" ht="13.9">
      <c r="A19" s="485" t="str">
        <f>IF(B19="","",17)</f>
        <v/>
      </c>
      <c r="B19" s="68"/>
      <c r="C19" s="69"/>
      <c r="D19" s="70"/>
      <c r="E19" s="76"/>
      <c r="F19" s="70"/>
      <c r="G19" s="76"/>
      <c r="H19" s="70"/>
      <c r="I19" s="491"/>
      <c r="J19" s="491"/>
      <c r="K19" s="70"/>
      <c r="L19" s="494"/>
      <c r="M19" s="494"/>
      <c r="N19" s="76"/>
      <c r="O19" s="76"/>
      <c r="P19" s="467"/>
      <c r="Q19" s="412"/>
      <c r="R19" s="410"/>
      <c r="S19" s="242"/>
      <c r="T19" s="401"/>
      <c r="U19" s="407"/>
      <c r="V19" s="249"/>
      <c r="W19" s="401"/>
      <c r="X19" s="278"/>
      <c r="Y19" s="78"/>
      <c r="Z19" s="403"/>
      <c r="AA19" s="281"/>
      <c r="AB19" s="79"/>
      <c r="AC19" s="85"/>
      <c r="AD19" s="55" t="str">
        <f>IF(B19="","",(((C19+F19+H19+K19+Q19+N19+O19)*50))+((E19*10))+(((I19+J19+D19+G19+L19+M19+U19)*25)+(X19*25)+(Y19*25)+(Z19*25)+(AA19*25)+(AB19*40)+(AC19*50)+(R19*1)+(S19*1)+(T19*1)))</f>
        <v/>
      </c>
      <c r="AE19" s="55" t="str">
        <f>IF(B19="","",C19+F19+H19+K19+Q19+N19+O19+((I19+J19+D19+G19+U19)/2)+(R19/50)+(S19/50)+(T19/50)+(E19/5))</f>
        <v/>
      </c>
      <c r="AF19" s="56" t="str">
        <f>IF(B19="","",((AE19*50)/AD19))</f>
        <v/>
      </c>
      <c r="AG19" s="57" t="str">
        <f>IF(C19="","",((Z19)*25)/AD19)</f>
        <v/>
      </c>
      <c r="AH19" s="57" t="str">
        <f>IF(B19="","",(X19*25)/AD19)</f>
        <v/>
      </c>
      <c r="AI19" s="57" t="str">
        <f>IF(B19="","",(Y19*25)/AD19)</f>
        <v/>
      </c>
      <c r="AJ19" s="57" t="str">
        <f>IF(B19="","",(AA19*25)/AD19)</f>
        <v/>
      </c>
      <c r="AK19" s="58" t="str">
        <f>IF(B19="","",(AB19*40)/AD19)</f>
        <v/>
      </c>
      <c r="AL19" s="58" t="str">
        <f>IF(B19="","",(AC19*50)/AD19)</f>
        <v/>
      </c>
      <c r="AM19" s="59" t="str">
        <f>IF(B19="","",B19)</f>
        <v/>
      </c>
      <c r="AN19" s="233"/>
      <c r="AO19" s="82"/>
      <c r="AP19" s="234"/>
      <c r="AQ19" s="63" t="str">
        <f>IF(AN19="","",AN19/AO19)</f>
        <v/>
      </c>
      <c r="AR19" s="64" t="str">
        <f>IF(AN19="","",(AD19/AN19)/1000)</f>
        <v/>
      </c>
      <c r="AS19" s="64" t="str">
        <f>IF(AN19="","",AR19*24)</f>
        <v/>
      </c>
      <c r="AT19" s="65" t="str">
        <f>IF(AN19="","",(AD19/1000)*100%/AS19)</f>
        <v/>
      </c>
      <c r="AU19" s="64" t="str">
        <f>IF(AN19="","",(AE19/AN19))</f>
        <v/>
      </c>
      <c r="AV19" s="229" t="str">
        <f>IF(AN19="","",(AD19/AO19)/1000)</f>
        <v/>
      </c>
      <c r="AW19" s="714"/>
      <c r="AX19" s="714"/>
      <c r="AY19" s="714"/>
      <c r="AZ19" s="723"/>
      <c r="BA19" s="714"/>
      <c r="BB19" s="725"/>
      <c r="BC19" s="727"/>
      <c r="BD19" s="727"/>
      <c r="BE19" s="727"/>
      <c r="BF19" s="729"/>
    </row>
    <row r="20" spans="1:58" customHeight="1" ht="13.9">
      <c r="A20" s="485" t="str">
        <f>IF(B20="","",1+A19)</f>
        <v/>
      </c>
      <c r="B20" s="68"/>
      <c r="C20" s="69"/>
      <c r="D20" s="70"/>
      <c r="E20" s="76"/>
      <c r="F20" s="70"/>
      <c r="G20" s="76"/>
      <c r="H20" s="70"/>
      <c r="I20" s="491"/>
      <c r="J20" s="491"/>
      <c r="K20" s="70"/>
      <c r="L20" s="494"/>
      <c r="M20" s="494"/>
      <c r="N20" s="76"/>
      <c r="O20" s="76"/>
      <c r="P20" s="467"/>
      <c r="Q20" s="412"/>
      <c r="R20" s="410"/>
      <c r="S20" s="242"/>
      <c r="T20" s="401"/>
      <c r="U20" s="407"/>
      <c r="V20" s="249"/>
      <c r="W20" s="401"/>
      <c r="X20" s="278"/>
      <c r="Y20" s="78"/>
      <c r="Z20" s="403"/>
      <c r="AA20" s="281"/>
      <c r="AB20" s="79"/>
      <c r="AC20" s="85"/>
      <c r="AD20" s="55" t="str">
        <f>IF(B20="","",(((C20+F20+H20+K20+Q20+N20+O20)*50))+((E20*10))+(((I20+J20+D20+G20+L20+M20+U20)*25)+(X20*25)+(Y20*25)+(Z20*25)+(AA20*25)+(AB20*40)+(AC20*50)+(R20*1)+(S20*1)+(T20*1)))</f>
        <v/>
      </c>
      <c r="AE20" s="55" t="str">
        <f>IF(B20="","",C20+F20+H20+K20+Q20+N20+O20+((I20+J20+D20+G20+U20)/2)+(R20/50)+(S20/50)+(T20/50)+(E20/5))</f>
        <v/>
      </c>
      <c r="AF20" s="56" t="str">
        <f>IF(B20="","",((AE20*50)/AD20))</f>
        <v/>
      </c>
      <c r="AG20" s="57" t="str">
        <f>IF(C20="","",((Z20)*25)/AD20)</f>
        <v/>
      </c>
      <c r="AH20" s="57" t="str">
        <f>IF(B20="","",(X20*25)/AD20)</f>
        <v/>
      </c>
      <c r="AI20" s="57" t="str">
        <f>IF(B20="","",(Y20*25)/AD20)</f>
        <v/>
      </c>
      <c r="AJ20" s="57" t="str">
        <f>IF(B20="","",(AA20*25)/AD20)</f>
        <v/>
      </c>
      <c r="AK20" s="58" t="str">
        <f>IF(B20="","",(AB20*40)/AD20)</f>
        <v/>
      </c>
      <c r="AL20" s="58" t="str">
        <f>IF(B20="","",(AC20*50)/AD20)</f>
        <v/>
      </c>
      <c r="AM20" s="59" t="str">
        <f>IF(B20="","",B20)</f>
        <v/>
      </c>
      <c r="AN20" s="233"/>
      <c r="AO20" s="82"/>
      <c r="AP20" s="234"/>
      <c r="AQ20" s="63" t="str">
        <f>IF(AN20="","",AN20/AO20)</f>
        <v/>
      </c>
      <c r="AR20" s="64" t="str">
        <f>IF(AN20="","",(AD20/AN20)/1000)</f>
        <v/>
      </c>
      <c r="AS20" s="64" t="str">
        <f>IF(AN20="","",AR20*24)</f>
        <v/>
      </c>
      <c r="AT20" s="65" t="str">
        <f>IF(AN20="","",(AD20/1000)*100%/AS20)</f>
        <v/>
      </c>
      <c r="AU20" s="64" t="str">
        <f>IF(AN20="","",(AE20/AN20))</f>
        <v/>
      </c>
      <c r="AV20" s="229" t="str">
        <f>IF(AN20="","",(AD20/AO20)/1000)</f>
        <v/>
      </c>
      <c r="AW20" s="714"/>
      <c r="AX20" s="714"/>
      <c r="AY20" s="714"/>
      <c r="AZ20" s="723"/>
      <c r="BA20" s="714"/>
      <c r="BB20" s="725"/>
      <c r="BC20" s="727"/>
      <c r="BD20" s="727"/>
      <c r="BE20" s="727"/>
      <c r="BF20" s="729"/>
    </row>
    <row r="21" spans="1:58" customHeight="1" ht="13.9">
      <c r="A21" s="485" t="str">
        <f>IF(B21="","",1+A20)</f>
        <v/>
      </c>
      <c r="B21" s="68"/>
      <c r="C21" s="69"/>
      <c r="D21" s="70"/>
      <c r="E21" s="76"/>
      <c r="F21" s="70"/>
      <c r="G21" s="76"/>
      <c r="H21" s="70"/>
      <c r="I21" s="491"/>
      <c r="J21" s="491"/>
      <c r="K21" s="70"/>
      <c r="L21" s="494"/>
      <c r="M21" s="494"/>
      <c r="N21" s="76"/>
      <c r="O21" s="76"/>
      <c r="P21" s="467"/>
      <c r="Q21" s="412"/>
      <c r="R21" s="410"/>
      <c r="S21" s="242"/>
      <c r="T21" s="401"/>
      <c r="U21" s="407"/>
      <c r="V21" s="249"/>
      <c r="W21" s="401"/>
      <c r="X21" s="278"/>
      <c r="Y21" s="78"/>
      <c r="Z21" s="403"/>
      <c r="AA21" s="281"/>
      <c r="AB21" s="79"/>
      <c r="AC21" s="85"/>
      <c r="AD21" s="55"/>
      <c r="AE21" s="55" t="str">
        <f>IF(B21="","",C21+F21+H21+K21+Q21+N21+O21+((I21+J21+D21+G21+U21)/2)+(R21/50)+(S21/50)+(T21/50)+(E21/5))</f>
        <v/>
      </c>
      <c r="AF21" s="56" t="str">
        <f>IF(B21="","",((AE21*50)/AD21))</f>
        <v/>
      </c>
      <c r="AG21" s="57" t="str">
        <f>IF(C21="","",((Z21)*25)/AD21)</f>
        <v/>
      </c>
      <c r="AH21" s="57" t="str">
        <f>IF(B21="","",(X21*25)/AD21)</f>
        <v/>
      </c>
      <c r="AI21" s="57" t="str">
        <f>IF(B21="","",(Y21*25)/AD21)</f>
        <v/>
      </c>
      <c r="AJ21" s="57" t="str">
        <f>IF(B21="","",(AA21*25)/AD21)</f>
        <v/>
      </c>
      <c r="AK21" s="58" t="str">
        <f>IF(B21="","",(AB21*40)/AD21)</f>
        <v/>
      </c>
      <c r="AL21" s="58" t="str">
        <f>IF(B21="","",(AC21*50)/AD21)</f>
        <v/>
      </c>
      <c r="AM21" s="59" t="str">
        <f>IF(B21="","",B21)</f>
        <v/>
      </c>
      <c r="AN21" s="233"/>
      <c r="AO21" s="82"/>
      <c r="AP21" s="234"/>
      <c r="AQ21" s="63" t="str">
        <f>IF(AN21="","",AN21/AO21)</f>
        <v/>
      </c>
      <c r="AR21" s="64" t="str">
        <f>IF(AN21="","",(AD21/AN21)/1000)</f>
        <v/>
      </c>
      <c r="AS21" s="64" t="str">
        <f>IF(AN21="","",AR21*24)</f>
        <v/>
      </c>
      <c r="AT21" s="65" t="str">
        <f>IF(AN21="","",(AD21/1000)*100%/AS21)</f>
        <v/>
      </c>
      <c r="AU21" s="64" t="str">
        <f>IF(AN21="","",(AE21/AN21))</f>
        <v/>
      </c>
      <c r="AV21" s="229" t="str">
        <f>IF(AN21="","",(AD21/AO21)/1000)</f>
        <v/>
      </c>
      <c r="AW21" s="714"/>
      <c r="AX21" s="714"/>
      <c r="AY21" s="714"/>
      <c r="AZ21" s="723"/>
      <c r="BA21" s="714"/>
      <c r="BB21" s="725"/>
      <c r="BC21" s="727"/>
      <c r="BD21" s="727"/>
      <c r="BE21" s="727"/>
      <c r="BF21" s="729"/>
    </row>
    <row r="22" spans="1:58" customHeight="1" ht="13.9">
      <c r="A22" s="485" t="str">
        <f>IF(B22="","",1+A21)</f>
        <v/>
      </c>
      <c r="B22" s="68"/>
      <c r="C22" s="69"/>
      <c r="D22" s="70"/>
      <c r="E22" s="76"/>
      <c r="F22" s="70"/>
      <c r="G22" s="76"/>
      <c r="H22" s="70"/>
      <c r="I22" s="76"/>
      <c r="J22" s="76"/>
      <c r="K22" s="70"/>
      <c r="L22" s="494"/>
      <c r="M22" s="494"/>
      <c r="N22" s="76"/>
      <c r="O22" s="76"/>
      <c r="P22" s="467"/>
      <c r="Q22" s="412"/>
      <c r="R22" s="410"/>
      <c r="S22" s="242"/>
      <c r="T22" s="401"/>
      <c r="U22" s="407"/>
      <c r="V22" s="249"/>
      <c r="W22" s="401"/>
      <c r="X22" s="278"/>
      <c r="Y22" s="78"/>
      <c r="Z22" s="403"/>
      <c r="AA22" s="281"/>
      <c r="AB22" s="79"/>
      <c r="AC22" s="85"/>
      <c r="AD22" s="55" t="str">
        <f>IF(B22="","",(((C22+F22+H22+K22+Q22+N22+O22)*50))+((E22*10))+(((I22+J22+D22+G22+L22+M22+U22)*25)+(X22*25)+(Y22*25)+(Z22*25)+(AA22*25)+(AB22*40)+(AC22*50)+(R22*1)+(S22*1)+(T22*1)))</f>
        <v/>
      </c>
      <c r="AE22" s="55" t="str">
        <f>IF(B22="","",C22+F22+H22+K22+Q22+N22+O22+((I22+J22+D22+G22+U22)/2)+(R22/50)+(S22/50)+(T22/50)+(E22/5))</f>
        <v/>
      </c>
      <c r="AF22" s="56" t="str">
        <f>IF(B22="","",((AE22*50)/AD22))</f>
        <v/>
      </c>
      <c r="AG22" s="57" t="str">
        <f>IF(C22="","",((Z22)*25)/AD22)</f>
        <v/>
      </c>
      <c r="AH22" s="57" t="str">
        <f>IF(B22="","",(X22*25)/AD22)</f>
        <v/>
      </c>
      <c r="AI22" s="57" t="str">
        <f>IF(B22="","",(Y22*25)/AD22)</f>
        <v/>
      </c>
      <c r="AJ22" s="57" t="str">
        <f>IF(B22="","",(AA22*25)/AD22)</f>
        <v/>
      </c>
      <c r="AK22" s="58" t="str">
        <f>IF(B22="","",(AB22*40)/AD22)</f>
        <v/>
      </c>
      <c r="AL22" s="58" t="str">
        <f>IF(B22="","",(AC22*50)/AD22)</f>
        <v/>
      </c>
      <c r="AM22" s="59" t="str">
        <f>IF(B22="","",B22)</f>
        <v/>
      </c>
      <c r="AN22" s="233"/>
      <c r="AO22" s="82"/>
      <c r="AP22" s="234"/>
      <c r="AQ22" s="63" t="str">
        <f>IF(AN22="","",AN22/AO22)</f>
        <v/>
      </c>
      <c r="AR22" s="64" t="str">
        <f>IF(AN22="","",(AD22/AN22)/1000)</f>
        <v/>
      </c>
      <c r="AS22" s="64" t="str">
        <f>IF(AN22="","",AR22*24)</f>
        <v/>
      </c>
      <c r="AT22" s="65" t="str">
        <f>IF(AN22="","",(AD22/1000)*100%/AS22)</f>
        <v/>
      </c>
      <c r="AU22" s="64" t="str">
        <f>IF(AN22="","",(AE22/AN22))</f>
        <v/>
      </c>
      <c r="AV22" s="229" t="str">
        <f>IF(AN22="","",(AD22/AO22)/1000)</f>
        <v/>
      </c>
      <c r="AW22" s="714"/>
      <c r="AX22" s="714"/>
      <c r="AY22" s="714"/>
      <c r="AZ22" s="723"/>
      <c r="BA22" s="714"/>
      <c r="BB22" s="725"/>
      <c r="BC22" s="727"/>
      <c r="BD22" s="727"/>
      <c r="BE22" s="727"/>
      <c r="BF22" s="729"/>
    </row>
    <row r="23" spans="1:58" customHeight="1" ht="13.9">
      <c r="A23" s="485" t="str">
        <f>IF(B23="","",1+A22)</f>
        <v/>
      </c>
      <c r="B23" s="68"/>
      <c r="C23" s="69"/>
      <c r="D23" s="70"/>
      <c r="E23" s="76"/>
      <c r="F23" s="70"/>
      <c r="G23" s="76"/>
      <c r="H23" s="70"/>
      <c r="I23" s="76"/>
      <c r="J23" s="76"/>
      <c r="K23" s="70"/>
      <c r="L23" s="494"/>
      <c r="M23" s="494"/>
      <c r="N23" s="76"/>
      <c r="O23" s="76"/>
      <c r="P23" s="467"/>
      <c r="Q23" s="412"/>
      <c r="R23" s="410"/>
      <c r="S23" s="242"/>
      <c r="T23" s="401"/>
      <c r="U23" s="407"/>
      <c r="V23" s="249"/>
      <c r="W23" s="401"/>
      <c r="X23" s="278"/>
      <c r="Y23" s="78"/>
      <c r="Z23" s="403"/>
      <c r="AA23" s="281"/>
      <c r="AB23" s="79"/>
      <c r="AC23" s="85"/>
      <c r="AD23" s="55"/>
      <c r="AE23" s="55" t="str">
        <f>IF(B23="","",C23+F23+H23+K23+Q23+N23+O23+((I23+J23+D23+G23+U23)/2)+(R23/50)+(S23/50)+(T23/50)+(E23/5))</f>
        <v/>
      </c>
      <c r="AF23" s="56" t="str">
        <f>IF(B23="","",((AE23*50)/AD23))</f>
        <v/>
      </c>
      <c r="AG23" s="57" t="str">
        <f>IF(C23="","",((Z23)*25)/AD23)</f>
        <v/>
      </c>
      <c r="AH23" s="57" t="str">
        <f>IF(B23="","",(X23*25)/AD23)</f>
        <v/>
      </c>
      <c r="AI23" s="57" t="str">
        <f>IF(B23="","",(Y23*25)/AD23)</f>
        <v/>
      </c>
      <c r="AJ23" s="57" t="str">
        <f>IF(B23="","",(AA23*25)/AD23)</f>
        <v/>
      </c>
      <c r="AK23" s="58" t="str">
        <f>IF(B23="","",(AB23*40)/AD23)</f>
        <v/>
      </c>
      <c r="AL23" s="58" t="str">
        <f>IF(B23="","",(AC23*50)/AD23)</f>
        <v/>
      </c>
      <c r="AM23" s="59" t="str">
        <f>IF(B23="","",B23)</f>
        <v/>
      </c>
      <c r="AN23" s="233"/>
      <c r="AO23" s="82"/>
      <c r="AP23" s="234"/>
      <c r="AQ23" s="63" t="str">
        <f>IF(AN23="","",AN23/AO23)</f>
        <v/>
      </c>
      <c r="AR23" s="64" t="str">
        <f>IF(AN23="","",(AD23/AN23)/1000)</f>
        <v/>
      </c>
      <c r="AS23" s="64" t="str">
        <f>IF(AN23="","",AR23*24)</f>
        <v/>
      </c>
      <c r="AT23" s="65" t="str">
        <f>IF(AN23="","",(AD23/1000)*100%/AS23)</f>
        <v/>
      </c>
      <c r="AU23" s="64" t="str">
        <f>IF(AN23="","",(AE23/AN23))</f>
        <v/>
      </c>
      <c r="AV23" s="229" t="str">
        <f>IF(AN23="","",(AD23/AO23)/1000)</f>
        <v/>
      </c>
      <c r="AW23" s="714"/>
      <c r="AX23" s="714"/>
      <c r="AY23" s="714"/>
      <c r="AZ23" s="723"/>
      <c r="BA23" s="714"/>
      <c r="BB23" s="725"/>
      <c r="BC23" s="727"/>
      <c r="BD23" s="727"/>
      <c r="BE23" s="727"/>
      <c r="BF23" s="729"/>
    </row>
    <row r="24" spans="1:58" customHeight="1" ht="13.9">
      <c r="A24" s="485" t="str">
        <f>IF(B24="","",1+A23)</f>
        <v/>
      </c>
      <c r="B24" s="68"/>
      <c r="C24" s="69"/>
      <c r="D24" s="70"/>
      <c r="E24" s="76"/>
      <c r="F24" s="70"/>
      <c r="G24" s="76"/>
      <c r="H24" s="70"/>
      <c r="I24" s="76"/>
      <c r="J24" s="76"/>
      <c r="K24" s="70"/>
      <c r="L24" s="494"/>
      <c r="M24" s="494"/>
      <c r="N24" s="76"/>
      <c r="O24" s="76"/>
      <c r="P24" s="467"/>
      <c r="Q24" s="412"/>
      <c r="R24" s="410"/>
      <c r="S24" s="242"/>
      <c r="T24" s="401"/>
      <c r="U24" s="407"/>
      <c r="V24" s="249"/>
      <c r="W24" s="401"/>
      <c r="X24" s="278"/>
      <c r="Y24" s="78"/>
      <c r="Z24" s="403"/>
      <c r="AA24" s="281"/>
      <c r="AB24" s="79"/>
      <c r="AC24" s="85"/>
      <c r="AD24" s="55" t="str">
        <f>IF(B24="","",(((C24+F24+H24+K24+Q24+N24+O24)*50))+((E24*10))+(((I24+J24+D24+G24+L24+M24+U24)*25)+(X24*25)+(Y24*25)+(Z24*25)+(AA24*25)+(AB24*40)+(AC24*50)+(R24*1)+(S24*1)+(T24*1)))</f>
        <v/>
      </c>
      <c r="AE24" s="55" t="str">
        <f>IF(B24="","",C24+F24+H24+K24+Q24+N24+O24+((I24+J24+D24+G24+U24)/2)+(R24/50)+(S24/50)+(T24/50)+(E24/5))</f>
        <v/>
      </c>
      <c r="AF24" s="56" t="str">
        <f>IF(B24="","",((AE24*50)/AD24))</f>
        <v/>
      </c>
      <c r="AG24" s="57" t="str">
        <f>IF(C24="","",((Z24)*25)/AD24)</f>
        <v/>
      </c>
      <c r="AH24" s="57" t="str">
        <f>IF(B24="","",(X24*25)/AD24)</f>
        <v/>
      </c>
      <c r="AI24" s="57" t="str">
        <f>IF(B24="","",(Y24*25)/AD24)</f>
        <v/>
      </c>
      <c r="AJ24" s="57" t="str">
        <f>IF(B24="","",(AA24*25)/AD24)</f>
        <v/>
      </c>
      <c r="AK24" s="58" t="str">
        <f>IF(B24="","",(AB24*40)/AD24)</f>
        <v/>
      </c>
      <c r="AL24" s="58" t="str">
        <f>IF(B24="","",(AC24*50)/AD24)</f>
        <v/>
      </c>
      <c r="AM24" s="59" t="str">
        <f>IF(B24="","",B24)</f>
        <v/>
      </c>
      <c r="AN24" s="233"/>
      <c r="AO24" s="82"/>
      <c r="AP24" s="234"/>
      <c r="AQ24" s="63" t="str">
        <f>IF(AN24="","",AN24/AO24)</f>
        <v/>
      </c>
      <c r="AR24" s="64" t="str">
        <f>IF(AN24="","",(AD24/AN24)/1000)</f>
        <v/>
      </c>
      <c r="AS24" s="64" t="str">
        <f>IF(AN24="","",AR24*24)</f>
        <v/>
      </c>
      <c r="AT24" s="65" t="str">
        <f>IF(AN24="","",(AD24/1000)*100%/AS24)</f>
        <v/>
      </c>
      <c r="AU24" s="64" t="str">
        <f>IF(AN24="","",(AE24/AN24))</f>
        <v/>
      </c>
      <c r="AV24" s="229" t="str">
        <f>IF(AN24="","",(AD24/AO24)/1000)</f>
        <v/>
      </c>
      <c r="AW24" s="714"/>
      <c r="AX24" s="714"/>
      <c r="AY24" s="714"/>
      <c r="AZ24" s="723"/>
      <c r="BA24" s="714"/>
      <c r="BB24" s="725"/>
      <c r="BC24" s="727"/>
      <c r="BD24" s="727"/>
      <c r="BE24" s="727"/>
      <c r="BF24" s="729"/>
    </row>
    <row r="25" spans="1:58" customHeight="1" ht="13.9">
      <c r="A25" s="485"/>
      <c r="B25" s="68"/>
      <c r="C25" s="415"/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/>
      <c r="S25" s="242"/>
      <c r="T25" s="401"/>
      <c r="U25" s="407"/>
      <c r="V25" s="249"/>
      <c r="W25" s="401"/>
      <c r="X25" s="278"/>
      <c r="Y25" s="78"/>
      <c r="Z25" s="403"/>
      <c r="AA25" s="281"/>
      <c r="AB25" s="79"/>
      <c r="AC25" s="85"/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str">
        <f>IF(C25="","",((Z25)*25)/AD25)</f>
        <v/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492" t="str">
        <f>IF(AN25="","",(AD25/AO25)/1000)</f>
        <v/>
      </c>
      <c r="AW25" s="714"/>
      <c r="AX25" s="714"/>
      <c r="AY25" s="714"/>
      <c r="AZ25" s="723"/>
      <c r="BA25" s="714"/>
      <c r="BB25" s="725"/>
      <c r="BC25" s="727"/>
      <c r="BD25" s="727"/>
      <c r="BE25" s="727"/>
      <c r="BF25" s="729"/>
    </row>
    <row r="26" spans="1:58" customHeight="1" ht="13.9">
      <c r="A26" s="485"/>
      <c r="B26" s="68"/>
      <c r="C26" s="69"/>
      <c r="D26" s="70"/>
      <c r="E26" s="76"/>
      <c r="F26" s="70"/>
      <c r="G26" s="76"/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/>
      <c r="S26" s="242"/>
      <c r="T26" s="401"/>
      <c r="U26" s="407"/>
      <c r="V26" s="249"/>
      <c r="W26" s="401"/>
      <c r="X26" s="278"/>
      <c r="Y26" s="78"/>
      <c r="Z26" s="403"/>
      <c r="AA26" s="281"/>
      <c r="AB26" s="79"/>
      <c r="AC26" s="85"/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str">
        <f>IF(C26="","",((Z26)*25)/AD26)</f>
        <v/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229" t="str">
        <f>IF(AN26="","",(AD26/AO26)/1000)</f>
        <v/>
      </c>
      <c r="AW26" s="714"/>
      <c r="AX26" s="714"/>
      <c r="AY26" s="714"/>
      <c r="AZ26" s="723"/>
      <c r="BA26" s="714"/>
      <c r="BB26" s="725"/>
      <c r="BC26" s="727"/>
      <c r="BD26" s="727"/>
      <c r="BE26" s="727"/>
      <c r="BF26" s="729"/>
    </row>
    <row r="27" spans="1:58" customHeight="1" ht="13.9">
      <c r="A27" s="485"/>
      <c r="B27" s="68"/>
      <c r="C27" s="69"/>
      <c r="D27" s="70"/>
      <c r="E27" s="76"/>
      <c r="F27" s="70"/>
      <c r="G27" s="76"/>
      <c r="H27" s="70"/>
      <c r="I27" s="76"/>
      <c r="J27" s="76"/>
      <c r="K27" s="70"/>
      <c r="L27" s="494"/>
      <c r="M27" s="494"/>
      <c r="N27" s="76"/>
      <c r="O27" s="76"/>
      <c r="P27" s="467"/>
      <c r="Q27" s="412"/>
      <c r="R27" s="410"/>
      <c r="S27" s="242"/>
      <c r="T27" s="401"/>
      <c r="U27" s="407"/>
      <c r="V27" s="249"/>
      <c r="W27" s="401"/>
      <c r="X27" s="278"/>
      <c r="Y27" s="78"/>
      <c r="Z27" s="403"/>
      <c r="AA27" s="281"/>
      <c r="AB27" s="79"/>
      <c r="AC27" s="85"/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str">
        <f>IF(C27="","",((Z27)*25)/AD27)</f>
        <v/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23"/>
      <c r="BA27" s="714"/>
      <c r="BB27" s="725"/>
      <c r="BC27" s="727"/>
      <c r="BD27" s="727"/>
      <c r="BE27" s="727"/>
      <c r="BF27" s="729"/>
    </row>
    <row r="28" spans="1:58">
      <c r="A28" s="41"/>
      <c r="B28" s="68"/>
      <c r="C28" s="69"/>
      <c r="D28" s="70"/>
      <c r="E28" s="76"/>
      <c r="F28" s="70"/>
      <c r="G28" s="76"/>
      <c r="H28" s="70"/>
      <c r="I28" s="75"/>
      <c r="J28" s="75"/>
      <c r="K28" s="70"/>
      <c r="L28" s="494"/>
      <c r="M28" s="494"/>
      <c r="N28" s="76"/>
      <c r="O28" s="76"/>
      <c r="P28" s="467"/>
      <c r="Q28" s="412"/>
      <c r="R28" s="410"/>
      <c r="S28" s="242"/>
      <c r="T28" s="401"/>
      <c r="U28" s="407"/>
      <c r="V28" s="249"/>
      <c r="W28" s="401"/>
      <c r="X28" s="278"/>
      <c r="Y28" s="78"/>
      <c r="Z28" s="403"/>
      <c r="AA28" s="281"/>
      <c r="AB28" s="79"/>
      <c r="AC28" s="85"/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str">
        <f>IF(C28="","",((Z28)*25)/AD28)</f>
        <v/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23"/>
      <c r="BA28" s="714"/>
      <c r="BB28" s="725"/>
      <c r="BC28" s="727"/>
      <c r="BD28" s="727"/>
      <c r="BE28" s="727"/>
      <c r="BF28" s="729"/>
    </row>
    <row r="29" spans="1:58">
      <c r="A29" s="41"/>
      <c r="B29" s="68"/>
      <c r="C29" s="69"/>
      <c r="D29" s="70"/>
      <c r="E29" s="76"/>
      <c r="F29" s="70"/>
      <c r="G29" s="430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/>
      <c r="S29" s="242"/>
      <c r="T29" s="401"/>
      <c r="U29" s="407"/>
      <c r="V29" s="249"/>
      <c r="W29" s="401"/>
      <c r="X29" s="278"/>
      <c r="Y29" s="78"/>
      <c r="Z29" s="403"/>
      <c r="AA29" s="281"/>
      <c r="AB29" s="79"/>
      <c r="AC29" s="85"/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str">
        <f>IF(C29="","",((Z29)*25)/AD29)</f>
        <v/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23"/>
      <c r="BA29" s="714"/>
      <c r="BB29" s="725"/>
      <c r="BC29" s="727"/>
      <c r="BD29" s="727"/>
      <c r="BE29" s="727"/>
      <c r="BF29" s="729"/>
    </row>
    <row r="30" spans="1:58">
      <c r="A30" s="41" t="str">
        <f>IF(B30="","",1+A29)</f>
        <v/>
      </c>
      <c r="B30" s="425"/>
      <c r="C30" s="426"/>
      <c r="D30" s="427"/>
      <c r="E30" s="428"/>
      <c r="F30" s="460"/>
      <c r="G30" s="459"/>
      <c r="H30" s="427"/>
      <c r="I30" s="429"/>
      <c r="J30" s="429"/>
      <c r="K30" s="427"/>
      <c r="L30" s="495"/>
      <c r="M30" s="495"/>
      <c r="N30" s="430"/>
      <c r="O30" s="430"/>
      <c r="P30" s="468"/>
      <c r="Q30" s="431"/>
      <c r="R30" s="432"/>
      <c r="S30" s="433"/>
      <c r="T30" s="434"/>
      <c r="U30" s="435"/>
      <c r="V30" s="436"/>
      <c r="W30" s="434"/>
      <c r="X30" s="279"/>
      <c r="Y30" s="437"/>
      <c r="Z30" s="438"/>
      <c r="AA30" s="439"/>
      <c r="AB30" s="440"/>
      <c r="AC30" s="441"/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str">
        <f>IF(C30="","",((Z30)*25)/AD30)</f>
        <v/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443"/>
      <c r="AO30" s="444"/>
      <c r="AP30" s="445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23"/>
      <c r="BA30" s="714"/>
      <c r="BB30" s="725"/>
      <c r="BC30" s="727"/>
      <c r="BD30" s="727"/>
      <c r="BE30" s="727"/>
      <c r="BF30" s="729"/>
    </row>
    <row r="31" spans="1:58">
      <c r="A31" s="41" t="str">
        <f>IF(B31="","",1+A30)</f>
        <v/>
      </c>
      <c r="B31" s="425"/>
      <c r="C31" s="426"/>
      <c r="D31" s="427"/>
      <c r="E31" s="428"/>
      <c r="F31" s="460"/>
      <c r="G31" s="428"/>
      <c r="H31" s="427"/>
      <c r="I31" s="429"/>
      <c r="J31" s="429"/>
      <c r="K31" s="427"/>
      <c r="L31" s="495"/>
      <c r="M31" s="495"/>
      <c r="N31" s="430"/>
      <c r="O31" s="430"/>
      <c r="P31" s="468"/>
      <c r="Q31" s="431"/>
      <c r="R31" s="432"/>
      <c r="S31" s="433"/>
      <c r="T31" s="434"/>
      <c r="U31" s="435"/>
      <c r="V31" s="436"/>
      <c r="W31" s="434"/>
      <c r="X31" s="279"/>
      <c r="Y31" s="437"/>
      <c r="Z31" s="438"/>
      <c r="AA31" s="439"/>
      <c r="AB31" s="440"/>
      <c r="AC31" s="441"/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str">
        <f>IF(C31="","",((Z31)*25)/AD31)</f>
        <v/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23"/>
      <c r="BA31" s="714"/>
      <c r="BB31" s="725"/>
      <c r="BC31" s="727"/>
      <c r="BD31" s="727"/>
      <c r="BE31" s="727"/>
      <c r="BF31" s="729"/>
    </row>
    <row r="32" spans="1:58">
      <c r="A32" s="41" t="str">
        <f>IF(B32="","",1+A31)</f>
        <v/>
      </c>
      <c r="B32" s="425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/>
      <c r="S32" s="433"/>
      <c r="T32" s="434"/>
      <c r="U32" s="435"/>
      <c r="V32" s="436"/>
      <c r="W32" s="434"/>
      <c r="X32" s="279"/>
      <c r="Y32" s="437"/>
      <c r="Z32" s="438"/>
      <c r="AA32" s="439"/>
      <c r="AB32" s="440"/>
      <c r="AC32" s="441"/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23"/>
      <c r="BA32" s="714"/>
      <c r="BB32" s="725"/>
      <c r="BC32" s="727"/>
      <c r="BD32" s="727"/>
      <c r="BE32" s="727"/>
      <c r="BF32" s="729"/>
    </row>
    <row r="33" spans="1:58">
      <c r="A33" s="41" t="str">
        <f>IF(B33="","",1+A32)</f>
        <v/>
      </c>
      <c r="B33" s="425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23"/>
      <c r="BA33" s="714"/>
      <c r="BB33" s="725"/>
      <c r="BC33" s="727"/>
      <c r="BD33" s="727"/>
      <c r="BE33" s="727"/>
      <c r="BF33" s="729"/>
    </row>
    <row r="34" spans="1:58">
      <c r="A34" s="41" t="str">
        <f>IF(B34="","",1+A33)</f>
        <v/>
      </c>
      <c r="B34" s="442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452"/>
      <c r="AX34" s="452"/>
      <c r="AY34" s="452"/>
      <c r="AZ34" s="144"/>
      <c r="BA34" s="452"/>
      <c r="BB34" s="455"/>
      <c r="BC34" s="142"/>
      <c r="BD34" s="142"/>
      <c r="BE34" s="142"/>
      <c r="BF34" s="283"/>
    </row>
    <row r="35" spans="1:58">
      <c r="A35" s="41" t="str">
        <f>IF(B35="","",1+A34)</f>
        <v/>
      </c>
      <c r="B35" s="95"/>
      <c r="C35" s="96"/>
      <c r="D35" s="387"/>
      <c r="E35" s="250"/>
      <c r="F35" s="461"/>
      <c r="G35" s="100"/>
      <c r="H35" s="97"/>
      <c r="I35" s="101"/>
      <c r="J35" s="101"/>
      <c r="K35" s="97"/>
      <c r="L35" s="496"/>
      <c r="M35" s="496"/>
      <c r="N35" s="102"/>
      <c r="O35" s="102"/>
      <c r="P35" s="469"/>
      <c r="Q35" s="413"/>
      <c r="R35" s="411"/>
      <c r="S35" s="243"/>
      <c r="T35" s="402"/>
      <c r="U35" s="408"/>
      <c r="V35" s="250"/>
      <c r="W35" s="402"/>
      <c r="X35" s="400"/>
      <c r="Y35" s="104"/>
      <c r="Z35" s="404"/>
      <c r="AA35" s="282"/>
      <c r="AB35" s="105"/>
      <c r="AC35" s="106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6"/>
      <c r="AO35" s="447"/>
      <c r="AP35" s="383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3"/>
      <c r="AX35" s="453"/>
      <c r="AY35" s="453"/>
      <c r="AZ35" s="454"/>
      <c r="BA35" s="453"/>
      <c r="BB35" s="456"/>
      <c r="BC35" s="457"/>
      <c r="BD35" s="457"/>
      <c r="BE35" s="457"/>
      <c r="BF35" s="458"/>
    </row>
    <row r="36" spans="1:58">
      <c r="A36" s="114"/>
      <c r="B36" s="115" t="s">
        <v>67</v>
      </c>
      <c r="C36" s="536">
        <f>SUM(C4:C35)</f>
        <v>0</v>
      </c>
      <c r="D36" s="536">
        <f>SUM(D4:D35)</f>
        <v>0</v>
      </c>
      <c r="E36" s="536">
        <f>SUM(E4:E35)</f>
        <v>0</v>
      </c>
      <c r="F36" s="536">
        <f>SUM(F4:F35)</f>
        <v>0</v>
      </c>
      <c r="G36" s="536">
        <f>SUM(G4:G35)</f>
        <v>0</v>
      </c>
      <c r="H36" s="536">
        <f>SUM(H4:H35)</f>
        <v>0</v>
      </c>
      <c r="I36" s="536">
        <f>SUM(I4:I35)</f>
        <v>0</v>
      </c>
      <c r="J36" s="536">
        <f>SUM(J4:J35)</f>
        <v>0</v>
      </c>
      <c r="K36" s="536">
        <f>SUM(K4:K35)</f>
        <v>0</v>
      </c>
      <c r="L36" s="535">
        <f>SUM(L4:L35)</f>
        <v>0</v>
      </c>
      <c r="M36" s="535">
        <f>SUM(M4:M35)</f>
        <v>0</v>
      </c>
      <c r="N36" s="535">
        <f>SUM(N4:N35)</f>
        <v>0</v>
      </c>
      <c r="O36" s="535">
        <f>SUM(O4:O35)</f>
        <v>0</v>
      </c>
      <c r="P36" s="535">
        <f>SUM(P4:P35)</f>
        <v>0</v>
      </c>
      <c r="Q36" s="536">
        <f>SUM(Q4:Q35)</f>
        <v>0</v>
      </c>
      <c r="R36" s="536">
        <f>SUM(R4:R35)</f>
        <v>0</v>
      </c>
      <c r="S36" s="536">
        <f>SUM(S4:S35)</f>
        <v>0</v>
      </c>
      <c r="T36" s="536">
        <f>SUM(T4:T35)</f>
        <v>0</v>
      </c>
      <c r="U36" s="535">
        <f>SUM(U4:U35)</f>
        <v>0</v>
      </c>
      <c r="V36" s="535">
        <f>SUM(V4:V35)</f>
        <v>0</v>
      </c>
      <c r="W36" s="535">
        <f>SUM(W4:W35)</f>
        <v>0</v>
      </c>
      <c r="X36" s="535">
        <f>SUM(X4:X35)</f>
        <v>0</v>
      </c>
      <c r="Y36" s="535">
        <f>SUM(Y4:Y35)</f>
        <v>0</v>
      </c>
      <c r="Z36" s="535">
        <f>SUM(Z4:Z35)</f>
        <v>0</v>
      </c>
      <c r="AA36" s="536">
        <f>SUM(AA4:AA35)</f>
        <v>0</v>
      </c>
      <c r="AB36" s="536">
        <f>SUM(AB4:AB35)</f>
        <v>0</v>
      </c>
      <c r="AC36" s="536">
        <f>SUM(AC4:AC35)</f>
        <v>0</v>
      </c>
      <c r="AD36" s="117">
        <f>SUM(AD4:AD35)</f>
        <v>0</v>
      </c>
      <c r="AE36" s="118">
        <f>SUM(AE4:AE35)</f>
        <v>0</v>
      </c>
      <c r="AF36" s="119" t="str">
        <f>IF(AD40=0,"",(AE36*50)/AD36)</f>
        <v/>
      </c>
      <c r="AG36" s="120" t="str">
        <f>IF(AD40=0,"",(Z36*50)/AD36)</f>
        <v/>
      </c>
      <c r="AH36" s="6" t="str">
        <f>IF(AD40=0,"",(X36*25)/AD36)</f>
        <v/>
      </c>
      <c r="AI36" s="119" t="str">
        <f>IF(AD40=0,"",(Y36*25)/AD36)</f>
        <v/>
      </c>
      <c r="AJ36" s="119" t="str">
        <f>IF(AD40=0,"",(AA36*25)/AD36)</f>
        <v/>
      </c>
      <c r="AK36" s="119" t="str">
        <f>IF(AD40=0,"",(AB36*40)/AD36)</f>
        <v/>
      </c>
      <c r="AL36" s="119" t="str">
        <f>IF(AD40=0,"",(AC36*50)/AD36)</f>
        <v/>
      </c>
      <c r="AM36" s="115" t="s">
        <v>67</v>
      </c>
      <c r="AN36" s="121">
        <f>SUM(AN4:AN35)</f>
        <v>0</v>
      </c>
      <c r="AO36" s="121">
        <f>SUM(AO4:AO35)</f>
        <v>0</v>
      </c>
      <c r="AP36" s="121">
        <f>SUM(AP4:AP35)</f>
        <v>0</v>
      </c>
      <c r="AQ36" s="122" t="str">
        <f>IF(AN36=0,"",AN36/AO36)</f>
        <v/>
      </c>
      <c r="AR36" s="122" t="str">
        <f>IF(AN36=0,"",(AD36/AN36)/1000)</f>
        <v/>
      </c>
      <c r="AS36" s="121" t="str">
        <f>IF(AN36=0,"",AR36*24)</f>
        <v/>
      </c>
      <c r="AT36" s="123" t="str">
        <f>IF(AN36=0,"",AD40/(AS36*26))</f>
        <v/>
      </c>
      <c r="AU36" s="121" t="str">
        <f>IF(AN36=0,"",(AE36/AN36))</f>
        <v/>
      </c>
      <c r="AV36" s="122" t="str">
        <f>IF(AO36=0,"",(AD36/AO36)/1000)</f>
        <v/>
      </c>
      <c r="AW36" s="124">
        <f>SUM(AW4:AW35)/1000</f>
        <v>0</v>
      </c>
      <c r="AX36" s="124">
        <f>SUM(AX4:AX35)/1000</f>
        <v>0</v>
      </c>
      <c r="AY36" s="124">
        <f>SUM(AY4:AY35)/1000</f>
        <v>0</v>
      </c>
      <c r="AZ36" s="124">
        <f>SUM(AZ4)</f>
        <v>0</v>
      </c>
      <c r="BA36" s="124">
        <f>SUM(BA4:BA35)</f>
        <v>0</v>
      </c>
      <c r="BB36" s="124">
        <f>SUM(BB4:BB35)</f>
        <v>0</v>
      </c>
      <c r="BC36" s="1">
        <f>SUM(BC4:BC35)/1000</f>
        <v>0</v>
      </c>
      <c r="BD36" s="1">
        <f>SUM(BD4:BD35)/1000</f>
        <v>0</v>
      </c>
      <c r="BE36" s="1">
        <f>SUM(BE4:BE35)/1000</f>
        <v>0</v>
      </c>
      <c r="BF36" s="1">
        <f>SUM(BF4:BF35)/1000</f>
        <v>0</v>
      </c>
    </row>
    <row r="37" spans="1:58">
      <c r="B37" s="115" t="s">
        <v>68</v>
      </c>
      <c r="C37" s="116" t="str">
        <f>IF(C36=0,"",AVERAGE(C4:C35))</f>
        <v/>
      </c>
      <c r="D37" s="116" t="str">
        <f>IF(D36=0,"",AVERAGE(D4:D35))</f>
        <v/>
      </c>
      <c r="E37" s="116" t="str">
        <f>IF(E36=0,"",AVERAGE(E4:E35))</f>
        <v/>
      </c>
      <c r="F37" s="116" t="str">
        <f>IF(F36=0,"",AVERAGE(F4:F35))</f>
        <v/>
      </c>
      <c r="G37" s="116" t="str">
        <f>IF(G36=0,"",AVERAGE(G4:G35))</f>
        <v/>
      </c>
      <c r="H37" s="116" t="str">
        <f>IF(H36=0,"",AVERAGE(H4:H35))</f>
        <v/>
      </c>
      <c r="I37" s="116" t="str">
        <f>IF(I36=0,"",AVERAGE(I4:I35))</f>
        <v/>
      </c>
      <c r="J37" s="116" t="str">
        <f>IF(J36=0,"",AVERAGE(J4:J35))</f>
        <v/>
      </c>
      <c r="K37" s="116" t="str">
        <f>IF(K36=0,"",AVERAGE(K4:K35))</f>
        <v/>
      </c>
      <c r="L37" s="116"/>
      <c r="M37" s="116"/>
      <c r="N37" s="116" t="str">
        <f>IF(N36=0,"",AVERAGE(N4:N35))</f>
        <v/>
      </c>
      <c r="O37" s="116" t="str">
        <f>IF(O36=0,"",AVERAGE(O4:O35))</f>
        <v/>
      </c>
      <c r="P37" s="116" t="str">
        <f>IF(P36=0,"",AVERAGE(P4:P35))</f>
        <v/>
      </c>
      <c r="Q37" s="116" t="str">
        <f>IF(Q36=0,"",AVERAGE(Q4:Q35))</f>
        <v/>
      </c>
      <c r="R37" s="116" t="str">
        <f>IF(R36=0,"",AVERAGE(R4:R35))</f>
        <v/>
      </c>
      <c r="S37" s="116" t="str">
        <f>IF(S36=0,"",AVERAGE(S4:S35))</f>
        <v/>
      </c>
      <c r="T37" s="116" t="str">
        <f>IF(T36=0,"",AVERAGE(T4:T35))</f>
        <v/>
      </c>
      <c r="U37" s="116" t="str">
        <f>IF(U36=0,"",AVERAGE(U4:U35))</f>
        <v/>
      </c>
      <c r="V37" s="116" t="str">
        <f>IF(V36=0,"",AVERAGE(V4:V35))</f>
        <v/>
      </c>
      <c r="W37" s="116" t="str">
        <f>IF(W36=0,"",AVERAGE(W4:W35))</f>
        <v/>
      </c>
      <c r="X37" s="116" t="str">
        <f>IF(X36=0,"",AVERAGE(X4:X35))</f>
        <v/>
      </c>
      <c r="Y37" s="116" t="str">
        <f>IF(Y36=0,"",AVERAGE(Y4:Y35))</f>
        <v/>
      </c>
      <c r="Z37" s="116" t="str">
        <f>IF(Z36=0,"",AVERAGE(Z4:Z35))</f>
        <v/>
      </c>
      <c r="AA37" s="116" t="str">
        <f>IF(AA36=0,"",AVERAGE(AA4:AA35))</f>
        <v/>
      </c>
      <c r="AB37" s="116" t="str">
        <f>IF(AB36=0,"",AVERAGE(AB4:AB35))</f>
        <v/>
      </c>
      <c r="AC37" s="116" t="str">
        <f>IF(AC36=0,"",AVERAGE(AC4:AC35))</f>
        <v/>
      </c>
      <c r="AE37" s="7"/>
      <c r="AG37" s="119"/>
      <c r="AJ37" s="6"/>
      <c r="AK37" s="6"/>
      <c r="AL37" s="6"/>
      <c r="AM37" s="115" t="s">
        <v>68</v>
      </c>
      <c r="AN37" s="121" t="str">
        <f>IF(AN36=0,"",AVERAGE(AN4:AN35))</f>
        <v/>
      </c>
      <c r="AO37" s="121" t="str">
        <f>IF(AO36=0,"",AVERAGE(AO4:AO35))</f>
        <v/>
      </c>
      <c r="AP37" s="121" t="str">
        <f>IF(AP36=0,"",AVERAGE(AP4:AP35))</f>
        <v/>
      </c>
      <c r="AQ37" s="122" t="str">
        <f>IF(AQ36="","",AVERAGE(AQ4:AQ35))</f>
        <v/>
      </c>
      <c r="AR37" s="122" t="str">
        <f>IF(AR36="","",AVERAGE(AR4:AR35))</f>
        <v/>
      </c>
      <c r="AS37" s="121" t="str">
        <f>IF(AS36="","",AVERAGE(AS4:AS35))</f>
        <v/>
      </c>
      <c r="AT37" s="123" t="str">
        <f>IF(AT36="","",AVERAGE(AT4:AT35))</f>
        <v/>
      </c>
      <c r="AU37" s="121" t="str">
        <f>IF(AU36="","",AVERAGE(AU4:AU35))</f>
        <v/>
      </c>
      <c r="AV37" s="122" t="str">
        <f>IF(AV36="","",AVERAGE(AV4:AV35))</f>
        <v/>
      </c>
      <c r="AW37" s="122"/>
      <c r="AX37" s="122"/>
      <c r="AY37" s="122"/>
      <c r="AZ37" s="122"/>
      <c r="BA37" s="122"/>
    </row>
    <row r="38" spans="1:58" customHeight="1" ht="23.85">
      <c r="B38" s="115" t="s">
        <v>69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C38" s="125"/>
      <c r="AD38" s="697" t="s">
        <v>70</v>
      </c>
      <c r="AE38" s="697"/>
      <c r="AF38" s="6"/>
      <c r="AG38" s="119"/>
      <c r="AH38" s="6"/>
      <c r="AI38" s="6"/>
      <c r="AJ38" s="6"/>
      <c r="AK38" s="6"/>
      <c r="AL38" s="6"/>
      <c r="AM38" s="6"/>
      <c r="AN38" s="121"/>
      <c r="AO38" s="121"/>
      <c r="AP38" s="121"/>
      <c r="AQ38" s="121"/>
      <c r="AR38" s="116"/>
      <c r="AS38" s="123"/>
      <c r="AT38" s="123"/>
      <c r="AU38" s="121"/>
    </row>
    <row r="39" spans="1:58">
      <c r="B39" s="115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25"/>
      <c r="AE39" s="697" t="s">
        <v>71</v>
      </c>
      <c r="AF39" s="697"/>
      <c r="AG39" s="119"/>
      <c r="AH39" s="127"/>
      <c r="AI39" s="127"/>
      <c r="AJ39" s="6"/>
      <c r="AK39" s="6"/>
      <c r="AL39" s="6"/>
      <c r="AM39" s="6"/>
      <c r="AN39" s="121"/>
      <c r="AO39" s="121"/>
      <c r="AP39" s="121"/>
      <c r="AQ39" s="121"/>
      <c r="AR39" s="121"/>
      <c r="AS39" s="116"/>
      <c r="AT39" s="123"/>
      <c r="AU39" s="116"/>
      <c r="AV39" s="121"/>
    </row>
    <row r="40" spans="1:58">
      <c r="A40" s="137"/>
      <c r="B40" s="499" t="s">
        <v>67</v>
      </c>
      <c r="C40" s="476">
        <f>SUM(C4:C35)</f>
        <v>0</v>
      </c>
      <c r="D40" s="476">
        <f>SUM(D4:D35)</f>
        <v>0</v>
      </c>
      <c r="E40" s="476">
        <f>SUM(E4:E35)</f>
        <v>0</v>
      </c>
      <c r="F40" s="476">
        <f>SUM(F4:F35)</f>
        <v>0</v>
      </c>
      <c r="G40" s="476">
        <f>SUM(G4:G35)</f>
        <v>0</v>
      </c>
      <c r="H40" s="476">
        <f>SUM(H4:H35)</f>
        <v>0</v>
      </c>
      <c r="I40" s="476">
        <f>SUM(I4:I35)</f>
        <v>0</v>
      </c>
      <c r="J40" s="476">
        <f>SUM(J4:J35)</f>
        <v>0</v>
      </c>
      <c r="K40" s="476">
        <f>SUM(K4:K35)</f>
        <v>0</v>
      </c>
      <c r="L40" s="476">
        <f>SUM(L4:L35)</f>
        <v>0</v>
      </c>
      <c r="M40" s="476">
        <f>SUM(M4:M35)</f>
        <v>0</v>
      </c>
      <c r="N40" s="476">
        <f>SUM(N4:N35)</f>
        <v>0</v>
      </c>
      <c r="O40" s="476">
        <f>SUM(O4:O35)</f>
        <v>0</v>
      </c>
      <c r="P40" s="476">
        <f>SUM(P4:P35)</f>
        <v>0</v>
      </c>
      <c r="Q40" s="476">
        <f>SUM(Q4:Q35)</f>
        <v>0</v>
      </c>
      <c r="R40" s="476">
        <f>SUM(R4:R35)</f>
        <v>0</v>
      </c>
      <c r="S40" s="476">
        <f>SUM(S4:S35)</f>
        <v>0</v>
      </c>
      <c r="T40" s="476">
        <f>SUM(T4:T35)</f>
        <v>0</v>
      </c>
      <c r="U40" s="476">
        <f>SUM(U4:U35)</f>
        <v>0</v>
      </c>
      <c r="V40" s="476">
        <f>SUM(V4:V35)</f>
        <v>0</v>
      </c>
      <c r="W40" s="476">
        <f>SUM(W4:W35)</f>
        <v>0</v>
      </c>
      <c r="X40" s="476">
        <f>SUM(X4:X35)</f>
        <v>0</v>
      </c>
      <c r="Y40" s="476">
        <f>SUM(Y4:Y35)</f>
        <v>0</v>
      </c>
      <c r="Z40" s="476">
        <f>SUM(Z4:Z35)</f>
        <v>0</v>
      </c>
      <c r="AA40" s="476">
        <f>SUM(AA4:AA35)</f>
        <v>0</v>
      </c>
      <c r="AB40" s="476">
        <f>SUM(AB4:AB35)</f>
        <v>0</v>
      </c>
      <c r="AC40" s="476">
        <f>SUM(AC4:AC35)</f>
        <v>0</v>
      </c>
      <c r="AD40" s="534">
        <f>AD36/1000</f>
        <v>0</v>
      </c>
      <c r="AE40" s="6"/>
      <c r="AF40" s="6"/>
      <c r="AG40" s="119"/>
      <c r="AH40" s="6"/>
      <c r="AI40" s="6"/>
      <c r="AJ40" s="6"/>
      <c r="AK40" s="6"/>
      <c r="AL40" s="115"/>
      <c r="AM40" s="115"/>
      <c r="AN40" s="121"/>
      <c r="AO40" s="121"/>
      <c r="AP40" s="121"/>
      <c r="AQ40" s="116"/>
      <c r="AR40" s="123"/>
      <c r="AS40" s="116"/>
      <c r="AT40" s="128"/>
    </row>
    <row r="41" spans="1:58"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4"/>
      <c r="AB41" s="7"/>
      <c r="AC41" s="6"/>
      <c r="AD41" s="6"/>
      <c r="AE41" s="115"/>
      <c r="AF41" s="121"/>
      <c r="AG41" s="129"/>
      <c r="AH41" s="121"/>
      <c r="AI41" s="121"/>
      <c r="AJ41" s="121"/>
      <c r="AK41" s="121"/>
      <c r="AL41" s="121"/>
      <c r="AM41" s="121"/>
      <c r="AN41" s="116"/>
      <c r="AO41" s="121"/>
    </row>
    <row r="42" spans="1:58">
      <c r="A42" s="130" t="s">
        <v>72</v>
      </c>
      <c r="B42" s="226"/>
      <c r="C42" s="131"/>
      <c r="D42" s="75"/>
      <c r="E42" s="75"/>
      <c r="F42" s="75"/>
      <c r="G42" s="75"/>
      <c r="H42" s="75"/>
      <c r="I42" s="72"/>
      <c r="J42" s="71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249"/>
      <c r="V42" s="71"/>
      <c r="W42" s="75"/>
      <c r="X42" s="79"/>
      <c r="Y42" s="79"/>
      <c r="Z42" s="79"/>
      <c r="AA42" s="79"/>
      <c r="AB42" s="79"/>
      <c r="AC42" s="85"/>
      <c r="AD42" s="55">
        <f>(Z42+AA42)*25.8</f>
        <v>0</v>
      </c>
      <c r="AE42" s="55">
        <f>Z42</f>
        <v>0</v>
      </c>
      <c r="AF42" s="56" t="str">
        <f>IF(B42="","",((AE42*25)/AD42))</f>
        <v/>
      </c>
      <c r="AG42" s="57" t="str">
        <f>IF(B42="","",((Z42)*25)/AD42)</f>
        <v/>
      </c>
      <c r="AH42" s="57" t="str">
        <f>IF(B42="","",(X42*25)/AD42)</f>
        <v/>
      </c>
      <c r="AI42" s="57" t="str">
        <f>IF(B42="","",(Y42*25)/AD42)</f>
        <v/>
      </c>
      <c r="AJ42" s="57" t="str">
        <f>IF(B42="","",(AA42*25)/AD42)</f>
        <v/>
      </c>
      <c r="AK42" s="58" t="str">
        <f>IF(B42="","",(AB42*40)/AD42)</f>
        <v/>
      </c>
      <c r="AL42" s="58" t="str">
        <f>IF(B42="","",(AC42*50)/AD42)</f>
        <v/>
      </c>
      <c r="AM42" s="59" t="str">
        <f>IF(B42="","",B42)</f>
        <v/>
      </c>
      <c r="AN42" s="81"/>
      <c r="AO42" s="94"/>
      <c r="AP42" s="83"/>
      <c r="AQ42" s="63" t="str">
        <f>IF(AN42="","",AN42/AO42)</f>
        <v/>
      </c>
      <c r="AR42" s="64" t="str">
        <f>IF(AN42="","",(AD42/AN42)/1000)</f>
        <v/>
      </c>
      <c r="AS42" s="64" t="str">
        <f>IF(AN42="","",AR42*24)</f>
        <v/>
      </c>
      <c r="AT42" s="65" t="str">
        <f>IF(AN42="","",(AD42/1000)*100%/AS42)</f>
        <v/>
      </c>
      <c r="AU42" s="64" t="str">
        <f>IF(AN42="","",(AE42/AN42))</f>
        <v/>
      </c>
      <c r="AV42" s="66" t="str">
        <f>IF(AN42="","",(AD42/AO42)/1000)</f>
        <v/>
      </c>
      <c r="AW42" s="389"/>
      <c r="AX42" s="390"/>
      <c r="AY42" s="390"/>
      <c r="AZ42" s="391"/>
      <c r="BA42" s="391"/>
      <c r="BB42" s="392"/>
      <c r="BC42" s="368"/>
      <c r="BD42" s="368"/>
      <c r="BE42" s="368"/>
      <c r="BF42" s="393"/>
    </row>
    <row r="43" spans="1:58">
      <c r="A43" s="130" t="s">
        <v>73</v>
      </c>
      <c r="B43" s="68"/>
      <c r="C43" s="131"/>
      <c r="D43" s="75"/>
      <c r="E43" s="75"/>
      <c r="F43" s="75"/>
      <c r="G43" s="75"/>
      <c r="H43" s="75"/>
      <c r="I43" s="72"/>
      <c r="J43" s="71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249"/>
      <c r="V43" s="71"/>
      <c r="W43" s="75"/>
      <c r="X43" s="79"/>
      <c r="Y43" s="79"/>
      <c r="Z43" s="79"/>
      <c r="AA43" s="79"/>
      <c r="AB43" s="79"/>
      <c r="AC43" s="85"/>
      <c r="AD43" s="55">
        <f>(Z43*25)+(AA43*25)+(AB43*40)+(AC43*50)</f>
        <v>0</v>
      </c>
      <c r="AE43" s="55" t="str">
        <f>IF(B43="","",C43+E43+G43+K43+N43+O43+Q43+R43+((D43+H43)/4)+((F43+I43+J43+T43+Z43)/2))</f>
        <v/>
      </c>
      <c r="AF43" s="56" t="str">
        <f>IF(B43="","",((AE43*50)/AD43))</f>
        <v/>
      </c>
      <c r="AG43" s="57" t="str">
        <f>IF(B43="","",((Z43)*25)/AD43)</f>
        <v/>
      </c>
      <c r="AH43" s="57" t="str">
        <f>IF(B43="","",(X43*25)/AD43)</f>
        <v/>
      </c>
      <c r="AI43" s="57" t="str">
        <f>IF(B43="","",(Y43*25)/AD43)</f>
        <v/>
      </c>
      <c r="AJ43" s="57" t="str">
        <f>IF(B43="","",(AA43*25)/AD43)</f>
        <v/>
      </c>
      <c r="AK43" s="58" t="str">
        <f>IF(B43="","",(AB43*40)/AD43)</f>
        <v/>
      </c>
      <c r="AL43" s="58" t="str">
        <f>IF(B43="","",(AC43*50)/AD43)</f>
        <v/>
      </c>
      <c r="AM43" s="59" t="str">
        <f>IF(B43="","",B43)</f>
        <v/>
      </c>
      <c r="AN43" s="81"/>
      <c r="AO43" s="94"/>
      <c r="AP43" s="83"/>
      <c r="AQ43" s="63" t="str">
        <f>IF(AN43="","",AN43/AO43)</f>
        <v/>
      </c>
      <c r="AR43" s="64" t="str">
        <f>IF(AN43="","",(AD43/AN43)/1000)</f>
        <v/>
      </c>
      <c r="AS43" s="64" t="str">
        <f>IF(AN43="","",AR43*24)</f>
        <v/>
      </c>
      <c r="AT43" s="65" t="str">
        <f>IF(AN43="","",(AD43/1000)*100%/AS43)</f>
        <v/>
      </c>
      <c r="AU43" s="64" t="str">
        <f>IF(AN43="","",(AE43/AN43))</f>
        <v/>
      </c>
      <c r="AV43" s="66" t="str">
        <f>IF(AN43="","",(AD43/AO43)/1000)</f>
        <v/>
      </c>
      <c r="AW43" s="394"/>
      <c r="AX43" s="92"/>
      <c r="AY43" s="92"/>
      <c r="AZ43" s="93"/>
      <c r="BA43" s="93"/>
      <c r="BB43" s="350"/>
      <c r="BC43" s="351"/>
      <c r="BD43" s="351"/>
      <c r="BE43" s="351"/>
      <c r="BF43" s="395"/>
    </row>
    <row r="44" spans="1:58">
      <c r="A44" s="130" t="s">
        <v>74</v>
      </c>
      <c r="B44" s="68"/>
      <c r="C44" s="131"/>
      <c r="D44" s="75"/>
      <c r="E44" s="75"/>
      <c r="F44" s="75"/>
      <c r="G44" s="75"/>
      <c r="H44" s="75"/>
      <c r="I44" s="72"/>
      <c r="J44" s="71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249"/>
      <c r="V44" s="71"/>
      <c r="W44" s="75"/>
      <c r="X44" s="79"/>
      <c r="Y44" s="79"/>
      <c r="Z44" s="79"/>
      <c r="AA44" s="79"/>
      <c r="AB44" s="79"/>
      <c r="AC44" s="85"/>
      <c r="AD44" s="55">
        <f>Z44*25</f>
        <v>0</v>
      </c>
      <c r="AE44" s="55" t="str">
        <f>IF(B44="","",C44+E44+G44+K44+N44+O44+Q44+R44+((D44+H44)/4)+((F44+I44+J44+T44)/2))</f>
        <v/>
      </c>
      <c r="AF44" s="56" t="str">
        <f>IF(B44="","",((AE44*50)/AD44))</f>
        <v/>
      </c>
      <c r="AG44" s="57" t="str">
        <f>IF(B44="","",((Z44)*25)/AD44)</f>
        <v/>
      </c>
      <c r="AH44" s="57" t="str">
        <f>IF(B44="","",(X44*25)/AD44)</f>
        <v/>
      </c>
      <c r="AI44" s="57" t="str">
        <f>IF(B44="","",(Y44*25)/AD44)</f>
        <v/>
      </c>
      <c r="AJ44" s="57" t="str">
        <f>IF(B44="","",(AA44*25)/AD44)</f>
        <v/>
      </c>
      <c r="AK44" s="58" t="str">
        <f>IF(B44="","",(AB44*40)/AD44)</f>
        <v/>
      </c>
      <c r="AL44" s="58" t="str">
        <f>IF(B44="","",(AC44*50)/AD44)</f>
        <v/>
      </c>
      <c r="AM44" s="59" t="str">
        <f>IF(B44="","",B44)</f>
        <v/>
      </c>
      <c r="AN44" s="81"/>
      <c r="AO44" s="94"/>
      <c r="AP44" s="83"/>
      <c r="AQ44" s="63" t="str">
        <f>IF(AN44="","",AN44/AO44)</f>
        <v/>
      </c>
      <c r="AR44" s="64" t="str">
        <f>IF(AN44="","",(AD44/AN44)/1000)</f>
        <v/>
      </c>
      <c r="AS44" s="64" t="str">
        <f>IF(AN44="","",AR44*24)</f>
        <v/>
      </c>
      <c r="AT44" s="65" t="str">
        <f>IF(AN44="","",(AD44/1000)*100%/AS44)</f>
        <v/>
      </c>
      <c r="AU44" s="64" t="str">
        <f>IF(AN44="","",(AE44/AN44))</f>
        <v/>
      </c>
      <c r="AV44" s="66" t="str">
        <f>IF(AN44="","",(AD44/AO44)/1000)</f>
        <v/>
      </c>
      <c r="AW44" s="394"/>
      <c r="AX44" s="92"/>
      <c r="AY44" s="92"/>
      <c r="AZ44" s="93"/>
      <c r="BA44" s="93"/>
      <c r="BB44" s="350"/>
      <c r="BC44" s="351"/>
      <c r="BD44" s="351"/>
      <c r="BE44" s="351"/>
      <c r="BF44" s="395"/>
    </row>
    <row r="45" spans="1:58">
      <c r="A45" s="130" t="s">
        <v>75</v>
      </c>
      <c r="B45" s="68"/>
      <c r="C45" s="131"/>
      <c r="D45" s="75"/>
      <c r="E45" s="75"/>
      <c r="F45" s="75"/>
      <c r="G45" s="75"/>
      <c r="H45" s="75"/>
      <c r="I45" s="72"/>
      <c r="J45" s="71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249"/>
      <c r="V45" s="71"/>
      <c r="W45" s="75"/>
      <c r="X45" s="79"/>
      <c r="Y45" s="79"/>
      <c r="Z45" s="79"/>
      <c r="AA45" s="79"/>
      <c r="AB45" s="79"/>
      <c r="AC45" s="85"/>
      <c r="AD45" s="55">
        <f>(Z45+AA45)*25.275</f>
        <v>0</v>
      </c>
      <c r="AE45" s="55" t="str">
        <f>IF(B45="","",C45+E45+G45+K45+N45+O45+Q45+R45+((D45+H45)/4)+((F45+I45+J45+T45)/2))</f>
        <v/>
      </c>
      <c r="AF45" s="56" t="str">
        <f>IF(B45="","",((AE45*50)/AD45))</f>
        <v/>
      </c>
      <c r="AG45" s="57" t="str">
        <f>IF(B45="","",((Z45)*25)/AD45)</f>
        <v/>
      </c>
      <c r="AH45" s="57" t="str">
        <f>IF(B45="","",(X45*25)/AD45)</f>
        <v/>
      </c>
      <c r="AI45" s="57" t="str">
        <f>IF(B45="","",(Y45*25)/AD45)</f>
        <v/>
      </c>
      <c r="AJ45" s="57" t="str">
        <f>IF(B45="","",(AA45*25)/AD45)</f>
        <v/>
      </c>
      <c r="AK45" s="58" t="str">
        <f>IF(B45="","",(AB45*40)/AD45)</f>
        <v/>
      </c>
      <c r="AL45" s="58" t="str">
        <f>IF(B45="","",(AC45*50)/AD45)</f>
        <v/>
      </c>
      <c r="AM45" s="59" t="str">
        <f>IF(B45="","",B45)</f>
        <v/>
      </c>
      <c r="AN45" s="81"/>
      <c r="AO45" s="94"/>
      <c r="AP45" s="83"/>
      <c r="AQ45" s="63" t="str">
        <f>IF(AN45="","",AN45/AO45)</f>
        <v/>
      </c>
      <c r="AR45" s="64" t="str">
        <f>IF(AN45="","",(AD45/AN45)/1000)</f>
        <v/>
      </c>
      <c r="AS45" s="64" t="str">
        <f>IF(AN45="","",AR45*24)</f>
        <v/>
      </c>
      <c r="AT45" s="65" t="str">
        <f>IF(AN45="","",(AD45/1000)*100%/AS45)</f>
        <v/>
      </c>
      <c r="AU45" s="64" t="str">
        <f>IF(AN45="","",(AE45/AN45))</f>
        <v/>
      </c>
      <c r="AV45" s="66" t="str">
        <f>IF(AN45="","",(AD45/AO45)/1000)</f>
        <v/>
      </c>
      <c r="AW45" s="396"/>
      <c r="AX45" s="231"/>
      <c r="AY45" s="231"/>
      <c r="AZ45" s="232"/>
      <c r="BA45" s="232"/>
      <c r="BB45" s="397"/>
      <c r="BC45" s="398"/>
      <c r="BD45" s="398"/>
      <c r="BE45" s="398"/>
      <c r="BF45" s="399"/>
    </row>
    <row r="46" spans="1:58">
      <c r="B46" s="115"/>
      <c r="C46" s="116"/>
      <c r="D46" s="116"/>
      <c r="E46" s="116"/>
      <c r="F46" s="116"/>
      <c r="G46" s="116"/>
      <c r="H46" s="116"/>
      <c r="O46" s="116"/>
      <c r="P46" s="116"/>
      <c r="Q46" s="116"/>
      <c r="R46" s="116"/>
      <c r="S46" s="116"/>
      <c r="T46" s="116"/>
      <c r="U46" s="116"/>
      <c r="V46" s="116"/>
      <c r="W46" s="7"/>
      <c r="X46" s="7"/>
      <c r="AB46" s="6"/>
      <c r="AC46" s="6"/>
      <c r="AD46" s="55">
        <f>SUM(AD42:AD45)</f>
        <v>0</v>
      </c>
      <c r="AE46" s="121"/>
      <c r="AF46" s="121"/>
      <c r="AG46" s="121"/>
      <c r="AH46" s="116"/>
      <c r="AI46" s="123"/>
      <c r="AJ46" s="123"/>
      <c r="AK46" s="116"/>
      <c r="AL46" s="121"/>
      <c r="AX46" s="1">
        <f>AX42/1000</f>
        <v>0</v>
      </c>
    </row>
    <row r="47" spans="1:58">
      <c r="B47" s="115"/>
      <c r="C47" s="116"/>
      <c r="D47" s="116"/>
      <c r="E47" s="116"/>
      <c r="F47" s="116"/>
      <c r="G47" s="116"/>
      <c r="H47" s="116"/>
      <c r="I47" s="116"/>
      <c r="Q47" s="116"/>
      <c r="R47" s="116"/>
      <c r="S47" s="116"/>
      <c r="T47" s="116"/>
      <c r="U47" s="116"/>
      <c r="V47" s="116"/>
      <c r="W47" s="116"/>
      <c r="X47" s="7"/>
      <c r="Y47" s="7"/>
      <c r="AC47" s="6"/>
      <c r="AD47" s="697" t="s">
        <v>70</v>
      </c>
      <c r="AE47" s="697"/>
      <c r="AF47" s="121"/>
      <c r="AG47" s="121"/>
      <c r="AH47" s="121"/>
      <c r="AI47" s="116"/>
      <c r="AJ47" s="123"/>
      <c r="AK47" s="123"/>
      <c r="AL47" s="116"/>
      <c r="AM47" s="121"/>
    </row>
    <row r="48" spans="1:58">
      <c r="B48" s="115"/>
      <c r="C48" s="116"/>
      <c r="D48" s="116"/>
      <c r="E48" s="116"/>
      <c r="F48" s="116"/>
      <c r="G48" s="116"/>
      <c r="H48" s="116"/>
      <c r="I48" s="117">
        <v>3.6</v>
      </c>
      <c r="J48" s="116"/>
      <c r="K48" s="516"/>
      <c r="L48" s="516"/>
      <c r="M48" s="516"/>
      <c r="N48" s="5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7"/>
      <c r="Z48" s="7"/>
      <c r="AD48" s="126">
        <f>AD46/1000</f>
        <v>0</v>
      </c>
      <c r="AE48" s="697" t="s">
        <v>71</v>
      </c>
      <c r="AF48" s="697"/>
      <c r="AG48" s="121"/>
      <c r="AH48" s="121"/>
      <c r="AI48" s="121"/>
      <c r="AJ48" s="116"/>
      <c r="AK48" s="123"/>
      <c r="AL48" s="123"/>
      <c r="AM48" s="116"/>
      <c r="AN48" s="121"/>
    </row>
    <row r="49" spans="1:58" customHeight="1" ht="13.9">
      <c r="A49" s="676" t="s">
        <v>76</v>
      </c>
      <c r="B49" s="677"/>
      <c r="C49" s="678" t="s">
        <v>77</v>
      </c>
      <c r="D49" s="133"/>
      <c r="F49" s="655" t="s">
        <v>78</v>
      </c>
      <c r="G49" s="656"/>
      <c r="H49" s="657"/>
      <c r="I49" s="355" t="s">
        <v>79</v>
      </c>
      <c r="J49" s="136"/>
      <c r="K49" s="679" t="s">
        <v>80</v>
      </c>
      <c r="L49" s="679"/>
      <c r="M49" s="680"/>
      <c r="N49" s="515" t="s">
        <v>81</v>
      </c>
      <c r="O49" s="688" t="s">
        <v>82</v>
      </c>
      <c r="P49" s="689"/>
      <c r="Q49" s="690"/>
      <c r="R49" s="688" t="s">
        <v>83</v>
      </c>
      <c r="S49" s="689"/>
      <c r="T49" s="689"/>
      <c r="U49" s="690"/>
      <c r="V49" s="500" t="s">
        <v>84</v>
      </c>
      <c r="W49" s="488"/>
      <c r="X49" s="501"/>
      <c r="AB49" s="247"/>
      <c r="AG49" s="6"/>
      <c r="AH49" s="6"/>
      <c r="AI49" s="121"/>
      <c r="AJ49" s="121"/>
      <c r="AK49" s="116"/>
      <c r="AL49" s="123"/>
      <c r="AM49" s="123"/>
      <c r="AN49" s="116"/>
      <c r="AO49" s="121"/>
    </row>
    <row r="50" spans="1:58" customHeight="1" ht="15">
      <c r="A50" s="369" t="s">
        <v>85</v>
      </c>
      <c r="B50" s="482">
        <f>AD40+AD48</f>
        <v>0</v>
      </c>
      <c r="C50" s="678"/>
      <c r="E50" s="137"/>
      <c r="F50" s="662" t="s">
        <v>86</v>
      </c>
      <c r="G50" s="663"/>
      <c r="H50" s="325">
        <f>IF(G53="",0,G56/G53)</f>
        <v>0</v>
      </c>
      <c r="I50" s="138">
        <f>IF(I53="",0,I56/I53)</f>
        <v>0</v>
      </c>
      <c r="J50" s="136"/>
      <c r="K50" s="681"/>
      <c r="L50" s="681"/>
      <c r="M50" s="141" t="e">
        <f>IF($V$50="",0,K50/$V$55)</f>
        <v>#DIV/0!</v>
      </c>
      <c r="N50" s="489"/>
      <c r="O50" s="695"/>
      <c r="P50" s="696"/>
      <c r="Q50" s="141" t="e">
        <f>IF($V$50="",0,O50/$V$55)</f>
        <v>#DIV/0!</v>
      </c>
      <c r="R50" s="140" t="str">
        <f>D80</f>
        <v>CWRS</v>
      </c>
      <c r="S50" s="721">
        <f>(B82*D82)+(B85*D85)+(B86*D86)+(B87*D87)+(B89*D89)+(B92*D92)+(B94*D94)+(B95*D95)+(B98*D98)+(B99*D99)+(B100*D100)+(B102*D102)+(B103*D103)+(B108*D108)+(B111*D111)+(B83*D83)+(B104*D104)+(B84*D84)+(B91*D91)+(B115*D115)+(B106*D106)+(B105*D105)+(B113*D113)+(B110*D110)+(B88*D88)+(B90*D90)+(B96*D96)+(B97*D97)+(B107*D107)</f>
        <v>0</v>
      </c>
      <c r="T50" s="721"/>
      <c r="U50" s="486">
        <f>IF($S$55=0,0,S50/$S$55)</f>
        <v>0</v>
      </c>
      <c r="V50" s="695">
        <f>K50+O50-S50</f>
        <v>0</v>
      </c>
      <c r="W50" s="696"/>
      <c r="X50" s="484" t="e">
        <f>IF($V$50="",0,V50/$V$55)</f>
        <v>#DIV/0!</v>
      </c>
      <c r="AB50" s="157"/>
      <c r="AJ50" s="121"/>
      <c r="AK50" s="116"/>
      <c r="AL50" s="123"/>
      <c r="AM50" s="123"/>
      <c r="AN50" s="116"/>
      <c r="AO50" s="121"/>
    </row>
    <row r="51" spans="1:58" customHeight="1" ht="15">
      <c r="A51" s="326" t="s">
        <v>87</v>
      </c>
      <c r="B51" s="318">
        <f>AE36</f>
        <v>0</v>
      </c>
      <c r="C51" s="377">
        <f>B50/(B60*120)</f>
        <v>-0</v>
      </c>
      <c r="E51" s="137"/>
      <c r="F51" s="662" t="s">
        <v>88</v>
      </c>
      <c r="G51" s="663"/>
      <c r="H51" s="318">
        <f>IF(G53="",0,G53/B50)</f>
        <v>0</v>
      </c>
      <c r="I51" s="272"/>
      <c r="J51" s="136"/>
      <c r="K51" s="685"/>
      <c r="L51" s="685"/>
      <c r="M51" s="141" t="e">
        <f>IF($V$51="",0,K51/$V$55)</f>
        <v>#DIV/0!</v>
      </c>
      <c r="N51" s="489"/>
      <c r="O51" s="687"/>
      <c r="P51" s="681"/>
      <c r="Q51" s="141" t="e">
        <f>IF($V$51="",0,O51/$V$55)</f>
        <v>#DIV/0!</v>
      </c>
      <c r="R51" s="140" t="str">
        <f>IF(E80="","",E80)</f>
        <v>CPS</v>
      </c>
      <c r="S51" s="720">
        <f>(B82*E82)+(B85*E85)+(B86*E86)+(B87*E87)+(B89*E89)+(B92*E92)+(B94*E94)+(B95*E95)+(B98*E98)+(B99*E99)+(B100*E100)+(B102*E102)+(B103*E103)+(B108*E108)+(B113*E113)+(B105*E105)+(B111*E111)+(B104*E104)+(B83*E83)+(B84*E84)+(B91*E91)+(B106*E106)+(B115*E115)+(B116*E116)+(B110*E110)+(B101*E101)+(B88*E88)+(B90*E90)+(B97*E97)+(B107*E107+B96*E96)</f>
        <v>0</v>
      </c>
      <c r="T51" s="720"/>
      <c r="U51" s="486">
        <f>IF($S$55=0,0,S51/$S$55)</f>
        <v>0</v>
      </c>
      <c r="V51" s="687">
        <f>K51+O51-S51</f>
        <v>0</v>
      </c>
      <c r="W51" s="681"/>
      <c r="X51" s="141" t="e">
        <f>IF($V$51="",0,V51/$V$55)</f>
        <v>#DIV/0!</v>
      </c>
      <c r="AJ51" s="121"/>
      <c r="AK51" s="116"/>
      <c r="AL51" s="123"/>
      <c r="AM51" s="123"/>
      <c r="AN51" s="116"/>
      <c r="AO51" s="121"/>
    </row>
    <row r="52" spans="1:58" customHeight="1" ht="15">
      <c r="A52" s="326" t="s">
        <v>89</v>
      </c>
      <c r="B52" s="318">
        <f>(B51*50)/1000</f>
        <v>0</v>
      </c>
      <c r="E52" s="120"/>
      <c r="F52" s="662" t="s">
        <v>90</v>
      </c>
      <c r="G52" s="663"/>
      <c r="H52" s="318">
        <f>IF(G53="",0,G53/((B51*50)/1000))</f>
        <v>0</v>
      </c>
      <c r="I52" s="272"/>
      <c r="J52" s="136"/>
      <c r="K52" s="685"/>
      <c r="L52" s="685"/>
      <c r="M52" s="141" t="e">
        <f>IF($V$50="",0,K52/$V$55)</f>
        <v>#DIV/0!</v>
      </c>
      <c r="N52" s="489"/>
      <c r="O52" s="687"/>
      <c r="P52" s="681"/>
      <c r="Q52" s="141" t="e">
        <f>IF($V$50="",0,O52/$V$55)</f>
        <v>#DIV/0!</v>
      </c>
      <c r="R52" s="148" t="s">
        <v>91</v>
      </c>
      <c r="S52" s="720">
        <f>(B82*G82)+(B85*G85)+(B86*G86)+(B87*G87)+(B89*G89)+(B92*G92)+(B94*G94)+(B95*G95)+(B98*G98)+(B99*G99)+(B100*G100)+(B102*G102)+(B103*G103)+(B108*G108)+(B113*G113)+(B109*G109)+(B116*G116)+(B114*G114)+(B115*G115)+(B83*G83)+(B84*G84)+(B104*G104)+(B106*G106)+(B96*G96)+(B97*G97)+(B90*G90)+(B88*G88)+(B105*G105)+(B91*G91)+(B110*G110)</f>
        <v>0</v>
      </c>
      <c r="T52" s="720"/>
      <c r="U52" s="486">
        <f>IF($S$55=0,0,S52/$S$55)</f>
        <v>0</v>
      </c>
      <c r="V52" s="687">
        <f>K52+O52-S52</f>
        <v>0</v>
      </c>
      <c r="W52" s="681"/>
      <c r="X52" s="141" t="e">
        <f>IF($V$50="",0,V52/$V$55)</f>
        <v>#DIV/0!</v>
      </c>
      <c r="AJ52" s="121"/>
      <c r="AK52" s="116"/>
      <c r="AL52" s="123"/>
      <c r="AM52" s="123"/>
      <c r="AN52" s="116"/>
      <c r="AO52" s="121"/>
    </row>
    <row r="53" spans="1:58" customHeight="1" ht="15">
      <c r="A53" s="326" t="s">
        <v>92</v>
      </c>
      <c r="B53" s="580">
        <f>IF(AF36="",0,AF36)</f>
        <v>0</v>
      </c>
      <c r="E53" s="144"/>
      <c r="F53" s="326" t="s">
        <v>93</v>
      </c>
      <c r="G53" s="693"/>
      <c r="H53" s="694"/>
      <c r="I53" s="353"/>
      <c r="J53" s="136"/>
      <c r="K53" s="686">
        <v>0</v>
      </c>
      <c r="L53" s="686"/>
      <c r="M53" s="141" t="e">
        <f>IF($V$50="",0,L53/$V$55)</f>
        <v>#DIV/0!</v>
      </c>
      <c r="N53" s="490"/>
      <c r="O53" s="687"/>
      <c r="P53" s="681"/>
      <c r="Q53" s="141" t="e">
        <f>IF($V$50="",0,O53/$V$55)</f>
        <v>#DIV/0!</v>
      </c>
      <c r="R53" s="140" t="s">
        <v>94</v>
      </c>
      <c r="S53" s="720">
        <f>(B82*F82)+(B85*F85)+(B86*F86)+(B87*F87)+(B89*F89)+(B92*F92)+(B94*F94)+(B95*F95)+(B98*F98)+(B99*F99)+(B100*F100)+(B102*F102)+(B103*F103)+(B108*F108)+(B113*F113)+(B115*F115)+(B111*F111)+(B109*F109)+(B105*F105)+(B116*F116)+(B101*F101)+(B88*F88)+(B90*F90)+(B91*F91)+(B106*F106)+(B107*F107)+(B96*F96)</f>
        <v>0</v>
      </c>
      <c r="T53" s="720"/>
      <c r="U53" s="486">
        <f>IF($S$55=0,0,S53/$S$55)</f>
        <v>0</v>
      </c>
      <c r="V53" s="687">
        <f>L53+O53-S53</f>
        <v>0</v>
      </c>
      <c r="W53" s="681"/>
      <c r="X53" s="141" t="e">
        <f>IF($V$50="",0,V53/$V$55)</f>
        <v>#DIV/0!</v>
      </c>
      <c r="AG53" s="6"/>
      <c r="AH53" s="6"/>
      <c r="AI53" s="121"/>
      <c r="AJ53" s="121"/>
      <c r="AK53" s="116"/>
      <c r="AL53" s="123"/>
      <c r="AM53" s="123"/>
      <c r="AN53" s="116"/>
      <c r="AO53" s="121"/>
    </row>
    <row r="54" spans="1:58" customHeight="1" ht="15">
      <c r="A54" s="326" t="s">
        <v>95</v>
      </c>
      <c r="B54" s="319">
        <f>AN36</f>
        <v>0</v>
      </c>
      <c r="E54" s="146"/>
      <c r="F54" s="326" t="s">
        <v>96</v>
      </c>
      <c r="G54" s="682"/>
      <c r="H54" s="683"/>
      <c r="I54" s="684"/>
      <c r="J54" s="136"/>
      <c r="K54" s="686">
        <v>0</v>
      </c>
      <c r="L54" s="686"/>
      <c r="M54" s="141" t="e">
        <f>IF($V$50="",0,L54/$V$55)</f>
        <v>#DIV/0!</v>
      </c>
      <c r="N54" s="489"/>
      <c r="O54" s="691">
        <v>0</v>
      </c>
      <c r="P54" s="692"/>
      <c r="Q54" s="141" t="e">
        <f>IF($V$50="",0,O54/$V$55)</f>
        <v>#DIV/0!</v>
      </c>
      <c r="R54" s="480" t="s">
        <v>97</v>
      </c>
      <c r="S54" s="719">
        <f>IF(AD43="",0,AD43)</f>
        <v>0</v>
      </c>
      <c r="T54" s="719"/>
      <c r="U54" s="141">
        <f>IF($S$55=0,0,S54/$S$55)</f>
        <v>0</v>
      </c>
      <c r="V54" s="691">
        <f>L54+O54-S54</f>
        <v>0</v>
      </c>
      <c r="W54" s="692"/>
      <c r="X54" s="141" t="e">
        <f>IF($V$50="",0,V54/$V$55)</f>
        <v>#DIV/0!</v>
      </c>
      <c r="AC54" s="421"/>
      <c r="AF54" s="6"/>
      <c r="AG54" s="6"/>
      <c r="AH54" s="6"/>
      <c r="AJ54" s="147"/>
      <c r="AK54" s="147"/>
      <c r="AL54" s="6"/>
      <c r="AM54" s="6"/>
      <c r="AN54" s="147"/>
      <c r="AO54" s="147"/>
    </row>
    <row r="55" spans="1:58" customHeight="1" ht="15">
      <c r="A55" s="326" t="s">
        <v>98</v>
      </c>
      <c r="B55" s="320">
        <f>IF(B50=0,0,AP36/AN36)</f>
        <v>0</v>
      </c>
      <c r="E55" s="146"/>
      <c r="F55" s="326" t="s">
        <v>99</v>
      </c>
      <c r="G55" s="660"/>
      <c r="H55" s="661"/>
      <c r="I55" s="149"/>
      <c r="J55" s="136"/>
      <c r="K55" s="671">
        <f>SUM(K50:K54)</f>
        <v>0</v>
      </c>
      <c r="L55" s="670"/>
      <c r="M55" s="481"/>
      <c r="N55" s="487">
        <f>SUM(N50:N54)</f>
        <v>0</v>
      </c>
      <c r="O55" s="671">
        <f>SUM(O50:O54)</f>
        <v>0</v>
      </c>
      <c r="P55" s="670"/>
      <c r="Q55" s="481"/>
      <c r="R55" s="150"/>
      <c r="S55" s="670">
        <f>SUM(S50:S54)</f>
        <v>0</v>
      </c>
      <c r="T55" s="670"/>
      <c r="U55" s="479"/>
      <c r="V55" s="671">
        <f>SUM(V50:V54)</f>
        <v>0</v>
      </c>
      <c r="W55" s="670"/>
      <c r="X55" s="481"/>
      <c r="AH55" s="6"/>
      <c r="AJ55" s="147"/>
      <c r="AK55" s="147"/>
      <c r="AL55" s="6"/>
      <c r="AM55" s="6"/>
      <c r="AN55" s="147"/>
      <c r="AO55" s="147"/>
    </row>
    <row r="56" spans="1:58" customHeight="1" ht="13.9">
      <c r="A56" s="326" t="s">
        <v>100</v>
      </c>
      <c r="B56" s="321" t="str">
        <f>AT37</f>
        <v/>
      </c>
      <c r="E56" s="146"/>
      <c r="F56" s="326" t="s">
        <v>101</v>
      </c>
      <c r="G56" s="672">
        <v>77284230</v>
      </c>
      <c r="H56" s="673"/>
      <c r="I56" s="153">
        <v>2803509</v>
      </c>
      <c r="K56" s="216"/>
      <c r="L56" s="216"/>
      <c r="M56" s="216"/>
      <c r="N56" s="216"/>
      <c r="O56" s="375"/>
      <c r="P56" s="517"/>
      <c r="Q56" s="517"/>
      <c r="AH56" s="6"/>
      <c r="AJ56" s="147"/>
      <c r="AK56" s="147"/>
      <c r="AL56" s="6"/>
      <c r="AM56" s="6"/>
      <c r="AN56" s="147"/>
      <c r="AO56" s="147"/>
    </row>
    <row r="57" spans="1:58" customHeight="1" ht="13.9">
      <c r="A57" s="326" t="s">
        <v>102</v>
      </c>
      <c r="B57" s="580" t="str">
        <f>+AT36</f>
        <v/>
      </c>
      <c r="E57" s="137"/>
      <c r="F57" s="662" t="s">
        <v>103</v>
      </c>
      <c r="G57" s="663"/>
      <c r="H57" s="327"/>
      <c r="I57" s="155"/>
      <c r="K57" s="665" t="s">
        <v>104</v>
      </c>
      <c r="L57" s="666"/>
      <c r="M57" s="666"/>
      <c r="N57" s="666"/>
      <c r="O57" s="666"/>
      <c r="P57" s="518"/>
      <c r="Q57" s="246"/>
      <c r="X57" s="4"/>
      <c r="AD57" s="4"/>
      <c r="AH57" s="6"/>
      <c r="AJ57" s="147"/>
      <c r="AK57" s="147"/>
      <c r="AL57" s="6"/>
      <c r="AM57" s="6"/>
      <c r="AN57" s="147"/>
      <c r="AO57" s="147"/>
    </row>
    <row r="58" spans="1:58" customHeight="1" ht="13.9">
      <c r="A58" s="326" t="s">
        <v>105</v>
      </c>
      <c r="B58" s="322">
        <f>IF(AS36="",0,AS36)</f>
        <v>0</v>
      </c>
      <c r="E58" s="137"/>
      <c r="F58" s="326"/>
      <c r="G58" s="216"/>
      <c r="H58" s="323"/>
      <c r="K58" s="326" t="s">
        <v>106</v>
      </c>
      <c r="L58" s="216"/>
      <c r="M58" s="332">
        <f>AX36</f>
        <v>0</v>
      </c>
      <c r="N58" s="332"/>
      <c r="O58" s="216" t="s">
        <v>107</v>
      </c>
      <c r="P58" s="140"/>
      <c r="S58" s="156"/>
      <c r="V58" s="142"/>
      <c r="X58" s="4"/>
      <c r="AB58" s="157"/>
      <c r="AD58" s="4"/>
      <c r="AH58" s="6"/>
      <c r="AJ58" s="147"/>
      <c r="AK58" s="147"/>
      <c r="AL58" s="6"/>
      <c r="AM58" s="6"/>
      <c r="AN58" s="147"/>
      <c r="AO58" s="147"/>
    </row>
    <row r="59" spans="1:58" customHeight="1" ht="13.9">
      <c r="A59" s="326" t="s">
        <v>108</v>
      </c>
      <c r="B59" s="322">
        <f>IF(AU36="",0,AU36)</f>
        <v>0</v>
      </c>
      <c r="E59" s="137"/>
      <c r="F59" s="328" t="s">
        <v>109</v>
      </c>
      <c r="G59" s="329"/>
      <c r="H59" s="330" t="s">
        <v>110</v>
      </c>
      <c r="K59" s="326" t="s">
        <v>111</v>
      </c>
      <c r="L59" s="216"/>
      <c r="M59" s="332">
        <f>AY36</f>
        <v>0</v>
      </c>
      <c r="N59" s="332"/>
      <c r="O59" s="323" t="s">
        <v>107</v>
      </c>
      <c r="S59" s="156"/>
      <c r="W59" s="156"/>
      <c r="AC59" s="247"/>
      <c r="AD59" s="157"/>
      <c r="AE59" s="157"/>
      <c r="AF59" s="157"/>
      <c r="AG59" s="6"/>
      <c r="AJ59" s="147"/>
      <c r="AK59" s="6"/>
      <c r="AL59" s="147"/>
      <c r="AM59" s="147"/>
      <c r="AN59" s="147"/>
    </row>
    <row r="60" spans="1:58" customHeight="1" ht="13.9">
      <c r="A60" s="326" t="s">
        <v>112</v>
      </c>
      <c r="B60" s="323">
        <f>31-COUNTBLANK(A4:A35)</f>
        <v>-1</v>
      </c>
      <c r="F60" s="331" t="s">
        <v>113</v>
      </c>
      <c r="G60" s="664" t="e">
        <f>G59/(B50*1000)</f>
        <v>#DIV/0!</v>
      </c>
      <c r="H60" s="664"/>
      <c r="I60" s="376"/>
      <c r="J60" s="136"/>
      <c r="K60" s="418" t="s">
        <v>92</v>
      </c>
      <c r="L60" s="483"/>
      <c r="M60" s="419" t="e">
        <f>M59/M58</f>
        <v>#DIV/0!</v>
      </c>
      <c r="N60" s="419"/>
      <c r="O60" s="420"/>
      <c r="S60" s="145"/>
      <c r="T60" s="665" t="s">
        <v>114</v>
      </c>
      <c r="U60" s="666"/>
      <c r="V60" s="667"/>
      <c r="X60" s="4"/>
      <c r="Y60" s="472" t="s">
        <v>115</v>
      </c>
      <c r="Z60" s="273" t="s">
        <v>169</v>
      </c>
      <c r="AA60" s="273">
        <v>900</v>
      </c>
      <c r="AB60" s="273" t="s">
        <v>117</v>
      </c>
      <c r="AC60" s="273">
        <v>7200</v>
      </c>
      <c r="AD60" s="273">
        <v>4200</v>
      </c>
      <c r="AE60" s="273">
        <v>8530</v>
      </c>
      <c r="AF60" s="157"/>
      <c r="AG60" s="6"/>
      <c r="AJ60" s="147"/>
      <c r="AK60" s="6"/>
      <c r="AL60" s="147"/>
      <c r="AM60" s="147"/>
      <c r="AN60" s="147"/>
    </row>
    <row r="61" spans="1:58" customHeight="1" ht="13.9">
      <c r="A61" s="370" t="s">
        <v>118</v>
      </c>
      <c r="B61" s="324">
        <f>AD40+AD48</f>
        <v>0</v>
      </c>
      <c r="G61" s="156" t="s">
        <v>119</v>
      </c>
      <c r="O61" s="4"/>
      <c r="P61" s="4"/>
      <c r="T61" s="354" t="s">
        <v>120</v>
      </c>
      <c r="U61" s="668"/>
      <c r="V61" s="669"/>
      <c r="X61" s="165" t="str">
        <f>C82</f>
        <v>Extrapan
 50</v>
      </c>
      <c r="Y61" s="531"/>
      <c r="Z61" s="531"/>
      <c r="AA61" s="531"/>
      <c r="AB61" s="531"/>
      <c r="AC61" s="531"/>
      <c r="AD61" s="531"/>
      <c r="AE61" s="531"/>
      <c r="AG61" s="147"/>
      <c r="AH61" s="147"/>
      <c r="AI61" s="6"/>
      <c r="AJ61" s="6"/>
      <c r="AK61" s="147"/>
      <c r="AL61" s="147"/>
      <c r="AM61" s="147"/>
    </row>
    <row r="62" spans="1:58" customHeight="1" ht="14.45">
      <c r="A62" s="259" t="s">
        <v>121</v>
      </c>
      <c r="B62" s="477">
        <f>B50/B67</f>
        <v>0</v>
      </c>
      <c r="E62" s="136"/>
      <c r="F62" s="655" t="s">
        <v>122</v>
      </c>
      <c r="G62" s="656"/>
      <c r="H62" s="657"/>
      <c r="K62" s="655" t="s">
        <v>123</v>
      </c>
      <c r="L62" s="656"/>
      <c r="M62" s="656"/>
      <c r="N62" s="656"/>
      <c r="O62" s="656"/>
      <c r="P62" s="519"/>
      <c r="Q62" s="133"/>
      <c r="R62" s="162"/>
      <c r="S62" s="162"/>
      <c r="T62" s="354" t="s">
        <v>124</v>
      </c>
      <c r="U62" s="658">
        <f>AZ4</f>
        <v>0</v>
      </c>
      <c r="V62" s="659"/>
      <c r="W62" s="162"/>
      <c r="X62" s="165" t="str">
        <f>C85</f>
        <v>Extrapan
25</v>
      </c>
      <c r="Y62" s="532"/>
      <c r="Z62" s="532"/>
      <c r="AA62" s="532"/>
      <c r="AB62" s="532"/>
      <c r="AC62" s="532"/>
      <c r="AD62" s="532"/>
      <c r="AE62" s="532"/>
      <c r="AG62" s="147"/>
      <c r="AH62" s="147"/>
      <c r="AI62" s="6"/>
      <c r="AJ62" s="6"/>
      <c r="AK62" s="147"/>
      <c r="AL62" s="147"/>
      <c r="AM62" s="147"/>
    </row>
    <row r="63" spans="1:58" customHeight="1" ht="14.45">
      <c r="A63" s="256" t="s">
        <v>125</v>
      </c>
      <c r="B63" s="502" t="e">
        <f>B75/B50</f>
        <v>#DIV/0!</v>
      </c>
      <c r="F63" s="632" t="s">
        <v>126</v>
      </c>
      <c r="G63" s="633"/>
      <c r="H63" s="268"/>
      <c r="I63" s="140"/>
      <c r="J63" s="136"/>
      <c r="K63" s="1" t="s">
        <v>127</v>
      </c>
      <c r="O63" s="520">
        <v>662</v>
      </c>
      <c r="R63" s="162"/>
      <c r="S63" s="162"/>
      <c r="T63" s="162"/>
      <c r="U63" s="162"/>
      <c r="V63" s="162"/>
      <c r="W63" s="162"/>
      <c r="X63" s="165" t="str">
        <f>C86</f>
        <v>Extrapan
10</v>
      </c>
      <c r="Y63" s="532"/>
      <c r="Z63" s="532"/>
      <c r="AA63" s="532"/>
      <c r="AB63" s="532"/>
      <c r="AC63" s="532"/>
      <c r="AD63" s="532"/>
      <c r="AE63" s="532"/>
      <c r="AG63" s="147"/>
      <c r="AH63" s="147"/>
      <c r="AI63" s="6"/>
      <c r="AJ63" s="6"/>
      <c r="AK63" s="147"/>
      <c r="AL63" s="147"/>
      <c r="AM63" s="147"/>
    </row>
    <row r="64" spans="1:58" customHeight="1" ht="14.45">
      <c r="A64" s="258" t="s">
        <v>128</v>
      </c>
      <c r="B64" s="503" t="e">
        <f>B76/B50</f>
        <v>#DIV/0!</v>
      </c>
      <c r="F64" s="140" t="s">
        <v>129</v>
      </c>
      <c r="H64" s="474">
        <f>(H63*1)*2</f>
        <v>0</v>
      </c>
      <c r="I64" s="140"/>
      <c r="K64" s="140" t="s">
        <v>129</v>
      </c>
      <c r="O64" s="474">
        <f>O63/30</f>
        <v>22.066666666666666</v>
      </c>
      <c r="T64" s="634" t="s">
        <v>130</v>
      </c>
      <c r="U64" s="635"/>
      <c r="V64" s="636"/>
      <c r="X64" s="165" t="str">
        <f>C87</f>
        <v>Artesanal 
50</v>
      </c>
      <c r="Y64" s="531"/>
      <c r="Z64" s="531"/>
      <c r="AA64" s="531"/>
      <c r="AB64" s="531"/>
      <c r="AC64" s="531"/>
      <c r="AD64" s="531"/>
      <c r="AE64" s="531"/>
      <c r="AG64" s="147"/>
      <c r="AH64" s="147"/>
      <c r="AI64" s="6"/>
      <c r="AJ64" s="6"/>
      <c r="AK64" s="147"/>
      <c r="AL64" s="147"/>
      <c r="AM64" s="147"/>
    </row>
    <row r="65" spans="1:58">
      <c r="F65" s="637" t="s">
        <v>131</v>
      </c>
      <c r="G65" s="638"/>
      <c r="H65" s="639"/>
      <c r="I65" s="140"/>
      <c r="J65" s="136"/>
      <c r="K65" s="1" t="s">
        <v>132</v>
      </c>
      <c r="P65" s="140"/>
      <c r="T65" s="417" t="s">
        <v>133</v>
      </c>
      <c r="U65" s="732"/>
      <c r="V65" s="733"/>
      <c r="X65" s="165" t="str">
        <f>C89</f>
        <v>Artesanal
25</v>
      </c>
      <c r="Y65" s="532"/>
      <c r="Z65" s="532"/>
      <c r="AA65" s="532"/>
      <c r="AB65" s="532"/>
      <c r="AC65" s="532"/>
      <c r="AD65" s="532"/>
      <c r="AE65" s="532"/>
      <c r="AG65" s="147"/>
      <c r="AH65" s="147"/>
      <c r="AI65" s="6"/>
      <c r="AJ65" s="6"/>
      <c r="AK65" s="147"/>
      <c r="AL65" s="147"/>
      <c r="AM65" s="147"/>
    </row>
    <row r="66" spans="1:58" customHeight="1" ht="14.45">
      <c r="A66" s="371" t="s">
        <v>134</v>
      </c>
      <c r="B66" s="373"/>
      <c r="F66" s="630" t="s">
        <v>91</v>
      </c>
      <c r="G66" s="642"/>
      <c r="H66" s="270"/>
      <c r="I66" s="140"/>
      <c r="K66" s="159" t="s">
        <v>94</v>
      </c>
      <c r="L66" s="158"/>
      <c r="M66" s="158"/>
      <c r="N66" s="158"/>
      <c r="O66" s="478"/>
      <c r="P66" s="524"/>
      <c r="T66" s="417" t="s">
        <v>135</v>
      </c>
      <c r="U66" s="651"/>
      <c r="V66" s="652"/>
      <c r="X66" s="165" t="str">
        <f>C92</f>
        <v>Natural 
50</v>
      </c>
      <c r="Y66" s="532"/>
      <c r="Z66" s="532"/>
      <c r="AA66" s="532"/>
      <c r="AB66" s="532"/>
      <c r="AC66" s="532"/>
      <c r="AD66" s="532"/>
      <c r="AE66" s="532"/>
      <c r="AG66" s="147"/>
      <c r="AH66" s="147"/>
      <c r="AI66" s="147"/>
      <c r="AJ66" s="147"/>
      <c r="AK66" s="6"/>
      <c r="AL66" s="6"/>
      <c r="AM66" s="147"/>
      <c r="AN66" s="147"/>
    </row>
    <row r="67" spans="1:58" customHeight="1" ht="14.45">
      <c r="A67" s="255" t="s">
        <v>136</v>
      </c>
      <c r="B67" s="264">
        <v>24</v>
      </c>
      <c r="F67" s="140" t="s">
        <v>137</v>
      </c>
      <c r="G67" s="475"/>
      <c r="H67" s="267">
        <f>H64*G67</f>
        <v>0</v>
      </c>
      <c r="K67" s="140" t="s">
        <v>137</v>
      </c>
      <c r="L67" s="475">
        <v>100</v>
      </c>
      <c r="M67" s="367">
        <f>(O64*L67)</f>
        <v>2206.66666666666652</v>
      </c>
      <c r="P67" s="524"/>
      <c r="Q67" s="521"/>
      <c r="T67" s="417" t="s">
        <v>94</v>
      </c>
      <c r="U67" s="730"/>
      <c r="V67" s="731"/>
      <c r="X67" s="165" t="str">
        <f>C99</f>
        <v>Harina Tortas y Ponques</v>
      </c>
      <c r="Y67" s="531"/>
      <c r="Z67" s="531"/>
      <c r="AA67" s="531"/>
      <c r="AB67" s="531"/>
      <c r="AC67" s="531"/>
      <c r="AD67" s="531"/>
      <c r="AE67" s="531"/>
      <c r="AG67" s="147"/>
      <c r="AH67" s="147"/>
      <c r="AI67" s="6"/>
      <c r="AJ67" s="6"/>
      <c r="AK67" s="147"/>
      <c r="AL67" s="147"/>
      <c r="AM67" s="147"/>
    </row>
    <row r="68" spans="1:58" customHeight="1" ht="14.45">
      <c r="A68" s="255" t="s">
        <v>138</v>
      </c>
      <c r="B68" s="265">
        <v>28760</v>
      </c>
      <c r="F68" s="148" t="s">
        <v>139</v>
      </c>
      <c r="G68" s="649">
        <f>(G67*436*1.7321*0.96)/1000</f>
        <v>0</v>
      </c>
      <c r="H68" s="650">
        <f>(H67*436*1.7321*0.96)/1000</f>
        <v>0</v>
      </c>
      <c r="K68" s="148" t="s">
        <v>139</v>
      </c>
      <c r="L68" s="271">
        <f>(L67*436*1.7321*0.96)/1000</f>
        <v>72.4987776</v>
      </c>
      <c r="M68" s="156"/>
      <c r="O68" s="525"/>
      <c r="P68" s="522"/>
      <c r="T68" s="354" t="s">
        <v>140</v>
      </c>
      <c r="U68" s="651"/>
      <c r="V68" s="652"/>
      <c r="X68" s="165" t="str">
        <f>C100</f>
        <v>Harina Galeras Ligera</v>
      </c>
      <c r="Y68" s="532"/>
      <c r="Z68" s="532"/>
      <c r="AA68" s="532"/>
      <c r="AB68" s="532"/>
      <c r="AC68" s="532"/>
      <c r="AD68" s="532"/>
      <c r="AE68" s="532"/>
      <c r="AG68" s="147"/>
      <c r="AH68" s="147"/>
      <c r="AI68" s="147"/>
      <c r="AJ68" s="147"/>
      <c r="AK68" s="6"/>
      <c r="AL68" s="6"/>
      <c r="AM68" s="147"/>
      <c r="AN68" s="147"/>
    </row>
    <row r="69" spans="1:58">
      <c r="A69" s="156" t="s">
        <v>142</v>
      </c>
      <c r="B69" s="424">
        <v>36087</v>
      </c>
      <c r="F69" s="140" t="s">
        <v>143</v>
      </c>
      <c r="G69" s="653">
        <f>G68*H63</f>
        <v>0</v>
      </c>
      <c r="H69" s="639"/>
      <c r="K69" s="140" t="s">
        <v>143</v>
      </c>
      <c r="M69" s="653">
        <f>L68*O64</f>
        <v>1599.80635903999996</v>
      </c>
      <c r="N69" s="653"/>
      <c r="O69" s="654"/>
      <c r="X69" s="165" t="str">
        <f>C103</f>
        <v>Harina de alta proteina x 1
G</v>
      </c>
      <c r="Y69" s="532"/>
      <c r="Z69" s="532"/>
      <c r="AA69" s="532"/>
      <c r="AB69" s="532"/>
      <c r="AC69" s="532"/>
      <c r="AD69" s="532"/>
      <c r="AE69" s="532"/>
      <c r="AG69" s="147"/>
      <c r="AH69" s="147"/>
      <c r="AI69" s="147"/>
      <c r="AJ69" s="147"/>
      <c r="AK69" s="6"/>
      <c r="AL69" s="6"/>
      <c r="AM69" s="147"/>
      <c r="AN69" s="147"/>
    </row>
    <row r="70" spans="1:58" customHeight="1" ht="14.45">
      <c r="A70" s="257" t="s">
        <v>144</v>
      </c>
      <c r="B70" s="266">
        <f>+B51/B68</f>
        <v>0</v>
      </c>
      <c r="F70" s="632" t="s">
        <v>86</v>
      </c>
      <c r="G70" s="633"/>
      <c r="H70" s="269">
        <f>G69*H50</f>
        <v>0</v>
      </c>
      <c r="K70" s="140" t="s">
        <v>86</v>
      </c>
      <c r="M70" s="352">
        <f>M69*H50</f>
        <v>0</v>
      </c>
      <c r="O70" s="136"/>
      <c r="P70" s="523"/>
      <c r="Q70" s="523"/>
      <c r="T70" s="374" t="s">
        <v>145</v>
      </c>
      <c r="U70" s="374"/>
      <c r="V70" s="374"/>
      <c r="X70" s="165" t="s">
        <v>67</v>
      </c>
      <c r="Y70" s="533"/>
      <c r="Z70" s="533"/>
      <c r="AA70" s="533"/>
      <c r="AB70" s="533"/>
      <c r="AC70" s="533"/>
      <c r="AD70" s="533"/>
      <c r="AE70" s="533"/>
      <c r="AG70" s="6"/>
      <c r="AI70" s="147"/>
      <c r="AJ70" s="147"/>
      <c r="AK70" s="147"/>
      <c r="AL70" s="147"/>
      <c r="AM70" s="147"/>
      <c r="AN70" s="6"/>
      <c r="AO70" s="147"/>
      <c r="AP70" s="147"/>
    </row>
    <row r="71" spans="1:58" customHeight="1" ht="22.5">
      <c r="A71" s="257" t="s">
        <v>146</v>
      </c>
      <c r="B71" s="266">
        <f>+B51/B69</f>
        <v>0</v>
      </c>
      <c r="F71" s="159"/>
      <c r="G71" s="158"/>
      <c r="H71" s="151"/>
      <c r="K71" s="159"/>
      <c r="L71" s="158"/>
      <c r="M71" s="158"/>
      <c r="N71" s="158"/>
      <c r="O71" s="151"/>
      <c r="T71" s="253" t="s">
        <v>147</v>
      </c>
      <c r="U71" s="254"/>
      <c r="V71" s="645">
        <f>AP36*(U71+U72)</f>
        <v>0</v>
      </c>
      <c r="X71" s="202" t="s">
        <v>141</v>
      </c>
      <c r="Y71" s="203"/>
      <c r="Z71" s="203"/>
      <c r="AA71" s="203"/>
      <c r="AB71" s="203"/>
      <c r="AC71" s="203"/>
      <c r="AE71" s="6"/>
      <c r="AG71" s="6"/>
      <c r="AI71" s="147"/>
      <c r="AJ71" s="147"/>
      <c r="AK71" s="147"/>
      <c r="AL71" s="147"/>
      <c r="AM71" s="147"/>
      <c r="AN71" s="6"/>
      <c r="AO71" s="147"/>
      <c r="AP71" s="147"/>
    </row>
    <row r="72" spans="1:58">
      <c r="T72" s="253" t="s">
        <v>151</v>
      </c>
      <c r="U72" s="254"/>
      <c r="V72" s="646"/>
      <c r="X72" s="202"/>
      <c r="Y72" s="245"/>
      <c r="Z72" s="245"/>
      <c r="AA72" s="245"/>
      <c r="AB72" s="245"/>
      <c r="AC72" s="245"/>
      <c r="AE72" s="6"/>
      <c r="AG72" s="6"/>
      <c r="AI72" s="147"/>
      <c r="AJ72" s="147"/>
      <c r="AK72" s="147"/>
      <c r="AL72" s="147"/>
      <c r="AM72" s="147"/>
      <c r="AN72" s="6"/>
      <c r="AO72" s="147"/>
      <c r="AP72" s="147"/>
    </row>
    <row r="73" spans="1:58">
      <c r="AE73" s="6"/>
      <c r="AG73" s="6"/>
      <c r="AI73" s="147"/>
      <c r="AJ73" s="147"/>
      <c r="AK73" s="147"/>
      <c r="AL73" s="147"/>
      <c r="AM73" s="147"/>
      <c r="AN73" s="6"/>
      <c r="AO73" s="147"/>
      <c r="AP73" s="147"/>
    </row>
    <row r="74" spans="1:58" customHeight="1" ht="14.45">
      <c r="A74" s="371" t="s">
        <v>154</v>
      </c>
      <c r="B74" s="372"/>
      <c r="C74" s="140"/>
      <c r="Y74" s="156" t="s">
        <v>148</v>
      </c>
      <c r="Z74" s="1" t="s">
        <v>149</v>
      </c>
      <c r="AA74" s="1" t="s">
        <v>150</v>
      </c>
      <c r="AE74" s="6"/>
      <c r="AG74" s="6"/>
      <c r="AI74" s="147"/>
      <c r="AJ74" s="147"/>
      <c r="AK74" s="147"/>
      <c r="AL74" s="147"/>
      <c r="AM74" s="147"/>
      <c r="AN74" s="6"/>
      <c r="AO74" s="147"/>
      <c r="AP74" s="147"/>
    </row>
    <row r="75" spans="1:58" customHeight="1" ht="14.45">
      <c r="A75" s="260" t="s">
        <v>155</v>
      </c>
      <c r="B75" s="262">
        <v>64062235</v>
      </c>
      <c r="Y75" s="209" t="s">
        <v>152</v>
      </c>
      <c r="Z75" s="7">
        <v>12.5</v>
      </c>
      <c r="AA75" s="7">
        <v>13.5</v>
      </c>
      <c r="AB75" s="7"/>
      <c r="AC75" s="1" t="s">
        <v>152</v>
      </c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8" customHeight="1" ht="14.45">
      <c r="A76" s="261" t="s">
        <v>156</v>
      </c>
      <c r="B76" s="263">
        <v>7837432</v>
      </c>
      <c r="Y76" s="209" t="s">
        <v>67</v>
      </c>
      <c r="Z76" s="212">
        <f>SUM(A82+A85+A86+A87+A89+A92+A94+A98+A100+A102+A103+A108+A105+A110+A113+A115+A109+A83+A84+A90+A88+A91+A96+A97+A104+A106+A111)*Z75</f>
        <v>0</v>
      </c>
      <c r="AA76" s="212">
        <f>(A95+A99)*AA75</f>
        <v>0</v>
      </c>
      <c r="AB76" s="240"/>
      <c r="AC76" s="156" t="s">
        <v>153</v>
      </c>
      <c r="AE76" s="206"/>
      <c r="AK76" s="147"/>
      <c r="AL76" s="147"/>
      <c r="AM76" s="147"/>
      <c r="AN76" s="6"/>
      <c r="AO76" s="147"/>
      <c r="AP76" s="147"/>
    </row>
    <row r="77" spans="1:58">
      <c r="Y77" s="202" t="s">
        <v>141</v>
      </c>
      <c r="Z77" s="142"/>
      <c r="AA77" s="142"/>
      <c r="AB77" s="142"/>
      <c r="AC77" s="156" t="s">
        <v>153</v>
      </c>
      <c r="AE77" s="206"/>
      <c r="AK77" s="147"/>
      <c r="AL77" s="147"/>
      <c r="AM77" s="147"/>
      <c r="AN77" s="6"/>
      <c r="AO77" s="147"/>
      <c r="AP77" s="147"/>
      <c r="AQ77" s="147"/>
      <c r="AR77" s="147"/>
    </row>
    <row r="78" spans="1:58">
      <c r="X78" s="169"/>
      <c r="AK78" s="147"/>
      <c r="AL78" s="147"/>
      <c r="AM78" s="147"/>
      <c r="AN78" s="6"/>
      <c r="AO78" s="147"/>
      <c r="AP78" s="147"/>
      <c r="AQ78" s="147"/>
      <c r="AR78" s="147"/>
    </row>
    <row r="79" spans="1:58">
      <c r="N79" s="4"/>
      <c r="X79" s="169"/>
      <c r="AE79" s="6"/>
      <c r="AK79" s="147"/>
      <c r="AL79" s="147"/>
      <c r="AM79" s="147"/>
      <c r="AN79" s="6"/>
      <c r="AO79" s="147"/>
      <c r="AP79" s="147"/>
      <c r="AQ79" s="147"/>
      <c r="AR79" s="147"/>
    </row>
    <row r="80" spans="1:58" customHeight="1" ht="16.35">
      <c r="A80" s="170"/>
      <c r="C80" s="171"/>
      <c r="D80" s="423" t="s">
        <v>157</v>
      </c>
      <c r="E80" s="423" t="s">
        <v>158</v>
      </c>
      <c r="F80" s="423" t="s">
        <v>94</v>
      </c>
      <c r="G80" s="423" t="s">
        <v>91</v>
      </c>
      <c r="AE80" s="6"/>
      <c r="AK80" s="147"/>
      <c r="AL80" s="147"/>
      <c r="AM80" s="147"/>
    </row>
    <row r="81" spans="1:58" customHeight="1" ht="16.35">
      <c r="A81" s="356" t="s">
        <v>45</v>
      </c>
      <c r="B81" s="472" t="s">
        <v>159</v>
      </c>
      <c r="C81" s="176" t="s">
        <v>160</v>
      </c>
      <c r="D81" s="178" t="s">
        <v>161</v>
      </c>
      <c r="E81" s="178" t="s">
        <v>161</v>
      </c>
      <c r="F81" s="178" t="s">
        <v>161</v>
      </c>
      <c r="G81" s="178" t="s">
        <v>161</v>
      </c>
      <c r="AE81" s="6"/>
      <c r="AK81" s="147"/>
      <c r="AL81" s="147"/>
      <c r="AM81" s="147"/>
    </row>
    <row r="82" spans="1:58" customHeight="1" ht="16.35">
      <c r="A82" s="139">
        <f>C36</f>
        <v>0</v>
      </c>
      <c r="B82" s="139">
        <f>IF(A82=0,0,((A82*50)/$B$53))</f>
        <v>0</v>
      </c>
      <c r="C82" s="180" t="s">
        <v>16</v>
      </c>
      <c r="D82" s="569">
        <v>0.8</v>
      </c>
      <c r="E82" s="570">
        <v>0.2</v>
      </c>
      <c r="F82" s="571"/>
      <c r="G82" s="572"/>
      <c r="Z82" s="213"/>
      <c r="AA82" s="213"/>
      <c r="AB82" s="213"/>
      <c r="AC82" s="213"/>
      <c r="AD82" s="213"/>
      <c r="AE82" s="6"/>
      <c r="AK82" s="147"/>
      <c r="AL82" s="147"/>
      <c r="AM82" s="147"/>
    </row>
    <row r="83" spans="1:58" customHeight="1" ht="16.35">
      <c r="A83" s="139">
        <f>C38</f>
        <v>0</v>
      </c>
      <c r="B83" s="139">
        <f>IF(A83=0,0,((A83*50)/$B$53))</f>
        <v>0</v>
      </c>
      <c r="C83" s="180" t="s">
        <v>16</v>
      </c>
      <c r="D83" s="573"/>
      <c r="E83" s="186"/>
      <c r="F83" s="462"/>
      <c r="G83" s="574"/>
      <c r="Z83" s="213"/>
      <c r="AA83" s="213"/>
      <c r="AB83" s="213"/>
      <c r="AC83" s="213"/>
      <c r="AD83" s="213"/>
      <c r="AE83" s="6"/>
      <c r="AK83" s="147"/>
      <c r="AL83" s="147"/>
      <c r="AM83" s="147"/>
    </row>
    <row r="84" spans="1:58" customHeight="1" ht="16.35">
      <c r="A84" s="139">
        <f>C39</f>
        <v>0</v>
      </c>
      <c r="B84" s="139">
        <f>IF(A84=0,0,((A84*50)/$B$53))</f>
        <v>0</v>
      </c>
      <c r="C84" s="180" t="s">
        <v>16</v>
      </c>
      <c r="D84" s="575">
        <v>0.8</v>
      </c>
      <c r="E84" s="382">
        <v>0.2</v>
      </c>
      <c r="F84" s="382"/>
      <c r="G84" s="574"/>
      <c r="Z84" s="213"/>
      <c r="AA84" s="213"/>
      <c r="AB84" s="213"/>
      <c r="AC84" s="213"/>
      <c r="AD84" s="213"/>
      <c r="AE84" s="6"/>
      <c r="AK84" s="147"/>
      <c r="AL84" s="147"/>
      <c r="AM84" s="147"/>
    </row>
    <row r="85" spans="1:58" customHeight="1" ht="16.35">
      <c r="A85" s="139">
        <f>D36/2</f>
        <v>0</v>
      </c>
      <c r="B85" s="139">
        <f>IF(A85=0,0,((A85*50)/$B$53))</f>
        <v>0</v>
      </c>
      <c r="C85" s="180" t="str">
        <f>D3</f>
        <v>Extrapan
25</v>
      </c>
      <c r="D85" s="573">
        <v>0.8</v>
      </c>
      <c r="E85" s="186">
        <v>0.2</v>
      </c>
      <c r="F85" s="186"/>
      <c r="G85" s="576"/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8" customHeight="1" ht="16.35">
      <c r="A86" s="139">
        <f>E36/5</f>
        <v>0</v>
      </c>
      <c r="B86" s="139">
        <f>IF(A86=0,0,((A86*50)/$B$53))</f>
        <v>0</v>
      </c>
      <c r="C86" s="189" t="str">
        <f>E3</f>
        <v>Extrapan
10</v>
      </c>
      <c r="D86" s="573">
        <v>0.8</v>
      </c>
      <c r="E86" s="186">
        <v>0.2</v>
      </c>
      <c r="F86" s="186"/>
      <c r="G86" s="576"/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8" customHeight="1" ht="16.35">
      <c r="A87" s="139">
        <f>F36</f>
        <v>0</v>
      </c>
      <c r="B87" s="139">
        <f>IF(A87=0,0,((A87*50)/$B$53))</f>
        <v>0</v>
      </c>
      <c r="C87" s="189" t="str">
        <f>F3</f>
        <v>Artesanal 
50</v>
      </c>
      <c r="D87" s="573">
        <v>0.6</v>
      </c>
      <c r="E87" s="186">
        <v>0.15</v>
      </c>
      <c r="F87" s="186">
        <v>0.25</v>
      </c>
      <c r="G87" s="576"/>
      <c r="J87" s="137"/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8" customHeight="1" ht="16.35">
      <c r="A88" s="139">
        <f>F38</f>
        <v>0</v>
      </c>
      <c r="B88" s="139">
        <f>IF(A88=0,0,((A88*50)/$B$53))</f>
        <v>0</v>
      </c>
      <c r="C88" s="568" t="str">
        <f>C87</f>
        <v>Artesanal 
50</v>
      </c>
      <c r="D88" s="573"/>
      <c r="E88" s="186"/>
      <c r="F88" s="186"/>
      <c r="G88" s="576"/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8" customHeight="1" ht="16.35">
      <c r="A89" s="139">
        <f>G36/2</f>
        <v>0</v>
      </c>
      <c r="B89" s="139">
        <f>IF(A89=0,0,((A89*50)/$B$53))</f>
        <v>0</v>
      </c>
      <c r="C89" s="190" t="str">
        <f>G3</f>
        <v>Artesanal
25</v>
      </c>
      <c r="D89" s="573">
        <v>0.6</v>
      </c>
      <c r="E89" s="186">
        <v>0.15</v>
      </c>
      <c r="F89" s="186">
        <v>0.25</v>
      </c>
      <c r="G89" s="576"/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8" customHeight="1" ht="16.35">
      <c r="A90" s="139">
        <f>G38/2</f>
        <v>0</v>
      </c>
      <c r="B90" s="139">
        <f>IF(A90=0,0,((A90*50)/$B$53))</f>
        <v>0</v>
      </c>
      <c r="C90" s="190" t="str">
        <f>C89</f>
        <v>Artesanal
25</v>
      </c>
      <c r="D90" s="573"/>
      <c r="E90" s="186"/>
      <c r="F90" s="186"/>
      <c r="G90" s="576"/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8" customHeight="1" ht="16.35">
      <c r="A91" s="139">
        <f>H36</f>
        <v>0</v>
      </c>
      <c r="B91" s="139">
        <f>IF(A91=0,0,((A91*50)/$B$53))</f>
        <v>0</v>
      </c>
      <c r="C91" s="180" t="str">
        <f>H3</f>
        <v>Natural 
50</v>
      </c>
      <c r="D91" s="573">
        <v>0.7</v>
      </c>
      <c r="E91" s="186">
        <v>0.07</v>
      </c>
      <c r="F91" s="186">
        <v>0.23</v>
      </c>
      <c r="G91" s="576"/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8" customHeight="1" ht="16.35">
      <c r="A92" s="139">
        <f>H38</f>
        <v>0</v>
      </c>
      <c r="B92" s="139">
        <f>IF(A92=0,0,((A92*50)/$B$53))</f>
        <v>0</v>
      </c>
      <c r="C92" s="180" t="str">
        <f>H3</f>
        <v>Natural 
50</v>
      </c>
      <c r="D92" s="577"/>
      <c r="E92" s="578"/>
      <c r="F92" s="578"/>
      <c r="G92" s="579"/>
      <c r="V92" s="124"/>
      <c r="W92" s="124"/>
      <c r="Z92" s="6"/>
      <c r="AA92" s="6"/>
      <c r="AB92" s="6"/>
      <c r="AC92" s="6"/>
      <c r="AD92" s="6"/>
      <c r="AE92" s="6"/>
      <c r="AH92" s="147"/>
      <c r="AI92" s="147"/>
      <c r="AJ92" s="147"/>
    </row>
    <row r="93" spans="1:58" customHeight="1" ht="16.35">
      <c r="A93" s="139"/>
      <c r="B93" s="139">
        <f>IF(A93=0,0,((A93*50)/$B$53))</f>
        <v>0</v>
      </c>
      <c r="C93" s="548"/>
      <c r="D93" s="200"/>
      <c r="E93" s="200"/>
      <c r="F93" s="201"/>
      <c r="G93" s="201"/>
      <c r="V93" s="245"/>
      <c r="W93" s="245"/>
      <c r="Y93" s="213"/>
      <c r="Z93" s="6"/>
      <c r="AA93" s="6"/>
      <c r="AB93" s="6"/>
      <c r="AC93" s="6"/>
      <c r="AD93" s="6"/>
      <c r="AE93" s="6"/>
      <c r="AH93" s="147"/>
      <c r="AI93" s="147"/>
      <c r="AJ93" s="147"/>
    </row>
    <row r="94" spans="1:58" customHeight="1" ht="15.6">
      <c r="A94" s="139">
        <f>I36/2</f>
        <v>0</v>
      </c>
      <c r="B94" s="139">
        <f>IF(A94=0,0,((A94*50)/$B$53))</f>
        <v>0</v>
      </c>
      <c r="C94" s="379" t="str">
        <f>I3</f>
        <v>Fuerte
25</v>
      </c>
      <c r="D94" s="463">
        <v>0.57</v>
      </c>
      <c r="E94" s="182">
        <v>0.13</v>
      </c>
      <c r="F94" s="182">
        <v>0.3</v>
      </c>
      <c r="G94" s="506"/>
      <c r="Y94" s="213"/>
      <c r="Z94" s="6"/>
      <c r="AA94" s="6"/>
      <c r="AB94" s="6"/>
      <c r="AC94" s="6"/>
      <c r="AD94" s="6"/>
      <c r="AE94" s="6"/>
      <c r="AH94" s="147"/>
      <c r="AI94" s="147"/>
      <c r="AJ94" s="147"/>
    </row>
    <row r="95" spans="1:58" customHeight="1" ht="16.35">
      <c r="A95" s="139">
        <f>J36/2</f>
        <v>0</v>
      </c>
      <c r="B95" s="139">
        <f>IF(A95=0,0,((A95*50)/$B$53))</f>
        <v>0</v>
      </c>
      <c r="C95" s="448" t="str">
        <f>J3</f>
        <v>Fuerte exp
25</v>
      </c>
      <c r="D95" s="462">
        <v>0.57</v>
      </c>
      <c r="E95" s="186">
        <v>0.13</v>
      </c>
      <c r="F95" s="382">
        <v>0.3</v>
      </c>
      <c r="G95" s="504"/>
      <c r="Y95" s="213"/>
      <c r="Z95" s="6"/>
      <c r="AA95" s="6"/>
      <c r="AB95" s="6"/>
      <c r="AC95" s="6"/>
      <c r="AD95" s="6"/>
      <c r="AE95" s="6"/>
      <c r="AH95" s="147"/>
      <c r="AI95" s="147"/>
      <c r="AJ95" s="147"/>
    </row>
    <row r="96" spans="1:58" customHeight="1" ht="16.35">
      <c r="A96" s="139">
        <f>I38/2</f>
        <v>0</v>
      </c>
      <c r="B96" s="139">
        <f>IF(A96=0,0,((A96*50)/$B$53))</f>
        <v>0</v>
      </c>
      <c r="C96" s="379" t="str">
        <f>I3</f>
        <v>Fuerte
25</v>
      </c>
      <c r="D96" s="462"/>
      <c r="E96" s="186"/>
      <c r="F96" s="382"/>
      <c r="G96" s="504"/>
      <c r="Y96" s="213"/>
      <c r="Z96" s="6"/>
      <c r="AA96" s="6"/>
      <c r="AB96" s="6"/>
      <c r="AC96" s="6"/>
      <c r="AD96" s="6"/>
      <c r="AE96" s="6"/>
      <c r="AH96" s="147"/>
      <c r="AI96" s="147"/>
      <c r="AJ96" s="147"/>
    </row>
    <row r="97" spans="1:58" customHeight="1" ht="16.35">
      <c r="A97" s="139">
        <f>I39/2</f>
        <v>0</v>
      </c>
      <c r="B97" s="139">
        <f>IF(A97=0,0,((A97*50)/$B$53))</f>
        <v>0</v>
      </c>
      <c r="C97" s="379" t="str">
        <f>C96</f>
        <v>Fuerte
25</v>
      </c>
      <c r="D97" s="462"/>
      <c r="E97" s="186"/>
      <c r="F97" s="382"/>
      <c r="G97" s="504"/>
      <c r="Y97" s="213"/>
      <c r="Z97" s="6"/>
      <c r="AA97" s="6"/>
      <c r="AB97" s="6"/>
      <c r="AC97" s="6"/>
      <c r="AD97" s="6"/>
      <c r="AE97" s="6"/>
      <c r="AH97" s="147"/>
      <c r="AI97" s="147"/>
      <c r="AJ97" s="147"/>
    </row>
    <row r="98" spans="1:58" customHeight="1" ht="16.35">
      <c r="A98" s="139">
        <f>K36</f>
        <v>0</v>
      </c>
      <c r="B98" s="139">
        <f>IF(A98=0,0,((A98*50)/$B$53))</f>
        <v>0</v>
      </c>
      <c r="C98" s="379" t="str">
        <f>K3</f>
        <v>Exclusiva
50</v>
      </c>
      <c r="D98" s="462">
        <v>0.62</v>
      </c>
      <c r="E98" s="186">
        <v>0.13</v>
      </c>
      <c r="F98" s="382">
        <v>0.25</v>
      </c>
      <c r="G98" s="504"/>
      <c r="Y98" s="213"/>
      <c r="Z98" s="6"/>
      <c r="AA98" s="6"/>
      <c r="AB98" s="6"/>
      <c r="AC98" s="6"/>
      <c r="AD98" s="6"/>
      <c r="AE98" s="6"/>
      <c r="AH98" s="147"/>
      <c r="AI98" s="147"/>
      <c r="AJ98" s="147"/>
    </row>
    <row r="99" spans="1:58" customHeight="1" ht="26.85">
      <c r="A99" s="139">
        <f>N36</f>
        <v>0</v>
      </c>
      <c r="B99" s="139">
        <f>IF(A99=0,0,((A99*50)/$B$53))</f>
        <v>0</v>
      </c>
      <c r="C99" s="449" t="str">
        <f>N3</f>
        <v>Harina Tortas y Ponques</v>
      </c>
      <c r="D99" s="462"/>
      <c r="E99" s="186"/>
      <c r="F99" s="186"/>
      <c r="G99" s="504"/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8" customHeight="1" ht="29.25">
      <c r="A100" s="139">
        <f>O36</f>
        <v>0</v>
      </c>
      <c r="B100" s="139">
        <f>IF(A100=0,0,((A100*50)/$B$53))</f>
        <v>0</v>
      </c>
      <c r="C100" s="449" t="str">
        <f>O3</f>
        <v>Harina Galeras Ligera</v>
      </c>
      <c r="D100" s="462"/>
      <c r="E100" s="186"/>
      <c r="F100" s="508"/>
      <c r="G100" s="188"/>
      <c r="H100" s="214"/>
      <c r="I100" s="214"/>
      <c r="J100" s="214"/>
      <c r="K100" s="156"/>
      <c r="L100" s="156"/>
      <c r="M100" s="156"/>
      <c r="N100" s="156"/>
      <c r="O100" s="202"/>
      <c r="P100" s="202"/>
      <c r="Q100" s="214"/>
      <c r="R100" s="214"/>
      <c r="S100" s="214"/>
      <c r="T100" s="156"/>
      <c r="U100" s="156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8" customHeight="1" ht="29.25">
      <c r="A101" s="139">
        <f>O38</f>
        <v>0</v>
      </c>
      <c r="B101" s="139">
        <f>IF(A101=0,0,((A101*50)/$B$53))</f>
        <v>0</v>
      </c>
      <c r="C101" s="449" t="str">
        <f>C100</f>
        <v>Harina Galeras Ligera</v>
      </c>
      <c r="D101" s="462"/>
      <c r="E101" s="186"/>
      <c r="F101" s="186"/>
      <c r="G101" s="504"/>
      <c r="H101" s="214"/>
      <c r="I101" s="214"/>
      <c r="J101" s="214"/>
      <c r="K101" s="156"/>
      <c r="L101" s="156"/>
      <c r="M101" s="156"/>
      <c r="N101" s="156"/>
      <c r="O101" s="202"/>
      <c r="P101" s="202"/>
      <c r="Q101" s="214"/>
      <c r="R101" s="214"/>
      <c r="S101" s="214"/>
      <c r="T101" s="156"/>
      <c r="U101" s="156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8" customHeight="1" ht="17.1">
      <c r="A102" s="139">
        <f>Q36</f>
        <v>0</v>
      </c>
      <c r="B102" s="139">
        <f>IF(A102=0,0,((A102*50)/$B$53))</f>
        <v>0</v>
      </c>
      <c r="C102" s="379" t="str">
        <f>Q3</f>
        <v>ESPECIAL
50</v>
      </c>
      <c r="D102" s="462"/>
      <c r="E102" s="186"/>
      <c r="F102" s="186"/>
      <c r="G102" s="505"/>
      <c r="X102" s="213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8" customHeight="1" ht="31.5">
      <c r="A103" s="139">
        <f>R36/50</f>
        <v>0</v>
      </c>
      <c r="B103" s="139">
        <f>IF(A103=0,0,((A103*50)/$B$53))</f>
        <v>0</v>
      </c>
      <c r="C103" s="449" t="str">
        <f>R3</f>
        <v>Harina de alta proteina x 1
G</v>
      </c>
      <c r="D103" s="462">
        <v>1</v>
      </c>
      <c r="E103" s="186"/>
      <c r="F103" s="186"/>
      <c r="G103" s="505"/>
      <c r="X103" s="213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8" customHeight="1" ht="16.35">
      <c r="A104" s="139">
        <f>R38/50</f>
        <v>0</v>
      </c>
      <c r="B104" s="139">
        <f>IF(A104=0,0,((A104*50)/$B$53))</f>
        <v>0</v>
      </c>
      <c r="C104" s="379" t="s">
        <v>170</v>
      </c>
      <c r="D104" s="381"/>
      <c r="E104" s="230"/>
      <c r="F104" s="230"/>
      <c r="G104" s="505"/>
      <c r="X104" s="213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8" customHeight="1" ht="27.6">
      <c r="A105" s="139">
        <f>S36/50</f>
        <v>0</v>
      </c>
      <c r="B105" s="139">
        <f>IF(A105=0,0,((A105*50)/$B$53))</f>
        <v>0</v>
      </c>
      <c r="C105" s="449" t="str">
        <f>S3</f>
        <v>Harina de baja proteina x 1</v>
      </c>
      <c r="D105" s="381"/>
      <c r="E105" s="230"/>
      <c r="F105" s="230">
        <v>1</v>
      </c>
      <c r="G105" s="505"/>
      <c r="X105" s="213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8" customHeight="1" ht="16.35">
      <c r="A106" s="139">
        <f>S38/50</f>
        <v>0</v>
      </c>
      <c r="B106" s="139">
        <f>IF(A106=0,0,((A106*50)/$B$53))</f>
        <v>0</v>
      </c>
      <c r="C106" s="449" t="s">
        <v>171</v>
      </c>
      <c r="D106" s="381"/>
      <c r="E106" s="230"/>
      <c r="F106" s="230"/>
      <c r="G106" s="507"/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8" customHeight="1" ht="16.35">
      <c r="A107" s="139">
        <f>S39/50</f>
        <v>0</v>
      </c>
      <c r="B107" s="139">
        <f>IF(A107=0,0,((A107*50)/$B$53))</f>
        <v>0</v>
      </c>
      <c r="C107" s="449" t="s">
        <v>171</v>
      </c>
      <c r="D107" s="381"/>
      <c r="E107" s="230"/>
      <c r="F107" s="230"/>
      <c r="G107" s="507"/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8" customHeight="1" ht="24">
      <c r="A108" s="139">
        <f>T36/50</f>
        <v>0</v>
      </c>
      <c r="B108" s="139">
        <f>IF(A108=0,0,((A108*50)/$B$53))</f>
        <v>0</v>
      </c>
      <c r="C108" s="449" t="str">
        <f>T3</f>
        <v>ARTESANAL X 1
G</v>
      </c>
      <c r="D108" s="462">
        <v>0.61</v>
      </c>
      <c r="E108" s="186"/>
      <c r="F108" s="186">
        <v>0.39</v>
      </c>
      <c r="G108" s="505"/>
      <c r="X108" s="213"/>
      <c r="Y108" s="213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8" customHeight="1" ht="22.5">
      <c r="A109" s="139">
        <f>T38/50</f>
        <v>0</v>
      </c>
      <c r="B109" s="139">
        <f>IF(A109=0,0,((A109*50)/$B$53))</f>
        <v>0</v>
      </c>
      <c r="C109" s="449" t="str">
        <f>T3</f>
        <v>ARTESANAL X 1
G</v>
      </c>
      <c r="D109" s="462"/>
      <c r="E109" s="186"/>
      <c r="F109" s="186"/>
      <c r="G109" s="505"/>
      <c r="X109" s="213"/>
      <c r="Y109" s="213"/>
      <c r="Z109" s="6"/>
      <c r="AA109" s="6"/>
      <c r="AB109" s="6"/>
      <c r="AC109" s="6"/>
      <c r="AD109" s="6"/>
      <c r="AE109" s="6"/>
      <c r="AH109" s="147"/>
      <c r="AI109" s="147"/>
      <c r="AJ109" s="147"/>
    </row>
    <row r="110" spans="1:58" customHeight="1" ht="16.35">
      <c r="A110" s="139">
        <f>P36/2</f>
        <v>0</v>
      </c>
      <c r="B110" s="139">
        <f>IF(A110=0,0,((A110*50)/$B$53))</f>
        <v>0</v>
      </c>
      <c r="C110" s="379" t="str">
        <f>P3</f>
        <v>H. Manitova </v>
      </c>
      <c r="D110" s="470"/>
      <c r="E110" s="186"/>
      <c r="F110" s="186"/>
      <c r="G110" s="507"/>
      <c r="X110" s="213"/>
      <c r="Y110" s="213"/>
      <c r="Z110" s="6"/>
      <c r="AA110" s="6"/>
      <c r="AB110" s="6"/>
      <c r="AC110" s="6"/>
      <c r="AD110" s="6"/>
      <c r="AE110" s="6"/>
      <c r="AH110" s="147"/>
      <c r="AI110" s="147"/>
      <c r="AJ110" s="147"/>
    </row>
    <row r="111" spans="1:58" customHeight="1" ht="16.35">
      <c r="A111" s="139">
        <f>U36/2</f>
        <v>0</v>
      </c>
      <c r="B111" s="139">
        <f>IF(A111=0,0,((A111*50)/$B$53))</f>
        <v>0</v>
      </c>
      <c r="C111" s="379" t="str">
        <f>U3</f>
        <v>H. espcial x 25
</v>
      </c>
      <c r="D111" s="378"/>
      <c r="E111" s="251">
        <v>0.14</v>
      </c>
      <c r="F111" s="509">
        <v>0.86</v>
      </c>
      <c r="G111" s="510"/>
      <c r="X111" s="213"/>
      <c r="Y111" s="213"/>
      <c r="Z111" s="6"/>
      <c r="AA111" s="6"/>
      <c r="AB111" s="6"/>
      <c r="AC111" s="6"/>
      <c r="AD111" s="6"/>
      <c r="AE111" s="6"/>
      <c r="AH111" s="147"/>
      <c r="AI111" s="147"/>
      <c r="AJ111" s="147"/>
    </row>
    <row r="112" spans="1:58" customHeight="1" ht="16.35">
      <c r="A112" s="139"/>
      <c r="B112" s="139"/>
      <c r="C112" s="216"/>
      <c r="D112" s="4"/>
      <c r="E112" s="4"/>
      <c r="F112" s="4"/>
      <c r="G112" s="464"/>
      <c r="X112" s="213"/>
      <c r="Y112" s="213"/>
      <c r="Z112" s="6"/>
      <c r="AA112" s="6"/>
      <c r="AB112" s="6"/>
      <c r="AC112" s="6"/>
      <c r="AD112" s="6"/>
      <c r="AE112" s="6"/>
      <c r="AH112" s="147"/>
      <c r="AI112" s="147"/>
      <c r="AJ112" s="147"/>
    </row>
    <row r="113" spans="1:58" customHeight="1" ht="16.35">
      <c r="A113" s="139">
        <f>Z42/2</f>
        <v>0</v>
      </c>
      <c r="B113" s="139">
        <f>IF(A113=0,0,((A113*51.6)))</f>
        <v>0</v>
      </c>
      <c r="C113" s="217" t="str">
        <f>A42</f>
        <v>Grano entero</v>
      </c>
      <c r="D113" s="182"/>
      <c r="E113" s="182"/>
      <c r="F113" s="512"/>
      <c r="G113" s="511"/>
      <c r="X113" s="213"/>
      <c r="Y113" s="213"/>
      <c r="Z113" s="6"/>
      <c r="AA113" s="6"/>
      <c r="AB113" s="6"/>
      <c r="AC113" s="6"/>
      <c r="AD113" s="6"/>
      <c r="AE113" s="6"/>
      <c r="AH113" s="147"/>
      <c r="AI113" s="147"/>
      <c r="AJ113" s="147"/>
    </row>
    <row r="114" spans="1:58" customHeight="1" ht="16.35">
      <c r="A114" s="139">
        <f>Z43/2</f>
        <v>0</v>
      </c>
      <c r="B114" s="139">
        <f>IF(A114=0,0,((A114*50)))</f>
        <v>0</v>
      </c>
      <c r="C114" s="379" t="str">
        <f>A43</f>
        <v>Bio Convercion </v>
      </c>
      <c r="D114" s="462"/>
      <c r="E114" s="366"/>
      <c r="F114" s="186"/>
      <c r="G114" s="505"/>
      <c r="X114" s="213"/>
      <c r="Y114" s="213"/>
      <c r="Z114" s="6"/>
      <c r="AA114" s="6"/>
      <c r="AB114" s="6"/>
      <c r="AC114" s="6"/>
      <c r="AD114" s="6"/>
      <c r="AE114" s="6"/>
      <c r="AH114" s="147"/>
      <c r="AI114" s="147"/>
      <c r="AJ114" s="147"/>
    </row>
    <row r="115" spans="1:58" customHeight="1" ht="16.35">
      <c r="A115" s="139">
        <f>Z45/2</f>
        <v>0</v>
      </c>
      <c r="B115" s="139">
        <f>IF(A115=0,0,((A115*50.55)))</f>
        <v>0</v>
      </c>
      <c r="C115" s="380" t="str">
        <f>A45</f>
        <v>Trigo entero </v>
      </c>
      <c r="D115" s="470"/>
      <c r="E115" s="230"/>
      <c r="F115" s="366"/>
      <c r="G115" s="513"/>
      <c r="X115" s="213"/>
      <c r="Y115" s="213"/>
      <c r="Z115" s="6"/>
      <c r="AA115" s="6"/>
      <c r="AB115" s="6"/>
      <c r="AC115" s="6"/>
      <c r="AD115" s="6"/>
      <c r="AE115" s="6"/>
      <c r="AH115" s="147"/>
      <c r="AI115" s="147"/>
      <c r="AJ115" s="147"/>
    </row>
    <row r="116" spans="1:58" customHeight="1" ht="16.35">
      <c r="A116" s="139">
        <f>AA45/2</f>
        <v>0</v>
      </c>
      <c r="B116" s="139">
        <f>IF(A116=0,0,((A116*52)))</f>
        <v>0</v>
      </c>
      <c r="C116" s="380" t="str">
        <f>C115</f>
        <v>Trigo entero </v>
      </c>
      <c r="D116" s="378"/>
      <c r="E116" s="192"/>
      <c r="F116" s="192"/>
      <c r="G116" s="514"/>
      <c r="X116" s="213"/>
      <c r="Y116" s="213"/>
      <c r="Z116" s="6"/>
      <c r="AA116" s="6"/>
      <c r="AB116" s="6"/>
      <c r="AC116" s="6"/>
      <c r="AD116" s="6"/>
      <c r="AE116" s="6"/>
      <c r="AH116" s="147"/>
      <c r="AI116" s="147"/>
      <c r="AJ116" s="147"/>
    </row>
    <row r="117" spans="1:58" customHeight="1" ht="13.5">
      <c r="B117" s="139">
        <f>SUM(B82:B116)</f>
        <v>0</v>
      </c>
      <c r="X117" s="213"/>
      <c r="Y117" s="386"/>
      <c r="Z117" s="6"/>
      <c r="AA117" s="6"/>
      <c r="AB117" s="6"/>
      <c r="AC117" s="6"/>
      <c r="AD117" s="6"/>
      <c r="AE117" s="6"/>
      <c r="AH117" s="147"/>
      <c r="AI117" s="147"/>
      <c r="AJ117" s="147"/>
      <c r="AO117" s="147"/>
      <c r="AP117" s="147"/>
    </row>
    <row r="118" spans="1:58" customHeight="1" ht="12.75">
      <c r="X118" s="213"/>
      <c r="Y118" s="4"/>
      <c r="Z118" s="4"/>
      <c r="AB118" s="384"/>
      <c r="AC118" s="385"/>
      <c r="AD118" s="4"/>
      <c r="AE118" s="213"/>
      <c r="AF118" s="213"/>
      <c r="AG118" s="6"/>
      <c r="AH118" s="6"/>
      <c r="AI118" s="6"/>
      <c r="AJ118" s="6"/>
      <c r="AK118" s="6"/>
      <c r="AL118" s="6"/>
      <c r="AM118" s="6"/>
      <c r="AP118" s="147"/>
      <c r="AQ118" s="147"/>
      <c r="AV118" s="147"/>
      <c r="AW118" s="147"/>
    </row>
    <row r="119" spans="1:58">
      <c r="X119" s="213"/>
      <c r="Y119" s="4"/>
      <c r="Z119" s="4"/>
      <c r="AB119" s="4"/>
      <c r="AE119" s="213"/>
      <c r="AF119" s="473"/>
      <c r="AG119" s="6"/>
      <c r="AH119" s="6"/>
      <c r="AI119" s="6"/>
      <c r="AJ119" s="6"/>
      <c r="AK119" s="6"/>
      <c r="AL119" s="6"/>
      <c r="AM119" s="6"/>
      <c r="AP119" s="147"/>
      <c r="AQ119" s="147"/>
      <c r="AV119" s="147"/>
      <c r="AW119" s="147"/>
    </row>
    <row r="120" spans="1:58">
      <c r="X120" s="213"/>
      <c r="Y120" s="213"/>
      <c r="Z120" s="4"/>
      <c r="AA120" s="4"/>
      <c r="AC120" s="4"/>
      <c r="AF120" s="213"/>
      <c r="AG120" s="213"/>
      <c r="AH120" s="6"/>
      <c r="AI120" s="6"/>
      <c r="AJ120" s="6"/>
      <c r="AK120" s="6"/>
      <c r="AL120" s="6"/>
      <c r="AM120" s="6"/>
      <c r="AN120" s="6"/>
      <c r="AQ120" s="147"/>
      <c r="AR120" s="147"/>
      <c r="AW120" s="147"/>
      <c r="AX120" s="147"/>
    </row>
    <row r="121" spans="1:58">
      <c r="X121" s="213"/>
      <c r="Z121" s="4"/>
      <c r="AA121" s="4"/>
      <c r="AC121" s="4"/>
      <c r="AF121" s="213"/>
      <c r="AG121" s="213"/>
      <c r="AH121" s="6"/>
      <c r="AI121" s="6"/>
      <c r="AJ121" s="6"/>
      <c r="AK121" s="6"/>
      <c r="AL121" s="6"/>
      <c r="AM121" s="6"/>
      <c r="AN121" s="6"/>
      <c r="AQ121" s="147"/>
      <c r="AR121" s="147"/>
      <c r="AW121" s="147"/>
      <c r="AX121" s="147"/>
    </row>
    <row r="122" spans="1:58">
      <c r="N122" s="4"/>
      <c r="X122" s="213"/>
      <c r="AA122" s="4"/>
      <c r="AC122" s="4"/>
      <c r="AF122" s="213"/>
      <c r="AG122" s="213"/>
      <c r="AH122" s="6"/>
      <c r="AI122" s="6"/>
      <c r="AJ122" s="6"/>
      <c r="AK122" s="6"/>
      <c r="AL122" s="6"/>
      <c r="AM122" s="6"/>
      <c r="AN122" s="6"/>
      <c r="AQ122" s="147"/>
      <c r="AR122" s="147"/>
      <c r="AW122" s="147"/>
      <c r="AX122" s="147"/>
    </row>
    <row r="123" spans="1:58">
      <c r="N123" s="4"/>
      <c r="X123" s="213"/>
      <c r="Z123" s="6"/>
      <c r="AA123" s="6"/>
      <c r="AB123" s="6"/>
      <c r="AC123" s="6"/>
      <c r="AD123" s="6"/>
      <c r="AE123" s="6"/>
      <c r="AH123" s="147"/>
      <c r="AI123" s="147"/>
      <c r="AJ123" s="147"/>
      <c r="AO123" s="147"/>
      <c r="AP123" s="147"/>
    </row>
    <row r="124" spans="1:58">
      <c r="N124" s="4"/>
      <c r="X124" s="213"/>
      <c r="Z124" s="6"/>
      <c r="AA124" s="6"/>
      <c r="AB124" s="6"/>
      <c r="AC124" s="6"/>
      <c r="AD124" s="6"/>
      <c r="AE124" s="6"/>
      <c r="AH124" s="147"/>
      <c r="AI124" s="147"/>
      <c r="AJ124" s="147"/>
      <c r="AO124" s="147"/>
      <c r="AP124" s="147"/>
    </row>
    <row r="125" spans="1:58">
      <c r="N125" s="4"/>
      <c r="X125" s="213"/>
      <c r="AD125" s="6"/>
      <c r="AE125" s="6"/>
      <c r="AH125" s="147"/>
      <c r="AI125" s="147"/>
      <c r="AJ125" s="147"/>
      <c r="AO125" s="147"/>
      <c r="AP125" s="147"/>
    </row>
    <row r="126" spans="1:58">
      <c r="N126" s="4"/>
      <c r="X126" s="4"/>
    </row>
    <row r="127" spans="1:58">
      <c r="N127" s="4"/>
      <c r="X127" s="4"/>
    </row>
    <row r="128" spans="1:58">
      <c r="N128" s="4"/>
    </row>
    <row r="129" spans="1:58">
      <c r="N129" s="4"/>
      <c r="W129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57"/>
    <protectedRange name="Repaso y reproceso_2" sqref="V42:W45"/>
    <protectedRange name="Produccion Harinas_2" sqref="C42:U45"/>
    <protectedRange name="Produccion otros productos_2" sqref="X42:AC45"/>
    <protectedRange name="Datos basculas_2" sqref="AW42:BB45"/>
    <protectedRange name="Horas_2" sqref="AN42:AP45"/>
    <protectedRange name="Fecha_2" sqref="B42:B45"/>
    <protectedRange name="Produccion Harinas" sqref="T5:U8 D5:R8 C9:U35"/>
    <protectedRange name="Datos energia" sqref="H544 G55:H56"/>
    <protectedRange name="Formulas trigo" sqref="H87:J98 D93:F93 H82:J85 D112:F116 H102:J116"/>
    <protectedRange name="Produccion otros productos" sqref="X5:Z8 Z4 AC15 X9:AC13 AB16:AC35 X14:AA35 AB14:AC14"/>
    <protectedRange name="Formulas vitamina" sqref="Z75:AB75"/>
    <protectedRange name="Datos basculas" sqref="AW4:BB35"/>
    <protectedRange name="Horas" sqref="AN4:AP35"/>
    <protectedRange name="Datos Nomina" sqref="O56:Q56"/>
    <protectedRange name="Fecha" sqref="B24:B35"/>
    <protectedRange name="Trigos" sqref="D80:E80 H80:M80"/>
    <protectedRange name="Formulas trigo_3" sqref="H99:J99"/>
    <protectedRange name="Formulas trigo_5" sqref="H100:J101"/>
    <protectedRange name="Datos basculas_4_2_1_2" sqref="BD4:BE5 BC4:BC7"/>
    <protectedRange name="Datos energia_2" sqref="G54:H54"/>
    <protectedRange name="Repaso y reproceso_3" sqref="V4:W4"/>
    <protectedRange name="Produccion Harinas_4" sqref="D4:Q4"/>
    <protectedRange name="Produccion otros productos_3" sqref="X4:Y4"/>
    <protectedRange name="Produccion Harinas_3_1" sqref="R4 T4:U4"/>
    <protectedRange name="Formulas trigo_1" sqref="G82:G85 G112:G116 G87:G93 G108:G109"/>
    <protectedRange name="Formulas trigo_1_2_6_1" sqref="G86"/>
    <protectedRange name="Produccion Harinas_3" sqref="C4:C8"/>
    <protectedRange name="Produccion Harinas_6" sqref="S4:S8"/>
    <protectedRange name="Produccion otros productos_4" sqref="AA4:AC8"/>
    <protectedRange name="Datos energia_1" sqref="G53:H53"/>
    <protectedRange name="Fecha_1" sqref="B4:B23"/>
    <protectedRange name="Formulas trigo_2" sqref="F82:F85 D87:F92 D108:F109"/>
    <protectedRange name="Formulas trigo_1_3_1" sqref="D82:D85"/>
    <protectedRange name="Formulas trigo_1_8_1" sqref="E86"/>
    <protectedRange name="Formulas trigo_1_2_6_2" sqref="F86"/>
    <protectedRange name="Formulas trigo_4" sqref="D102:F107 D96:F97 D110:F111"/>
    <protectedRange name="Formulas trigo_1_4_1" sqref="E99"/>
    <protectedRange name="Formulas trigo_1_2_2_2" sqref="F99"/>
    <protectedRange name="Formulas trigo_1_3_2_1" sqref="D99"/>
    <protectedRange name="Formulas trigo_1_6_1" sqref="E100:E101"/>
    <protectedRange name="Formulas trigo_1_2_4_2" sqref="F100:F101"/>
    <protectedRange name="Formulas trigo_1_3_4_1" sqref="D100:D101"/>
    <protectedRange name="Formulas trigo_1_1" sqref="G94:G101 G104:G107 G110:G111"/>
    <protectedRange name="Formulas trigo_1_2_2_1_1" sqref="G102"/>
    <protectedRange name="Formulas trigo_1_2_4_1_1" sqref="G103"/>
    <protectedRange name="Formulas trigo_2_1" sqref="D98:F98"/>
    <protectedRange name="Formulas trigo_4_1" sqref="D94:F95"/>
  </protectedRanges>
  <mergeCells>
    <mergeCell ref="B1:W1"/>
    <mergeCell ref="AH1:AM1"/>
    <mergeCell ref="AN1:AX1"/>
    <mergeCell ref="B2:Q2"/>
    <mergeCell ref="R2:T2"/>
    <mergeCell ref="V2:W2"/>
    <mergeCell ref="X2:Z2"/>
    <mergeCell ref="AA2:AC2"/>
    <mergeCell ref="AF2:AM2"/>
    <mergeCell ref="AN2:AP2"/>
    <mergeCell ref="AE48:AF48"/>
    <mergeCell ref="AQ2:AU2"/>
    <mergeCell ref="AW2:BF2"/>
    <mergeCell ref="AW4:AW33"/>
    <mergeCell ref="AX4:AX33"/>
    <mergeCell ref="AY4:AY33"/>
    <mergeCell ref="AZ4:AZ33"/>
    <mergeCell ref="BA4:BA33"/>
    <mergeCell ref="BB4:BB33"/>
    <mergeCell ref="BC4:BC33"/>
    <mergeCell ref="BD4:BD33"/>
    <mergeCell ref="BE4:BE33"/>
    <mergeCell ref="BF4:BF33"/>
    <mergeCell ref="AD38:AE38"/>
    <mergeCell ref="AE39:AF39"/>
    <mergeCell ref="AD47:AE47"/>
    <mergeCell ref="R49:U49"/>
    <mergeCell ref="F50:G50"/>
    <mergeCell ref="K50:L50"/>
    <mergeCell ref="O50:P50"/>
    <mergeCell ref="S50:T50"/>
    <mergeCell ref="A49:B49"/>
    <mergeCell ref="C49:C50"/>
    <mergeCell ref="F49:H49"/>
    <mergeCell ref="K49:M49"/>
    <mergeCell ref="O49:Q49"/>
    <mergeCell ref="V50:W50"/>
    <mergeCell ref="F51:G51"/>
    <mergeCell ref="K51:L51"/>
    <mergeCell ref="O51:P51"/>
    <mergeCell ref="S51:T51"/>
    <mergeCell ref="V51:W51"/>
    <mergeCell ref="G53:H53"/>
    <mergeCell ref="K53:L53"/>
    <mergeCell ref="O53:P53"/>
    <mergeCell ref="S53:T53"/>
    <mergeCell ref="V53:W53"/>
    <mergeCell ref="F52:G52"/>
    <mergeCell ref="K52:L52"/>
    <mergeCell ref="O52:P52"/>
    <mergeCell ref="S52:T52"/>
    <mergeCell ref="V52:W52"/>
    <mergeCell ref="G55:H55"/>
    <mergeCell ref="K55:L55"/>
    <mergeCell ref="O55:P55"/>
    <mergeCell ref="S55:T55"/>
    <mergeCell ref="V55:W55"/>
    <mergeCell ref="G54:I54"/>
    <mergeCell ref="K54:L54"/>
    <mergeCell ref="O54:P54"/>
    <mergeCell ref="S54:T54"/>
    <mergeCell ref="V54:W54"/>
    <mergeCell ref="F65:H65"/>
    <mergeCell ref="U65:V65"/>
    <mergeCell ref="G56:H56"/>
    <mergeCell ref="F57:G57"/>
    <mergeCell ref="K57:O57"/>
    <mergeCell ref="G60:H60"/>
    <mergeCell ref="T60:V60"/>
    <mergeCell ref="U61:V61"/>
    <mergeCell ref="F62:H62"/>
    <mergeCell ref="K62:O62"/>
    <mergeCell ref="U62:V62"/>
    <mergeCell ref="F63:G63"/>
    <mergeCell ref="T64:V64"/>
    <mergeCell ref="F70:G70"/>
    <mergeCell ref="V71:V72"/>
    <mergeCell ref="F66:G66"/>
    <mergeCell ref="U66:V66"/>
    <mergeCell ref="U67:V67"/>
    <mergeCell ref="G68:H68"/>
    <mergeCell ref="U68:V68"/>
    <mergeCell ref="G69:H69"/>
    <mergeCell ref="M69:O69"/>
  </mergeCells>
  <conditionalFormatting sqref="I55">
    <cfRule type="cellIs" dxfId="0" priority="4" operator="lessThan" stopIfTrue="1">
      <formula>0.935</formula>
    </cfRule>
  </conditionalFormatting>
  <conditionalFormatting sqref="AF3">
    <cfRule type="cellIs" dxfId="1" priority="3" operator="lessThan" stopIfTrue="1">
      <formula>0.76</formula>
    </cfRule>
  </conditionalFormatting>
  <conditionalFormatting sqref="AF4:AF35">
    <cfRule type="cellIs" dxfId="2" priority="5" operator="lessThan" stopIfTrue="1">
      <formula>0.765</formula>
    </cfRule>
  </conditionalFormatting>
  <conditionalFormatting sqref="AF36 AE76:AE77 AE79:AE91 Z92:AC117 AG118:AI119 AK118:AK119 AH120:AI122 AK120:AL122 Z123:AC124">
    <cfRule type="cellIs" dxfId="1" priority="6" operator="lessThan" stopIfTrue="1">
      <formula>0.76</formula>
    </cfRule>
  </conditionalFormatting>
  <conditionalFormatting sqref="AF42:AF45">
    <cfRule type="cellIs" dxfId="2" priority="1" operator="lessThan" stopIfTrue="1">
      <formula>0.765</formula>
    </cfRule>
  </conditionalFormatting>
  <conditionalFormatting sqref="AH1:AI1 AJ118:AJ122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  <legacyDrawing r:id="rId_comments_vml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29"/>
  <sheetViews>
    <sheetView tabSelected="0" workbookViewId="0" showGridLines="true" showRowColHeaders="1">
      <selection activeCell="A1" sqref="A1"/>
    </sheetView>
  </sheetViews>
  <sheetFormatPr defaultRowHeight="14.4" defaultColWidth="14.42578125" outlineLevelRow="0" outlineLevelCol="0"/>
  <cols>
    <col min="1" max="1" width="11.5703125" customWidth="true" style="1"/>
    <col min="2" max="2" width="16.5703125" customWidth="true" style="1"/>
    <col min="3" max="3" width="13.42578125" customWidth="true" style="1"/>
    <col min="4" max="4" width="10.5703125" customWidth="true" style="1"/>
    <col min="5" max="5" width="9.5703125" customWidth="true" style="1"/>
    <col min="6" max="6" width="9.5703125" customWidth="true" style="1"/>
    <col min="7" max="7" width="11.42578125" customWidth="true" style="1"/>
    <col min="8" max="8" width="11.42578125" customWidth="true" style="1"/>
    <col min="9" max="9" width="13.42578125" customWidth="true" style="1"/>
    <col min="10" max="10" width="12.28515625" customWidth="true" style="1"/>
    <col min="11" max="11" width="11.42578125" customWidth="true" style="1"/>
    <col min="12" max="12" width="10.7109375" customWidth="true" style="1"/>
    <col min="13" max="13" width="8.28515625" customWidth="true" style="1"/>
    <col min="14" max="14" width="12.28515625" customWidth="true" style="1"/>
    <col min="15" max="15" width="12" customWidth="true" style="1"/>
    <col min="16" max="16" width="12" customWidth="true" style="1"/>
    <col min="17" max="17" width="10.28515625" customWidth="true" style="1"/>
    <col min="18" max="18" width="13.42578125" customWidth="true" style="1"/>
    <col min="19" max="19" width="10.5703125" customWidth="true" style="1"/>
    <col min="20" max="20" width="12.28515625" customWidth="true" style="1"/>
    <col min="21" max="21" width="11.42578125" customWidth="true" style="1"/>
    <col min="22" max="22" width="8.28515625" customWidth="true" style="1"/>
    <col min="23" max="23" width="10.28515625" customWidth="true" style="1"/>
    <col min="24" max="24" width="13.42578125" customWidth="true" style="1"/>
    <col min="25" max="25" width="9.42578125" customWidth="true" style="1"/>
    <col min="26" max="26" width="7.5703125" customWidth="true" style="1"/>
    <col min="27" max="27" width="9.5703125" customWidth="true" style="1"/>
    <col min="28" max="28" width="9.5703125" customWidth="true" style="1"/>
    <col min="29" max="29" width="11.7109375" customWidth="true" style="1"/>
    <col min="30" max="30" width="10" customWidth="true" style="1"/>
    <col min="31" max="31" width="9.5703125" customWidth="true" style="1"/>
    <col min="32" max="32" width="10.28515625" customWidth="true" style="1"/>
    <col min="33" max="33" width="12.5703125" customWidth="true" style="1"/>
    <col min="34" max="34" width="12.28515625" customWidth="true" style="1"/>
    <col min="35" max="35" width="12.5703125" customWidth="true" style="1"/>
    <col min="36" max="36" width="10.28515625" customWidth="true" style="1"/>
    <col min="37" max="37" width="10.28515625" customWidth="true" style="1"/>
    <col min="38" max="38" width="11.7109375" customWidth="true" style="1"/>
    <col min="39" max="39" width="12.5703125" customWidth="true" style="1"/>
    <col min="40" max="40" width="9.5703125" customWidth="true" style="1"/>
    <col min="41" max="41" width="9.42578125" customWidth="true" style="1"/>
    <col min="42" max="42" width="7.42578125" customWidth="true" style="1"/>
    <col min="43" max="43" width="7.5703125" customWidth="true" style="1"/>
    <col min="44" max="44" width="10.5703125" customWidth="true" style="1"/>
    <col min="45" max="45" width="10.5703125" customWidth="true" style="1"/>
    <col min="46" max="46" width="10.5703125" customWidth="true" style="1"/>
    <col min="47" max="47" width="9" customWidth="true" style="1"/>
    <col min="48" max="48" width="11.7109375" customWidth="true" style="1"/>
    <col min="49" max="49" width="11.7109375" customWidth="true" style="1"/>
    <col min="50" max="50" width="10.5703125" customWidth="true" style="1"/>
    <col min="51" max="51" width="11.42578125" customWidth="true" style="1"/>
    <col min="52" max="52" width="8.28515625" customWidth="true" style="1"/>
    <col min="53" max="53" width="12" customWidth="true" style="1"/>
    <col min="54" max="54" width="12" customWidth="true" style="1"/>
    <col min="55" max="55" width="12" customWidth="true" style="1"/>
    <col min="56" max="56" width="14.42578125" style="1"/>
  </cols>
  <sheetData>
    <row r="1" spans="1:58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2"/>
      <c r="Y1" s="2"/>
      <c r="Z1" s="2"/>
      <c r="AA1" s="2"/>
      <c r="AB1" s="2"/>
      <c r="AC1" s="2"/>
      <c r="AD1" s="2"/>
      <c r="AH1" s="699" t="s">
        <v>1</v>
      </c>
      <c r="AI1" s="699"/>
      <c r="AJ1" s="699"/>
      <c r="AK1" s="699"/>
      <c r="AL1" s="699"/>
      <c r="AM1" s="699"/>
      <c r="AN1" s="700" t="s">
        <v>2</v>
      </c>
      <c r="AO1" s="700"/>
      <c r="AP1" s="700"/>
      <c r="AQ1" s="700"/>
      <c r="AR1" s="700"/>
      <c r="AS1" s="700"/>
      <c r="AT1" s="700"/>
      <c r="AU1" s="700"/>
      <c r="AV1" s="700"/>
      <c r="AW1" s="700"/>
      <c r="AX1" s="700"/>
    </row>
    <row r="2" spans="1:58" customHeight="1" ht="18.75">
      <c r="B2" s="701" t="s">
        <v>3</v>
      </c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2"/>
      <c r="Q2" s="703"/>
      <c r="R2" s="704" t="s">
        <v>4</v>
      </c>
      <c r="S2" s="705"/>
      <c r="T2" s="706"/>
      <c r="U2" s="416" t="s">
        <v>5</v>
      </c>
      <c r="V2" s="704" t="s">
        <v>6</v>
      </c>
      <c r="W2" s="707"/>
      <c r="X2" s="708" t="s">
        <v>7</v>
      </c>
      <c r="Y2" s="708"/>
      <c r="Z2" s="708"/>
      <c r="AA2" s="709" t="s">
        <v>8</v>
      </c>
      <c r="AB2" s="709"/>
      <c r="AC2" s="709"/>
      <c r="AD2" s="6"/>
      <c r="AE2" s="6"/>
      <c r="AF2" s="710" t="s">
        <v>9</v>
      </c>
      <c r="AG2" s="710"/>
      <c r="AH2" s="710"/>
      <c r="AI2" s="710"/>
      <c r="AJ2" s="710"/>
      <c r="AK2" s="710"/>
      <c r="AL2" s="710"/>
      <c r="AM2" s="710"/>
      <c r="AN2" s="711" t="s">
        <v>10</v>
      </c>
      <c r="AO2" s="711"/>
      <c r="AP2" s="711"/>
      <c r="AQ2" s="712" t="s">
        <v>11</v>
      </c>
      <c r="AR2" s="712"/>
      <c r="AS2" s="712"/>
      <c r="AT2" s="712"/>
      <c r="AU2" s="712"/>
      <c r="AV2" s="471" t="s">
        <v>12</v>
      </c>
      <c r="AW2" s="712" t="s">
        <v>13</v>
      </c>
      <c r="AX2" s="712"/>
      <c r="AY2" s="712"/>
      <c r="AZ2" s="712"/>
      <c r="BA2" s="712"/>
      <c r="BB2" s="712"/>
      <c r="BC2" s="712"/>
      <c r="BD2" s="712"/>
      <c r="BE2" s="712"/>
      <c r="BF2" s="712"/>
    </row>
    <row r="3" spans="1:58" customHeight="1" ht="53.25" s="40" customFormat="1">
      <c r="A3" s="8" t="s">
        <v>14</v>
      </c>
      <c r="B3" s="333" t="s">
        <v>15</v>
      </c>
      <c r="C3" s="566" t="s">
        <v>16</v>
      </c>
      <c r="D3" s="567" t="s">
        <v>17</v>
      </c>
      <c r="E3" s="549" t="s">
        <v>18</v>
      </c>
      <c r="F3" s="550" t="s">
        <v>19</v>
      </c>
      <c r="G3" s="551" t="s">
        <v>20</v>
      </c>
      <c r="H3" s="552" t="s">
        <v>21</v>
      </c>
      <c r="I3" s="553" t="s">
        <v>22</v>
      </c>
      <c r="J3" s="553" t="s">
        <v>23</v>
      </c>
      <c r="K3" s="554" t="s">
        <v>24</v>
      </c>
      <c r="L3" s="554" t="s">
        <v>25</v>
      </c>
      <c r="M3" s="555" t="s">
        <v>26</v>
      </c>
      <c r="N3" s="553" t="s">
        <v>27</v>
      </c>
      <c r="O3" s="553" t="s">
        <v>28</v>
      </c>
      <c r="P3" s="556" t="s">
        <v>29</v>
      </c>
      <c r="Q3" s="557" t="s">
        <v>30</v>
      </c>
      <c r="R3" s="409" t="s">
        <v>31</v>
      </c>
      <c r="S3" s="284" t="s">
        <v>32</v>
      </c>
      <c r="T3" s="559" t="s">
        <v>33</v>
      </c>
      <c r="U3" s="558" t="s">
        <v>34</v>
      </c>
      <c r="V3" s="405" t="s">
        <v>35</v>
      </c>
      <c r="W3" s="562" t="s">
        <v>36</v>
      </c>
      <c r="X3" s="560" t="s">
        <v>37</v>
      </c>
      <c r="Y3" s="561" t="s">
        <v>38</v>
      </c>
      <c r="Z3" s="565" t="s">
        <v>39</v>
      </c>
      <c r="AA3" s="563" t="s">
        <v>40</v>
      </c>
      <c r="AB3" s="334" t="s">
        <v>41</v>
      </c>
      <c r="AC3" s="564" t="s">
        <v>42</v>
      </c>
      <c r="AD3" s="27" t="s">
        <v>43</v>
      </c>
      <c r="AE3" s="27" t="s">
        <v>44</v>
      </c>
      <c r="AF3" s="335" t="s">
        <v>45</v>
      </c>
      <c r="AG3" s="336" t="s">
        <v>46</v>
      </c>
      <c r="AH3" s="337" t="str">
        <f>X3</f>
        <v>Germen 
25</v>
      </c>
      <c r="AI3" s="338" t="s">
        <v>47</v>
      </c>
      <c r="AJ3" s="337" t="str">
        <f>AA3</f>
        <v>Salvado 
25</v>
      </c>
      <c r="AK3" s="339" t="str">
        <f>AB3</f>
        <v>Mogolla 
40</v>
      </c>
      <c r="AL3" s="339" t="str">
        <f>AC3</f>
        <v>Segunda  
50</v>
      </c>
      <c r="AM3" s="340" t="str">
        <f>B3</f>
        <v>Fecha</v>
      </c>
      <c r="AN3" s="341" t="s">
        <v>48</v>
      </c>
      <c r="AO3" s="342" t="s">
        <v>49</v>
      </c>
      <c r="AP3" s="342" t="s">
        <v>50</v>
      </c>
      <c r="AQ3" s="343" t="s">
        <v>51</v>
      </c>
      <c r="AR3" s="344" t="s">
        <v>52</v>
      </c>
      <c r="AS3" s="344" t="s">
        <v>53</v>
      </c>
      <c r="AT3" s="344" t="s">
        <v>54</v>
      </c>
      <c r="AU3" s="344" t="s">
        <v>55</v>
      </c>
      <c r="AV3" s="343" t="s">
        <v>56</v>
      </c>
      <c r="AW3" s="345" t="s">
        <v>57</v>
      </c>
      <c r="AX3" s="345" t="s">
        <v>58</v>
      </c>
      <c r="AY3" s="345" t="s">
        <v>59</v>
      </c>
      <c r="AZ3" s="345" t="s">
        <v>60</v>
      </c>
      <c r="BA3" s="346" t="s">
        <v>61</v>
      </c>
      <c r="BB3" s="346" t="s">
        <v>62</v>
      </c>
      <c r="BC3" s="347" t="s">
        <v>63</v>
      </c>
      <c r="BD3" s="345" t="s">
        <v>64</v>
      </c>
      <c r="BE3" s="348" t="s">
        <v>65</v>
      </c>
      <c r="BF3" s="349" t="s">
        <v>66</v>
      </c>
    </row>
    <row r="4" spans="1:58" customHeight="1" ht="13.9">
      <c r="A4" s="485" t="str">
        <f>IF(B4="","",1)</f>
        <v/>
      </c>
      <c r="B4" s="42"/>
      <c r="C4" s="43"/>
      <c r="D4" s="526"/>
      <c r="E4" s="527"/>
      <c r="F4" s="241"/>
      <c r="G4" s="528"/>
      <c r="H4" s="44"/>
      <c r="I4" s="48"/>
      <c r="J4" s="48"/>
      <c r="K4" s="44"/>
      <c r="L4" s="493"/>
      <c r="M4" s="493"/>
      <c r="N4" s="244"/>
      <c r="O4" s="244"/>
      <c r="P4" s="465"/>
      <c r="Q4" s="529"/>
      <c r="R4" s="497"/>
      <c r="S4" s="275"/>
      <c r="T4" s="241"/>
      <c r="U4" s="450"/>
      <c r="V4" s="406"/>
      <c r="W4" s="241"/>
      <c r="X4" s="451"/>
      <c r="Y4" s="52"/>
      <c r="Z4" s="530"/>
      <c r="AA4" s="280"/>
      <c r="AB4" s="53"/>
      <c r="AC4" s="54"/>
      <c r="AD4" s="55" t="str">
        <f>IF(B4="","",(((C4+F4+H4+K4+Q4+N4+O4)*50))+((E4*10))+(((I4+J4+D4+G4+L4+M4+U4)*25)+(X4*25)+(Y4*25)+(Z4*25)+(AA4*25)+(AB4*40)+(AC4*50)+(R4*1)+(S4*1)+(T4*1)))</f>
        <v/>
      </c>
      <c r="AE4" s="55" t="str">
        <f>IF(B4="","",C4+F4+H4+K4+Q4+N4+O4+((I4+J4+D4+G4)/2)+(R4/50)+(S4/50)+(T4/50)+(U4/2)+(E4/5))</f>
        <v/>
      </c>
      <c r="AF4" s="56" t="str">
        <f>IF(B4="","",((AE4*50)/AD4))</f>
        <v/>
      </c>
      <c r="AG4" s="57" t="str">
        <f>IF(C4="","",((Z4)*25)/AD4)</f>
        <v/>
      </c>
      <c r="AH4" s="57" t="str">
        <f>IF(B4="","",(X4*25)/AD4)</f>
        <v/>
      </c>
      <c r="AI4" s="57" t="str">
        <f>IF(B4="","",(Y4*25)/AD4)</f>
        <v/>
      </c>
      <c r="AJ4" s="57" t="str">
        <f>IF(B4="","",(AA4*25)/AD4)</f>
        <v/>
      </c>
      <c r="AK4" s="58" t="str">
        <f>IF(B4="","",(AB4*40)/AD4)</f>
        <v/>
      </c>
      <c r="AL4" s="58" t="str">
        <f>IF(B4="","",(AC4*50)/AD4)</f>
        <v/>
      </c>
      <c r="AM4" s="59" t="str">
        <f>IF(B4="","",B4)</f>
        <v/>
      </c>
      <c r="AN4" s="235"/>
      <c r="AO4" s="61"/>
      <c r="AP4" s="236"/>
      <c r="AQ4" s="63" t="str">
        <f>IF(AN4="","",AN4/AO4)</f>
        <v/>
      </c>
      <c r="AR4" s="64" t="str">
        <f>IF(AN4="","",(AD4/AN4)/1000)</f>
        <v/>
      </c>
      <c r="AS4" s="64" t="str">
        <f>IF(AN4="","",AR4*24)</f>
        <v/>
      </c>
      <c r="AT4" s="65" t="str">
        <f>IF(AN4="","",(AD4/1000)*100%/AS4)</f>
        <v/>
      </c>
      <c r="AU4" s="64" t="str">
        <f>IF(AN4="","",(AE4/AN4))</f>
        <v/>
      </c>
      <c r="AV4" s="229" t="str">
        <f>IF(AN4="","",(AD4/AO4)/1000)</f>
        <v/>
      </c>
      <c r="AW4" s="713"/>
      <c r="AX4" s="713"/>
      <c r="AY4" s="713"/>
      <c r="AZ4" s="722"/>
      <c r="BA4" s="713"/>
      <c r="BB4" s="724"/>
      <c r="BC4" s="726"/>
      <c r="BD4" s="726"/>
      <c r="BE4" s="726"/>
      <c r="BF4" s="728"/>
    </row>
    <row r="5" spans="1:58" customHeight="1" ht="13.9">
      <c r="A5" s="485" t="str">
        <f>IF(B5="","",2)</f>
        <v/>
      </c>
      <c r="B5" s="68"/>
      <c r="C5" s="69"/>
      <c r="D5" s="70"/>
      <c r="E5" s="76"/>
      <c r="F5" s="70"/>
      <c r="G5" s="76"/>
      <c r="H5" s="70"/>
      <c r="I5" s="75"/>
      <c r="J5" s="75"/>
      <c r="K5" s="70"/>
      <c r="L5" s="494"/>
      <c r="M5" s="494"/>
      <c r="N5" s="76"/>
      <c r="O5" s="248"/>
      <c r="P5" s="466"/>
      <c r="Q5" s="412"/>
      <c r="R5" s="410"/>
      <c r="S5" s="277"/>
      <c r="T5" s="401"/>
      <c r="U5" s="407"/>
      <c r="V5" s="249"/>
      <c r="W5" s="401"/>
      <c r="X5" s="278"/>
      <c r="Y5" s="78"/>
      <c r="Z5" s="403"/>
      <c r="AA5" s="281"/>
      <c r="AB5" s="79"/>
      <c r="AC5" s="80"/>
      <c r="AD5" s="55" t="str">
        <f>IF(B5="","",(((C5+F5+H5+K5+Q5+N5+O5)*50))+((E5*10))+(((I5+J5+D5+G5+L5+M5+U5)*25)+(X5*25)+(Y5*25)+(Z5*25)+(AA5*25)+(AB5*40)+(AC5*50)+(R5*1)+(S5*1)+(T5*1)))</f>
        <v/>
      </c>
      <c r="AE5" s="55" t="str">
        <f>IF(B5="","",C5+F5+H5+K5+Q5+N5+O5+((I5+J5+D5+G5+U5)/2)+(R5/50)+(S5/50)+(T5/50)+(E5/5))</f>
        <v/>
      </c>
      <c r="AF5" s="56" t="str">
        <f>IF(B5="","",((AE5*50)/AD5))</f>
        <v/>
      </c>
      <c r="AG5" s="57" t="str">
        <f>IF(C5="","",((Z5)*25)/AD5)</f>
        <v/>
      </c>
      <c r="AH5" s="57" t="str">
        <f>IF(B5="","",(X5*25)/AD5)</f>
        <v/>
      </c>
      <c r="AI5" s="57" t="str">
        <f>IF(B5="","",(Y5*25)/AD5)</f>
        <v/>
      </c>
      <c r="AJ5" s="57" t="str">
        <f>IF(B5="","",(AA5*25)/AD5)</f>
        <v/>
      </c>
      <c r="AK5" s="58" t="str">
        <f>IF(B5="","",(AB5*40)/AD5)</f>
        <v/>
      </c>
      <c r="AL5" s="58" t="str">
        <f>IF(B5="","",(AC5*50)/AD5)</f>
        <v/>
      </c>
      <c r="AM5" s="59" t="str">
        <f>IF(B5="","",B5)</f>
        <v/>
      </c>
      <c r="AN5" s="233"/>
      <c r="AO5" s="82"/>
      <c r="AP5" s="234"/>
      <c r="AQ5" s="63" t="str">
        <f>IF(AN5="","",AN5/AO5)</f>
        <v/>
      </c>
      <c r="AR5" s="64" t="str">
        <f>IF(AN5="","",(AD5/AN5)/1000)</f>
        <v/>
      </c>
      <c r="AS5" s="64" t="str">
        <f>IF(AN5="","",AR5*24)</f>
        <v/>
      </c>
      <c r="AT5" s="65" t="str">
        <f>IF(AN5="","",(AD5/1000)*100%/AS5)</f>
        <v/>
      </c>
      <c r="AU5" s="64" t="str">
        <f>IF(AN5="","",(AE5/AN5))</f>
        <v/>
      </c>
      <c r="AV5" s="229" t="str">
        <f>IF(AN5="","",(AD5/AO5)/1000)</f>
        <v/>
      </c>
      <c r="AW5" s="714"/>
      <c r="AX5" s="714"/>
      <c r="AY5" s="714"/>
      <c r="AZ5" s="723"/>
      <c r="BA5" s="714"/>
      <c r="BB5" s="725"/>
      <c r="BC5" s="727"/>
      <c r="BD5" s="727"/>
      <c r="BE5" s="727"/>
      <c r="BF5" s="729"/>
    </row>
    <row r="6" spans="1:58" customHeight="1" ht="13.9">
      <c r="A6" s="485" t="str">
        <f>IF(B6="","",3)</f>
        <v/>
      </c>
      <c r="B6" s="68"/>
      <c r="C6" s="69"/>
      <c r="D6" s="70"/>
      <c r="E6" s="76"/>
      <c r="F6" s="70"/>
      <c r="G6" s="76"/>
      <c r="H6" s="70"/>
      <c r="I6" s="491"/>
      <c r="J6" s="491"/>
      <c r="K6" s="70"/>
      <c r="L6" s="494"/>
      <c r="M6" s="494"/>
      <c r="N6" s="76"/>
      <c r="O6" s="76"/>
      <c r="P6" s="467"/>
      <c r="Q6" s="412"/>
      <c r="R6" s="410"/>
      <c r="S6" s="276"/>
      <c r="T6" s="401"/>
      <c r="U6" s="407"/>
      <c r="V6" s="249"/>
      <c r="W6" s="401"/>
      <c r="X6" s="278"/>
      <c r="Y6" s="78"/>
      <c r="Z6" s="403"/>
      <c r="AA6" s="281"/>
      <c r="AB6" s="79"/>
      <c r="AC6" s="85"/>
      <c r="AD6" s="55" t="str">
        <f>IF(B6="","",(((C6+F6+H6+K6+Q6+N6+O6)*50))+((E6*10))+(((I6+J6+D6+G6+L6+M6+U6)*25)+(X6*25)+(Y6*25)+(Z6*25)+(AA6*25)+(AB6*40)+(AC6*50)+(R6*1)+(S6*1)+(T6*1)))</f>
        <v/>
      </c>
      <c r="AE6" s="55" t="str">
        <f>IF(B6="","",C6+F6+H6+K6+Q6+N6+O6+((I6+J6+D6+G6+U6)/2)+(R6/50)+(S6/50)+(T6/50)+(E6/5))</f>
        <v/>
      </c>
      <c r="AF6" s="56" t="str">
        <f>IF(B6="","",((AE6*50)/AD6))</f>
        <v/>
      </c>
      <c r="AG6" s="57" t="str">
        <f>IF(C6="","",((Z6)*25)/AD6)</f>
        <v/>
      </c>
      <c r="AH6" s="57" t="str">
        <f>IF(B6="","",(X6*25)/AD6)</f>
        <v/>
      </c>
      <c r="AI6" s="57" t="str">
        <f>IF(B6="","",(Y6*25)/AD6)</f>
        <v/>
      </c>
      <c r="AJ6" s="57" t="str">
        <f>IF(B6="","",(AA6*25)/AD6)</f>
        <v/>
      </c>
      <c r="AK6" s="58" t="str">
        <f>IF(B6="","",(AB6*40)/AD6)</f>
        <v/>
      </c>
      <c r="AL6" s="58" t="str">
        <f>IF(B6="","",(AC6*50)/AD6)</f>
        <v/>
      </c>
      <c r="AM6" s="59" t="str">
        <f>IF(B6="","",B6)</f>
        <v/>
      </c>
      <c r="AN6" s="233"/>
      <c r="AO6" s="82"/>
      <c r="AP6" s="234"/>
      <c r="AQ6" s="63" t="str">
        <f>IF(AN6="","",AN6/AO6)</f>
        <v/>
      </c>
      <c r="AR6" s="64" t="str">
        <f>IF(AN6="","",(AD6/AN6)/1000)</f>
        <v/>
      </c>
      <c r="AS6" s="64" t="str">
        <f>IF(AN6="","",AR6*24)</f>
        <v/>
      </c>
      <c r="AT6" s="65" t="str">
        <f>IF(AN6="","",(AD6/1000)*100%/AS6)</f>
        <v/>
      </c>
      <c r="AU6" s="64" t="str">
        <f>IF(AN6="","",(AE6/AN6))</f>
        <v/>
      </c>
      <c r="AV6" s="229" t="str">
        <f>IF(AN6="","",(AD6/AO6)/1000)</f>
        <v/>
      </c>
      <c r="AW6" s="714"/>
      <c r="AX6" s="714"/>
      <c r="AY6" s="714"/>
      <c r="AZ6" s="723"/>
      <c r="BA6" s="714"/>
      <c r="BB6" s="725"/>
      <c r="BC6" s="727"/>
      <c r="BD6" s="727"/>
      <c r="BE6" s="727"/>
      <c r="BF6" s="729"/>
    </row>
    <row r="7" spans="1:58" customHeight="1" ht="13.9">
      <c r="A7" s="485" t="str">
        <f>IF(B7="","",4)</f>
        <v/>
      </c>
      <c r="B7" s="68"/>
      <c r="C7" s="69"/>
      <c r="D7" s="70"/>
      <c r="E7" s="76"/>
      <c r="F7" s="70"/>
      <c r="G7" s="76"/>
      <c r="H7" s="70"/>
      <c r="I7" s="414"/>
      <c r="J7" s="414"/>
      <c r="K7" s="70"/>
      <c r="L7" s="494"/>
      <c r="M7" s="494"/>
      <c r="N7" s="76"/>
      <c r="O7" s="76"/>
      <c r="P7" s="467"/>
      <c r="Q7" s="412"/>
      <c r="R7" s="410"/>
      <c r="S7" s="274"/>
      <c r="T7" s="401"/>
      <c r="U7" s="407"/>
      <c r="V7" s="249"/>
      <c r="W7" s="401"/>
      <c r="X7" s="278"/>
      <c r="Y7" s="78"/>
      <c r="Z7" s="403"/>
      <c r="AA7" s="281"/>
      <c r="AB7" s="79"/>
      <c r="AC7" s="85"/>
      <c r="AD7" s="55" t="str">
        <f>IF(B7="","",(((C7+F7+H7+K7+Q7+N7+O7)*50))+((E7*10))+(((I7+J7+D7+G7+L7+M7+U7)*25)+(X7*25)+(Y7*25)+(Z7*25)+(AA7*25)+(AB7*40)+(AC7*50)+(R7*1)+(S7*1)+(T7*1)))</f>
        <v/>
      </c>
      <c r="AE7" s="55" t="str">
        <f>IF(B7="","",C7+F7+H7+K7+Q7+N7+O7+((I7+J7+D7+G7+U7)/2)+(R7/50)+(S7/50)+(T7/50)+(E7/5))</f>
        <v/>
      </c>
      <c r="AF7" s="56" t="str">
        <f>IF(B7="","",((AE7*50)/AD7))</f>
        <v/>
      </c>
      <c r="AG7" s="57" t="str">
        <f>IF(C7="","",((Z7)*25)/AD7)</f>
        <v/>
      </c>
      <c r="AH7" s="57" t="str">
        <f>IF(B7="","",(X7*25)/AD7)</f>
        <v/>
      </c>
      <c r="AI7" s="57" t="str">
        <f>IF(B7="","",(Y7*25)/AD7)</f>
        <v/>
      </c>
      <c r="AJ7" s="57" t="str">
        <f>IF(B7="","",(AA7*25)/AD7)</f>
        <v/>
      </c>
      <c r="AK7" s="58" t="str">
        <f>IF(B7="","",(AB7*40)/AD7)</f>
        <v/>
      </c>
      <c r="AL7" s="58" t="str">
        <f>IF(B7="","",(AC7*50)/AD7)</f>
        <v/>
      </c>
      <c r="AM7" s="59" t="str">
        <f>IF(B7="","",B7)</f>
        <v/>
      </c>
      <c r="AN7" s="233"/>
      <c r="AO7" s="82"/>
      <c r="AP7" s="234"/>
      <c r="AQ7" s="63" t="str">
        <f>IF(AN7="","",AN7/AO7)</f>
        <v/>
      </c>
      <c r="AR7" s="64" t="str">
        <f>IF(AN7="","",(AD7/AN7)/1000)</f>
        <v/>
      </c>
      <c r="AS7" s="64" t="str">
        <f>IF(AN7="","",AR7*24)</f>
        <v/>
      </c>
      <c r="AT7" s="65" t="str">
        <f>IF(AN7="","",(AD7/1000)*100%/AS7)</f>
        <v/>
      </c>
      <c r="AU7" s="64" t="str">
        <f>IF(AN7="","",(AE7/AN7))</f>
        <v/>
      </c>
      <c r="AV7" s="229" t="str">
        <f>IF(AN7="","",(AD7/AO7)/1000)</f>
        <v/>
      </c>
      <c r="AW7" s="714"/>
      <c r="AX7" s="714"/>
      <c r="AY7" s="714"/>
      <c r="AZ7" s="723"/>
      <c r="BA7" s="714"/>
      <c r="BB7" s="725"/>
      <c r="BC7" s="727"/>
      <c r="BD7" s="727"/>
      <c r="BE7" s="727"/>
      <c r="BF7" s="729"/>
    </row>
    <row r="8" spans="1:58" customHeight="1" ht="13.9">
      <c r="A8" s="485" t="str">
        <f>IF(B8="","",5)</f>
        <v/>
      </c>
      <c r="B8" s="68"/>
      <c r="C8" s="69"/>
      <c r="D8" s="70"/>
      <c r="E8" s="76"/>
      <c r="F8" s="70"/>
      <c r="G8" s="76"/>
      <c r="H8" s="70"/>
      <c r="I8" s="491"/>
      <c r="J8" s="491"/>
      <c r="K8" s="70"/>
      <c r="L8" s="494"/>
      <c r="M8" s="494"/>
      <c r="N8" s="76"/>
      <c r="O8" s="76"/>
      <c r="P8" s="467"/>
      <c r="Q8" s="412"/>
      <c r="R8" s="422"/>
      <c r="S8" s="274"/>
      <c r="T8" s="401"/>
      <c r="U8" s="407"/>
      <c r="V8" s="249"/>
      <c r="W8" s="401"/>
      <c r="X8" s="278"/>
      <c r="Y8" s="78"/>
      <c r="Z8" s="403"/>
      <c r="AA8" s="281"/>
      <c r="AB8" s="79"/>
      <c r="AC8" s="85"/>
      <c r="AD8" s="55" t="str">
        <f>IF(B8="","",(((C8+F8+H8+K8+Q8+N8+O8)*50))+((E8*10))+(((I8+J8+D8+G8+L8+M8+U8)*25)+(X8*25)+(Y8*25)+(Z8*25)+(AA8*25)+(AB8*40)+(AC8*50)+(R8*1)+(S8*1)+(T8*1)))</f>
        <v/>
      </c>
      <c r="AE8" s="55" t="str">
        <f>IF(B8="","",C8+F8+H8+K8+Q8+N8+O8+((I8+J8+D8+G8+U8)/2)+(R8/50)+(S8/50)+(T8/50)+(E8/5))</f>
        <v/>
      </c>
      <c r="AF8" s="56" t="str">
        <f>IF(B8="","",((AE8*50)/AD8))</f>
        <v/>
      </c>
      <c r="AG8" s="252" t="str">
        <f>IF(C8="","",((Z8)*25)/AD8)</f>
        <v/>
      </c>
      <c r="AH8" s="57" t="str">
        <f>IF(B8="","",(X8*25)/AD8)</f>
        <v/>
      </c>
      <c r="AI8" s="57" t="str">
        <f>IF(B8="","",(Y8*25)/AD8)</f>
        <v/>
      </c>
      <c r="AJ8" s="57" t="str">
        <f>IF(B8="","",(AA8*25)/AD8)</f>
        <v/>
      </c>
      <c r="AK8" s="58" t="str">
        <f>IF(B8="","",(AB8*40)/AD8)</f>
        <v/>
      </c>
      <c r="AL8" s="58" t="str">
        <f>IF(B8="","",(AC8*50)/AD8)</f>
        <v/>
      </c>
      <c r="AM8" s="59" t="str">
        <f>IF(B8="","",B8)</f>
        <v/>
      </c>
      <c r="AN8" s="233"/>
      <c r="AO8" s="82"/>
      <c r="AP8" s="234"/>
      <c r="AQ8" s="63" t="str">
        <f>IF(AN8="","",AN8/AO8)</f>
        <v/>
      </c>
      <c r="AR8" s="64" t="str">
        <f>IF(AN8="","",(AD8/AN8)/1000)</f>
        <v/>
      </c>
      <c r="AS8" s="64" t="str">
        <f>IF(AN8="","",AR8*24)</f>
        <v/>
      </c>
      <c r="AT8" s="65" t="str">
        <f>IF(AN8="","",(AD8/1000)*100%/AS8)</f>
        <v/>
      </c>
      <c r="AU8" s="64" t="str">
        <f>IF(AN8="","",(AE8/AN8))</f>
        <v/>
      </c>
      <c r="AV8" s="229" t="str">
        <f>IF(AN8="","",(AD8/AO8)/1000)</f>
        <v/>
      </c>
      <c r="AW8" s="714"/>
      <c r="AX8" s="714"/>
      <c r="AY8" s="714"/>
      <c r="AZ8" s="723"/>
      <c r="BA8" s="714"/>
      <c r="BB8" s="725"/>
      <c r="BC8" s="727"/>
      <c r="BD8" s="727"/>
      <c r="BE8" s="727"/>
      <c r="BF8" s="729"/>
    </row>
    <row r="9" spans="1:58" customHeight="1" ht="15">
      <c r="A9" s="485" t="str">
        <f>IF(B9="","",6)</f>
        <v/>
      </c>
      <c r="B9" s="68"/>
      <c r="C9" s="69"/>
      <c r="D9" s="70"/>
      <c r="E9" s="76"/>
      <c r="F9" s="70"/>
      <c r="G9" s="76"/>
      <c r="H9" s="70"/>
      <c r="I9" s="491"/>
      <c r="J9" s="491"/>
      <c r="K9" s="70"/>
      <c r="L9" s="494"/>
      <c r="M9" s="494"/>
      <c r="N9" s="76"/>
      <c r="O9" s="76"/>
      <c r="P9" s="467"/>
      <c r="Q9" s="412"/>
      <c r="R9" s="410"/>
      <c r="S9" s="242"/>
      <c r="T9" s="401"/>
      <c r="U9" s="407"/>
      <c r="V9" s="249"/>
      <c r="W9" s="401"/>
      <c r="X9" s="278"/>
      <c r="Y9" s="78"/>
      <c r="Z9" s="403"/>
      <c r="AA9" s="281"/>
      <c r="AB9" s="79"/>
      <c r="AC9" s="85"/>
      <c r="AD9" s="55" t="str">
        <f>IF(B9="","",(((C9+F9+H9+K9+Q9+N9+O9)*50))+((E9*10))+(((I9+J9+D9+G9+L9+M9+U9)*25)+(X9*25)+(Y9*25)+(Z9*25)+(AA9*25)+(AB9*40)+(AC9*50)+(R9*1)+(S9*1)+(T9*1)))</f>
        <v/>
      </c>
      <c r="AE9" s="55" t="str">
        <f>IF(B9="","",C9+F9+H9+K9+Q9+N9+O9+((I9+J9+D9+G9+U9)/2)+(R9/50)+(S9/50)+(T9/50)+(E9/5))</f>
        <v/>
      </c>
      <c r="AF9" s="56" t="str">
        <f>IF(B9="","",((AE9*50)/AD9))</f>
        <v/>
      </c>
      <c r="AG9" s="57" t="str">
        <f>IF(C9="","",((Z9)*25)/AD9)</f>
        <v/>
      </c>
      <c r="AH9" s="57" t="str">
        <f>IF(B9="","",(X9*25)/AD9)</f>
        <v/>
      </c>
      <c r="AI9" s="57" t="str">
        <f>IF(B9="","",(Y9*25)/AD9)</f>
        <v/>
      </c>
      <c r="AJ9" s="57" t="str">
        <f>IF(B9="","",(AA9*25)/AD9)</f>
        <v/>
      </c>
      <c r="AK9" s="58" t="str">
        <f>IF(B9="","",(AB9*40)/AD9)</f>
        <v/>
      </c>
      <c r="AL9" s="58" t="str">
        <f>IF(B9="","",(AC9*50)/AD9)</f>
        <v/>
      </c>
      <c r="AM9" s="59" t="str">
        <f>IF(B9="","",B9)</f>
        <v/>
      </c>
      <c r="AN9" s="233"/>
      <c r="AO9" s="82"/>
      <c r="AP9" s="234"/>
      <c r="AQ9" s="63" t="str">
        <f>IF(AN9="","",AN9/AO9)</f>
        <v/>
      </c>
      <c r="AR9" s="64" t="str">
        <f>IF(AN9="","",(AD9/AN9)/1000)</f>
        <v/>
      </c>
      <c r="AS9" s="64" t="str">
        <f>IF(AN9="","",AR9*24)</f>
        <v/>
      </c>
      <c r="AT9" s="65" t="str">
        <f>IF(AN9="","",(AD9/1000)*100%/AS9)</f>
        <v/>
      </c>
      <c r="AU9" s="64" t="str">
        <f>IF(AN9="","",(AE9/AN9))</f>
        <v/>
      </c>
      <c r="AV9" s="229" t="str">
        <f>IF(AN9="","",(AD9/AO9)/1000)</f>
        <v/>
      </c>
      <c r="AW9" s="714"/>
      <c r="AX9" s="714"/>
      <c r="AY9" s="714"/>
      <c r="AZ9" s="723"/>
      <c r="BA9" s="714"/>
      <c r="BB9" s="725"/>
      <c r="BC9" s="727"/>
      <c r="BD9" s="727"/>
      <c r="BE9" s="727"/>
      <c r="BF9" s="729"/>
    </row>
    <row r="10" spans="1:58" customHeight="1" ht="13.9">
      <c r="A10" s="485" t="str">
        <f>IF(B10="","",7)</f>
        <v/>
      </c>
      <c r="B10" s="68"/>
      <c r="C10" s="69"/>
      <c r="D10" s="70"/>
      <c r="E10" s="76"/>
      <c r="F10" s="70"/>
      <c r="G10" s="76"/>
      <c r="H10" s="70"/>
      <c r="I10" s="491"/>
      <c r="J10" s="491"/>
      <c r="K10" s="70"/>
      <c r="L10" s="494"/>
      <c r="M10" s="494"/>
      <c r="N10" s="76"/>
      <c r="O10" s="76"/>
      <c r="P10" s="467"/>
      <c r="Q10" s="412"/>
      <c r="R10" s="410"/>
      <c r="S10" s="242"/>
      <c r="T10" s="401"/>
      <c r="U10" s="407"/>
      <c r="V10" s="249"/>
      <c r="W10" s="401"/>
      <c r="X10" s="278"/>
      <c r="Y10" s="78"/>
      <c r="Z10" s="403"/>
      <c r="AA10" s="281"/>
      <c r="AB10" s="79"/>
      <c r="AC10" s="85"/>
      <c r="AD10" s="55" t="str">
        <f>IF(B10="","",(((C10+F10+H10+K10+Q10+N10+O10)*50))+((E10*10))+(((I10+J10+D10+G10+L10+M10+U10)*25)+(X10*25)+(Y10*25)+(Z10*25)+(AA10*25)+(AB10*40)+(AC10*50)+(R10*1)+(S10*1)+(T10*1)))</f>
        <v/>
      </c>
      <c r="AE10" s="55" t="str">
        <f>IF(B10="","",C10+F10+H10+K10+Q10+N10+O10+((I10+J10+D10+G10+U10)/2)+(R10/50)+(S10/50)+(T10/50)+(E10/5))</f>
        <v/>
      </c>
      <c r="AF10" s="56" t="str">
        <f>IF(B10="","",((AE10*50)/AD10))</f>
        <v/>
      </c>
      <c r="AG10" s="57" t="str">
        <f>IF(C10="","",((Z10)*25)/AD10)</f>
        <v/>
      </c>
      <c r="AH10" s="57" t="str">
        <f>IF(B10="","",(X10*25)/AD10)</f>
        <v/>
      </c>
      <c r="AI10" s="57" t="str">
        <f>IF(B10="","",(Y10*25)/AD10)</f>
        <v/>
      </c>
      <c r="AJ10" s="57" t="str">
        <f>IF(B10="","",(AA10*25)/AD10)</f>
        <v/>
      </c>
      <c r="AK10" s="58" t="str">
        <f>IF(B10="","",(AB10*40)/AD10)</f>
        <v/>
      </c>
      <c r="AL10" s="58" t="str">
        <f>IF(B10="","",(AC10*50)/AD10)</f>
        <v/>
      </c>
      <c r="AM10" s="59" t="str">
        <f>IF(B10="","",B10)</f>
        <v/>
      </c>
      <c r="AN10" s="233"/>
      <c r="AO10" s="82"/>
      <c r="AP10" s="234"/>
      <c r="AQ10" s="63" t="str">
        <f>IF(AN10="","",AN10/AO10)</f>
        <v/>
      </c>
      <c r="AR10" s="64" t="str">
        <f>IF(AN10="","",(AD10/AN10)/1000)</f>
        <v/>
      </c>
      <c r="AS10" s="64" t="str">
        <f>IF(AN10="","",AR10*24)</f>
        <v/>
      </c>
      <c r="AT10" s="65" t="str">
        <f>IF(AN10="","",(AD10/1000)*100%/AS10)</f>
        <v/>
      </c>
      <c r="AU10" s="64" t="str">
        <f>IF(AN10="","",(AE10/AN10))</f>
        <v/>
      </c>
      <c r="AV10" s="229" t="str">
        <f>IF(AN10="","",(AD10/AO10)/1000)</f>
        <v/>
      </c>
      <c r="AW10" s="714"/>
      <c r="AX10" s="714"/>
      <c r="AY10" s="714"/>
      <c r="AZ10" s="723"/>
      <c r="BA10" s="714"/>
      <c r="BB10" s="725"/>
      <c r="BC10" s="727"/>
      <c r="BD10" s="727"/>
      <c r="BE10" s="727"/>
      <c r="BF10" s="729"/>
    </row>
    <row r="11" spans="1:58" customHeight="1" ht="13.9">
      <c r="A11" s="485" t="str">
        <f>IF(B11="","",8)</f>
        <v/>
      </c>
      <c r="B11" s="226"/>
      <c r="C11" s="69"/>
      <c r="D11" s="70"/>
      <c r="E11" s="76"/>
      <c r="F11" s="70"/>
      <c r="G11" s="76"/>
      <c r="H11" s="70"/>
      <c r="I11" s="491"/>
      <c r="J11" s="491"/>
      <c r="K11" s="70"/>
      <c r="L11" s="494"/>
      <c r="M11" s="494"/>
      <c r="N11" s="76"/>
      <c r="O11" s="76"/>
      <c r="P11" s="467"/>
      <c r="Q11" s="412"/>
      <c r="R11" s="410"/>
      <c r="S11" s="242"/>
      <c r="T11" s="401"/>
      <c r="U11" s="407"/>
      <c r="V11" s="249"/>
      <c r="W11" s="401"/>
      <c r="X11" s="278"/>
      <c r="Y11" s="78"/>
      <c r="Z11" s="403"/>
      <c r="AA11" s="281"/>
      <c r="AB11" s="79"/>
      <c r="AC11" s="85"/>
      <c r="AD11" s="55" t="str">
        <f>IF(B11="","",(((C11+F11+H11+K11+Q11+N11+O11)*50))+((E11*10))+(((I11+J11+D11+G11+L11+M11+U11)*25)+(X11*25)+(Y11*25)+(Z11*25)+(AA11*25)+(AB11*40)+(AC11*50)+(R11*1)+(S11*1)+(T11*1)))</f>
        <v/>
      </c>
      <c r="AE11" s="55" t="str">
        <f>IF(B11="","",C11+F11+H11+K11+Q11+N11+O11+((I11+J11+D11+G11+U11+P11)/2)+(R11/50)+(S11/50)+(T11/50)+(E11/5))</f>
        <v/>
      </c>
      <c r="AF11" s="56" t="str">
        <f>IF(B11="","",((AE11*50)/AD11))</f>
        <v/>
      </c>
      <c r="AG11" s="57" t="str">
        <f>IF(C11="","",((Z11)*25)/AD11)</f>
        <v/>
      </c>
      <c r="AH11" s="57" t="str">
        <f>IF(B11="","",(X11*25)/AD11)</f>
        <v/>
      </c>
      <c r="AI11" s="57" t="str">
        <f>IF(B11="","",(Y11*25)/AD11)</f>
        <v/>
      </c>
      <c r="AJ11" s="57" t="str">
        <f>IF(B11="","",(AA11*25)/AD11)</f>
        <v/>
      </c>
      <c r="AK11" s="58" t="str">
        <f>IF(B11="","",(AB11*40)/AD11)</f>
        <v/>
      </c>
      <c r="AL11" s="58" t="str">
        <f>IF(B11="","",(AC11*50)/AD11)</f>
        <v/>
      </c>
      <c r="AM11" s="59" t="str">
        <f>IF(B11="","",B11)</f>
        <v/>
      </c>
      <c r="AN11" s="233"/>
      <c r="AO11" s="82"/>
      <c r="AP11" s="234"/>
      <c r="AQ11" s="63" t="str">
        <f>IF(AN11="","",AN11/AO11)</f>
        <v/>
      </c>
      <c r="AR11" s="64" t="str">
        <f>IF(AN11="","",(AD11/AN11)/1000)</f>
        <v/>
      </c>
      <c r="AS11" s="64" t="str">
        <f>IF(AN11="","",AR11*24)</f>
        <v/>
      </c>
      <c r="AT11" s="65" t="str">
        <f>IF(AN11="","",(AD11/1000)*100%/AS11)</f>
        <v/>
      </c>
      <c r="AU11" s="64" t="str">
        <f>IF(AN11="","",(AE11/AN11))</f>
        <v/>
      </c>
      <c r="AV11" s="229" t="str">
        <f>IF(AN11="","",(AD11/AO11)/1000)</f>
        <v/>
      </c>
      <c r="AW11" s="714"/>
      <c r="AX11" s="714"/>
      <c r="AY11" s="714"/>
      <c r="AZ11" s="723"/>
      <c r="BA11" s="714"/>
      <c r="BB11" s="725"/>
      <c r="BC11" s="727"/>
      <c r="BD11" s="727"/>
      <c r="BE11" s="727"/>
      <c r="BF11" s="729"/>
    </row>
    <row r="12" spans="1:58" customHeight="1" ht="13.9">
      <c r="A12" s="485" t="str">
        <f>IF(B12="","",9)</f>
        <v/>
      </c>
      <c r="B12" s="226"/>
      <c r="C12" s="69"/>
      <c r="D12" s="70"/>
      <c r="E12" s="76"/>
      <c r="F12" s="70"/>
      <c r="G12" s="76"/>
      <c r="H12" s="70"/>
      <c r="I12" s="491"/>
      <c r="J12" s="491"/>
      <c r="K12" s="70"/>
      <c r="L12" s="494"/>
      <c r="M12" s="494"/>
      <c r="N12" s="76"/>
      <c r="O12" s="76"/>
      <c r="P12" s="467"/>
      <c r="Q12" s="412"/>
      <c r="R12" s="410"/>
      <c r="S12" s="242"/>
      <c r="T12" s="401"/>
      <c r="U12" s="407"/>
      <c r="V12" s="249"/>
      <c r="W12" s="401"/>
      <c r="X12" s="278"/>
      <c r="Y12" s="78"/>
      <c r="Z12" s="403"/>
      <c r="AA12" s="281"/>
      <c r="AB12" s="79"/>
      <c r="AC12" s="85"/>
      <c r="AD12" s="55" t="str">
        <f>IF(B12="","",(((C12+F12+H12+K12+Q12+N12+O12)*50))+((E12*10))+(((I12+J12+D12+G12+L12+M12+U12)*25)+(X12*25)+(Y12*25)+(Z12*25)+(AA12*25)+(AB12*40)+(AC12*50)+(R12*1)+(S12*1)+(T12*1)))</f>
        <v/>
      </c>
      <c r="AE12" s="55" t="str">
        <f>IF(B12="","",C12+F12+H12+K12+Q12+N12+O12+((I12+J12+D12+G12+U12)/2)+(R12/50)+(S12/50)+(T12/50)+(E12/5))</f>
        <v/>
      </c>
      <c r="AF12" s="56" t="str">
        <f>IF(B12="","",((AE12*50)/AD12))</f>
        <v/>
      </c>
      <c r="AG12" s="57" t="str">
        <f>IF(C12="","",((Z12)*25)/AD12)</f>
        <v/>
      </c>
      <c r="AH12" s="57" t="str">
        <f>IF(B12="","",(X12*25)/AD12)</f>
        <v/>
      </c>
      <c r="AI12" s="57" t="str">
        <f>IF(B12="","",(Y12*25)/AD12)</f>
        <v/>
      </c>
      <c r="AJ12" s="57" t="str">
        <f>IF(B12="","",(AA12*25)/AD12)</f>
        <v/>
      </c>
      <c r="AK12" s="58" t="str">
        <f>IF(B12="","",(AB12*40)/AD12)</f>
        <v/>
      </c>
      <c r="AL12" s="58" t="str">
        <f>IF(B12="","",(AC12*50)/AD12)</f>
        <v/>
      </c>
      <c r="AM12" s="59" t="str">
        <f>IF(B12="","",B12)</f>
        <v/>
      </c>
      <c r="AN12" s="233"/>
      <c r="AO12" s="82"/>
      <c r="AP12" s="234"/>
      <c r="AQ12" s="63" t="str">
        <f>IF(AN12="","",AN12/AO12)</f>
        <v/>
      </c>
      <c r="AR12" s="64" t="str">
        <f>IF(AN12="","",(AD12/AN12)/1000)</f>
        <v/>
      </c>
      <c r="AS12" s="64" t="str">
        <f>IF(AN12="","",AR12*24)</f>
        <v/>
      </c>
      <c r="AT12" s="65" t="str">
        <f>IF(AN12="","",(AD12/1000)*100%/AS12)</f>
        <v/>
      </c>
      <c r="AU12" s="64" t="str">
        <f>IF(AN12="","",(AE12/AN12))</f>
        <v/>
      </c>
      <c r="AV12" s="229" t="str">
        <f>IF(AN12="","",(AD12/AO12)/1000)</f>
        <v/>
      </c>
      <c r="AW12" s="714"/>
      <c r="AX12" s="714"/>
      <c r="AY12" s="714"/>
      <c r="AZ12" s="723"/>
      <c r="BA12" s="714"/>
      <c r="BB12" s="725"/>
      <c r="BC12" s="727"/>
      <c r="BD12" s="727"/>
      <c r="BE12" s="727"/>
      <c r="BF12" s="729"/>
    </row>
    <row r="13" spans="1:58" customHeight="1" ht="13.9">
      <c r="A13" s="485" t="str">
        <f>IF(B13="","",11)</f>
        <v/>
      </c>
      <c r="B13" s="226"/>
      <c r="C13" s="69"/>
      <c r="D13" s="70"/>
      <c r="E13" s="76"/>
      <c r="F13" s="70"/>
      <c r="G13" s="76"/>
      <c r="H13" s="70"/>
      <c r="I13" s="491"/>
      <c r="J13" s="491"/>
      <c r="K13" s="70"/>
      <c r="L13" s="494"/>
      <c r="M13" s="494"/>
      <c r="N13" s="76"/>
      <c r="O13" s="76"/>
      <c r="P13" s="467"/>
      <c r="Q13" s="412"/>
      <c r="R13" s="410"/>
      <c r="S13" s="242"/>
      <c r="T13" s="401"/>
      <c r="U13" s="407"/>
      <c r="V13" s="249"/>
      <c r="W13" s="401"/>
      <c r="X13" s="278"/>
      <c r="Y13" s="78"/>
      <c r="Z13" s="403"/>
      <c r="AA13" s="281"/>
      <c r="AB13" s="79"/>
      <c r="AC13" s="85"/>
      <c r="AD13" s="55" t="str">
        <f>IF(B13="","",(((C13+F13+H13+K13+Q13+N13+O13)*50))+((E13*10))+(((I13+J13+D13+G13+L13+M13+U13)*25)+(X13*25)+(Y13*25)+(Z13*25)+(AA13*25)+(AB13*40)+(AC13*50)+(R13*1)+(S13*1)+(T13*1)))</f>
        <v/>
      </c>
      <c r="AE13" s="55" t="str">
        <f>IF(B13="","",C13+F13+H13+K13+Q13+N13+O13+((I13+J13+D13+G13+U13)/2)+(R13/50)+(S13/50)+(T13/50)+(E13/5))</f>
        <v/>
      </c>
      <c r="AF13" s="56" t="str">
        <f>IF(B13="","",((AE13*50)/AD13))</f>
        <v/>
      </c>
      <c r="AG13" s="57" t="str">
        <f>IF(C13="","",((Z13)*25)/AD13)</f>
        <v/>
      </c>
      <c r="AH13" s="57" t="str">
        <f>IF(B13="","",(X13*25)/AD13)</f>
        <v/>
      </c>
      <c r="AI13" s="57" t="str">
        <f>IF(B13="","",(Y13*25)/AD13)</f>
        <v/>
      </c>
      <c r="AJ13" s="57" t="str">
        <f>IF(B13="","",(AA13*25)/AD13)</f>
        <v/>
      </c>
      <c r="AK13" s="58" t="str">
        <f>IF(B13="","",(AB13*40)/AD13)</f>
        <v/>
      </c>
      <c r="AL13" s="58" t="str">
        <f>IF(B13="","",(AC13*50)/AD13)</f>
        <v/>
      </c>
      <c r="AM13" s="59" t="str">
        <f>IF(B13="","",B13)</f>
        <v/>
      </c>
      <c r="AN13" s="233"/>
      <c r="AO13" s="82"/>
      <c r="AP13" s="234"/>
      <c r="AQ13" s="63" t="str">
        <f>IF(AN13="","",AN13/AO13)</f>
        <v/>
      </c>
      <c r="AR13" s="64" t="str">
        <f>IF(AN13="","",(AD13/AN13)/1000)</f>
        <v/>
      </c>
      <c r="AS13" s="64" t="str">
        <f>IF(AN13="","",AR13*24)</f>
        <v/>
      </c>
      <c r="AT13" s="65" t="str">
        <f>IF(AN13="","",(AD13/1000)*100%/AS13)</f>
        <v/>
      </c>
      <c r="AU13" s="64" t="str">
        <f>IF(AN13="","",(AE13/AN13))</f>
        <v/>
      </c>
      <c r="AV13" s="229" t="str">
        <f>IF(AN13="","",(AD13/AO13)/1000)</f>
        <v/>
      </c>
      <c r="AW13" s="714"/>
      <c r="AX13" s="714"/>
      <c r="AY13" s="714"/>
      <c r="AZ13" s="723"/>
      <c r="BA13" s="714"/>
      <c r="BB13" s="725"/>
      <c r="BC13" s="727"/>
      <c r="BD13" s="727"/>
      <c r="BE13" s="727"/>
      <c r="BF13" s="729"/>
    </row>
    <row r="14" spans="1:58" customHeight="1" ht="13.9">
      <c r="A14" s="485" t="str">
        <f>IF(B14="","",12)</f>
        <v/>
      </c>
      <c r="B14" s="226"/>
      <c r="C14" s="69"/>
      <c r="D14" s="70"/>
      <c r="E14" s="76"/>
      <c r="F14" s="70"/>
      <c r="G14" s="76"/>
      <c r="H14" s="70"/>
      <c r="I14" s="491"/>
      <c r="J14" s="491"/>
      <c r="K14" s="70"/>
      <c r="L14" s="494"/>
      <c r="M14" s="494"/>
      <c r="N14" s="76"/>
      <c r="O14" s="76"/>
      <c r="P14" s="467"/>
      <c r="Q14" s="412"/>
      <c r="R14" s="410"/>
      <c r="S14" s="242"/>
      <c r="T14" s="401"/>
      <c r="U14" s="407"/>
      <c r="V14" s="249"/>
      <c r="W14" s="401"/>
      <c r="X14" s="278"/>
      <c r="Y14" s="78"/>
      <c r="Z14" s="403"/>
      <c r="AA14" s="281"/>
      <c r="AB14" s="79"/>
      <c r="AC14" s="85"/>
      <c r="AD14" s="55" t="str">
        <f>IF(B14="","",(((C14+F14+H14+K14+Q14+N14+O14)*50))+((E14*10))+(((I14+J14+D14+G14+L14+M14+U14)*25)+(X14*25)+(Y14*25)+(Z14*25)+(AA14*25)+(AB14*40)+(AC14*50)+(R14*1)+(S14*1)+(T14*1)))</f>
        <v/>
      </c>
      <c r="AE14" s="55" t="str">
        <f>IF(B14="","",C14+F14+H14+K14+Q14+N14+O14+((I14+J14+D14+G14+U14)/2)+(R14/50)+(S14/50)+(T14/50)+(E14/5))</f>
        <v/>
      </c>
      <c r="AF14" s="56" t="str">
        <f>IF(B14="","",((AE14*50)/AD14))</f>
        <v/>
      </c>
      <c r="AG14" s="57" t="str">
        <f>IF(C14="","",((Z14)*25)/AD14)</f>
        <v/>
      </c>
      <c r="AH14" s="57" t="str">
        <f>IF(B14="","",(X14*25)/AD14)</f>
        <v/>
      </c>
      <c r="AI14" s="57" t="str">
        <f>IF(B14="","",(Y14*25)/AD14)</f>
        <v/>
      </c>
      <c r="AJ14" s="57" t="str">
        <f>IF(B14="","",(AA14*25)/AD14)</f>
        <v/>
      </c>
      <c r="AK14" s="58" t="str">
        <f>IF(B14="","",(AB14*40)/AD14)</f>
        <v/>
      </c>
      <c r="AL14" s="58" t="str">
        <f>IF(B14="","",(AC14*50)/AD14)</f>
        <v/>
      </c>
      <c r="AM14" s="59" t="str">
        <f>IF(B14="","",B14)</f>
        <v/>
      </c>
      <c r="AN14" s="233"/>
      <c r="AO14" s="82"/>
      <c r="AP14" s="234"/>
      <c r="AQ14" s="63" t="str">
        <f>IF(AN14="","",AN14/AO14)</f>
        <v/>
      </c>
      <c r="AR14" s="64" t="str">
        <f>IF(AN14="","",(AD14/AN14)/1000)</f>
        <v/>
      </c>
      <c r="AS14" s="64" t="str">
        <f>IF(AN14="","",AR14*24)</f>
        <v/>
      </c>
      <c r="AT14" s="65" t="str">
        <f>IF(AN14="","",(AD14/1000)*100%/AS14)</f>
        <v/>
      </c>
      <c r="AU14" s="64" t="str">
        <f>IF(AN14="","",(AE14/AN14))</f>
        <v/>
      </c>
      <c r="AV14" s="229" t="str">
        <f>IF(AN14="","",(AD14/AO14)/1000)</f>
        <v/>
      </c>
      <c r="AW14" s="714"/>
      <c r="AX14" s="714"/>
      <c r="AY14" s="714"/>
      <c r="AZ14" s="723"/>
      <c r="BA14" s="714"/>
      <c r="BB14" s="725"/>
      <c r="BC14" s="727"/>
      <c r="BD14" s="727"/>
      <c r="BE14" s="727"/>
      <c r="BF14" s="729"/>
    </row>
    <row r="15" spans="1:58" customHeight="1" ht="13.9">
      <c r="A15" s="485" t="str">
        <f>IF(B15="","",13)</f>
        <v/>
      </c>
      <c r="B15" s="226"/>
      <c r="C15" s="69"/>
      <c r="D15" s="70"/>
      <c r="E15" s="76"/>
      <c r="F15" s="70"/>
      <c r="G15" s="76"/>
      <c r="H15" s="70"/>
      <c r="I15" s="491"/>
      <c r="J15" s="491"/>
      <c r="K15" s="70"/>
      <c r="L15" s="494"/>
      <c r="M15" s="494"/>
      <c r="N15" s="76"/>
      <c r="O15" s="76"/>
      <c r="P15" s="467"/>
      <c r="Q15" s="412"/>
      <c r="R15" s="410"/>
      <c r="S15" s="242"/>
      <c r="T15" s="401"/>
      <c r="U15" s="407"/>
      <c r="V15" s="249"/>
      <c r="W15" s="401"/>
      <c r="X15" s="278"/>
      <c r="Y15" s="78"/>
      <c r="Z15" s="403"/>
      <c r="AA15" s="281"/>
      <c r="AC15" s="79"/>
      <c r="AD15" s="55" t="str">
        <f>IF(B15="","",(((C15+F15+H15+K15+Q15+N15+O15)*50))+((E15*10))+(((I15+J15+D15+G15+L15+M15+U15)*25)+(X15*25)+(Y15*25)+(Z15*25)+(AA15*25)+(AB15*40)+(AC15*50)+(R15*1)+(S15*1)+(T15*1)))</f>
        <v/>
      </c>
      <c r="AE15" s="55" t="str">
        <f>IF(B15="","",C15+F15+H15+K15+Q15+N15+O15+((I15+J15+D15+G15+U15)/2)+(R15/50)+(S15/50)+(T15/50)+(E15/5))</f>
        <v/>
      </c>
      <c r="AF15" s="56" t="str">
        <f>IF(B15="","",((AE15*50)/AD15))</f>
        <v/>
      </c>
      <c r="AG15" s="57" t="str">
        <f>IF(C15="","",((Z15)*25)/AD15)</f>
        <v/>
      </c>
      <c r="AH15" s="57" t="str">
        <f>IF(B15="","",(X15*25)/AD15)</f>
        <v/>
      </c>
      <c r="AI15" s="57" t="str">
        <f>IF(B15="","",(Y15*25)/AD15)</f>
        <v/>
      </c>
      <c r="AJ15" s="57" t="str">
        <f>IF(B15="","",(AA15*25)/AD15)</f>
        <v/>
      </c>
      <c r="AK15" s="58" t="str">
        <f>IF(B15="","",(AC15*40)/AD15)</f>
        <v/>
      </c>
      <c r="AL15" s="58" t="str">
        <f>IF(B15="","",(AC15*50)/AD15)</f>
        <v/>
      </c>
      <c r="AM15" s="59" t="str">
        <f>IF(B15="","",B15)</f>
        <v/>
      </c>
      <c r="AN15" s="233"/>
      <c r="AO15" s="82"/>
      <c r="AP15" s="234"/>
      <c r="AQ15" s="63" t="str">
        <f>IF(AN15="","",AN15/AO15)</f>
        <v/>
      </c>
      <c r="AR15" s="64" t="str">
        <f>IF(AN15="","",(AD15/AN15)/1000)</f>
        <v/>
      </c>
      <c r="AS15" s="64" t="str">
        <f>IF(AN15="","",AR15*24)</f>
        <v/>
      </c>
      <c r="AT15" s="65" t="str">
        <f>IF(AN15="","",(AD15/1000)*100%/AS15)</f>
        <v/>
      </c>
      <c r="AU15" s="64" t="str">
        <f>IF(AN15="","",(AE15/AN15))</f>
        <v/>
      </c>
      <c r="AV15" s="229" t="str">
        <f>IF(AN15="","",(AD15/AO15)/1000)</f>
        <v/>
      </c>
      <c r="AW15" s="714"/>
      <c r="AX15" s="714"/>
      <c r="AY15" s="714"/>
      <c r="AZ15" s="723"/>
      <c r="BA15" s="714"/>
      <c r="BB15" s="725"/>
      <c r="BC15" s="727"/>
      <c r="BD15" s="727"/>
      <c r="BE15" s="727"/>
      <c r="BF15" s="729"/>
    </row>
    <row r="16" spans="1:58" customHeight="1" ht="13.9">
      <c r="A16" s="485" t="str">
        <f>IF(B16="","",1+A15)</f>
        <v/>
      </c>
      <c r="B16" s="226"/>
      <c r="C16" s="69"/>
      <c r="D16" s="70"/>
      <c r="E16" s="76"/>
      <c r="F16" s="70"/>
      <c r="G16" s="76"/>
      <c r="H16" s="70"/>
      <c r="I16" s="491"/>
      <c r="J16" s="491"/>
      <c r="K16" s="70"/>
      <c r="L16" s="494"/>
      <c r="M16" s="494"/>
      <c r="N16" s="76"/>
      <c r="O16" s="76"/>
      <c r="P16" s="467"/>
      <c r="Q16" s="412"/>
      <c r="R16" s="410"/>
      <c r="S16" s="242"/>
      <c r="T16" s="401"/>
      <c r="U16" s="407"/>
      <c r="V16" s="249"/>
      <c r="W16" s="401"/>
      <c r="X16" s="278"/>
      <c r="Y16" s="78"/>
      <c r="Z16" s="403"/>
      <c r="AA16" s="281"/>
      <c r="AB16" s="79"/>
      <c r="AC16" s="85"/>
      <c r="AD16" s="55" t="str">
        <f>IF(B16="","",(((C16+F16+H16+K16+Q16+N16+O16)*50))+((E16*10))+(((I16+J16+D16+G16+L16+M16+U16)*25)+(X16*25)+(Y16*25)+(Z16*25)+(AA16*25)+(AB16*40)+(AC16*50)+(R16*1)+(S16*1)+(T16*1)))</f>
        <v/>
      </c>
      <c r="AE16" s="55" t="str">
        <f>IF(B16="","",C16+F16+H16+K16+Q16+N16+O16+((I16+J16+D16+G16+U16)/2)+(R16/50)+(S16/50)+(T16/50)+(E16/5))</f>
        <v/>
      </c>
      <c r="AF16" s="56" t="str">
        <f>IF(B16="","",((AE16*50)/AD16))</f>
        <v/>
      </c>
      <c r="AG16" s="57" t="str">
        <f>IF(C16="","",((Z16)*25)/AD16)</f>
        <v/>
      </c>
      <c r="AH16" s="57" t="str">
        <f>IF(B16="","",(X16*25)/AD16)</f>
        <v/>
      </c>
      <c r="AI16" s="57" t="str">
        <f>IF(B16="","",(Y16*25)/AD16)</f>
        <v/>
      </c>
      <c r="AJ16" s="57" t="str">
        <f>IF(B16="","",(AA16*25)/AD16)</f>
        <v/>
      </c>
      <c r="AK16" s="58" t="str">
        <f>IF(B16="","",(AB16*40)/AD16)</f>
        <v/>
      </c>
      <c r="AL16" s="58" t="str">
        <f>IF(B16="","",(AC16*50)/AD16)</f>
        <v/>
      </c>
      <c r="AM16" s="59" t="str">
        <f>IF(B16="","",B16)</f>
        <v/>
      </c>
      <c r="AN16" s="233"/>
      <c r="AO16" s="82"/>
      <c r="AP16" s="234"/>
      <c r="AQ16" s="63" t="str">
        <f>IF(AN16="","",AN16/AO16)</f>
        <v/>
      </c>
      <c r="AR16" s="64" t="str">
        <f>IF(AN16="","",(AD16/AN16)/1000)</f>
        <v/>
      </c>
      <c r="AS16" s="64" t="str">
        <f>IF(AN16="","",AR16*24)</f>
        <v/>
      </c>
      <c r="AT16" s="65" t="str">
        <f>IF(AN16="","",(AD16/1000)*100%/AS16)</f>
        <v/>
      </c>
      <c r="AU16" s="64" t="str">
        <f>IF(AN16="","",(AE16/AN16))</f>
        <v/>
      </c>
      <c r="AV16" s="229" t="str">
        <f>IF(AN16="","",(AD16/AO16)/1000)</f>
        <v/>
      </c>
      <c r="AW16" s="714"/>
      <c r="AX16" s="714"/>
      <c r="AY16" s="714"/>
      <c r="AZ16" s="723"/>
      <c r="BA16" s="714"/>
      <c r="BB16" s="725"/>
      <c r="BC16" s="727"/>
      <c r="BD16" s="727"/>
      <c r="BE16" s="727"/>
      <c r="BF16" s="729"/>
    </row>
    <row r="17" spans="1:58" customHeight="1" ht="13.9">
      <c r="A17" s="485" t="str">
        <f>IF(B17="","",15)</f>
        <v/>
      </c>
      <c r="B17" s="226"/>
      <c r="C17" s="69"/>
      <c r="D17" s="70"/>
      <c r="E17" s="76"/>
      <c r="F17" s="70"/>
      <c r="G17" s="76"/>
      <c r="H17" s="70"/>
      <c r="I17" s="491"/>
      <c r="J17" s="491"/>
      <c r="K17" s="70"/>
      <c r="L17" s="494"/>
      <c r="M17" s="494"/>
      <c r="N17" s="76"/>
      <c r="O17" s="76"/>
      <c r="P17" s="467"/>
      <c r="Q17" s="412"/>
      <c r="R17" s="410"/>
      <c r="S17" s="242"/>
      <c r="T17" s="401"/>
      <c r="U17" s="407"/>
      <c r="V17" s="249"/>
      <c r="W17" s="401"/>
      <c r="X17" s="278"/>
      <c r="Y17" s="78"/>
      <c r="Z17" s="403"/>
      <c r="AA17" s="281"/>
      <c r="AB17" s="79"/>
      <c r="AC17" s="85"/>
      <c r="AD17" s="55" t="str">
        <f>IF(B17="","",(((C17+F17+H17+K17+Q17+N17+O17)*50))+((E17*10))+(((I17+J17+D17+G17+L17+M17+U17)*25)+(X17*25)+(Y17*25)+(Z17*25)+(AA17*25)+(AB17*40)+(AC17*50)+(R17*1)+(S17*1)+(T17*1)))</f>
        <v/>
      </c>
      <c r="AE17" s="55" t="str">
        <f>IF(B17="","",C17+F17+H17+K17+Q17+N17+O17+((I17+J17+D17+G17+U17)/2)+(R17/50)+(S17/50)+(T17/50)+(E17/5))</f>
        <v/>
      </c>
      <c r="AF17" s="56" t="str">
        <f>IF(B17="","",((AE17*50)/AD17))</f>
        <v/>
      </c>
      <c r="AG17" s="57" t="str">
        <f>IF(C17="","",((Z17)*25)/AD17)</f>
        <v/>
      </c>
      <c r="AH17" s="57" t="str">
        <f>IF(B17="","",(X17*25)/AD17)</f>
        <v/>
      </c>
      <c r="AI17" s="57" t="str">
        <f>IF(B17="","",(Y17*25)/AD17)</f>
        <v/>
      </c>
      <c r="AJ17" s="57" t="str">
        <f>IF(B17="","",(AA17*25)/AD17)</f>
        <v/>
      </c>
      <c r="AK17" s="58" t="str">
        <f>IF(B17="","",(AB17*40)/AD17)</f>
        <v/>
      </c>
      <c r="AL17" s="58" t="str">
        <f>IF(B17="","",(AC17*50)/AD17)</f>
        <v/>
      </c>
      <c r="AM17" s="59" t="str">
        <f>IF(B17="","",B17)</f>
        <v/>
      </c>
      <c r="AN17" s="233"/>
      <c r="AO17" s="82"/>
      <c r="AP17" s="234"/>
      <c r="AQ17" s="63" t="str">
        <f>IF(AN17="","",AN17/AO17)</f>
        <v/>
      </c>
      <c r="AR17" s="64" t="str">
        <f>IF(AN17="","",(AD17/AN17)/1000)</f>
        <v/>
      </c>
      <c r="AS17" s="64" t="str">
        <f>IF(AN17="","",AR17*24)</f>
        <v/>
      </c>
      <c r="AT17" s="65" t="str">
        <f>IF(AN17="","",(AD17/1000)*100%/AS17)</f>
        <v/>
      </c>
      <c r="AU17" s="64" t="str">
        <f>IF(AN17="","",(AE17/AN17))</f>
        <v/>
      </c>
      <c r="AV17" s="229" t="str">
        <f>IF(AN17="","",(AD17/AO17)/1000)</f>
        <v/>
      </c>
      <c r="AW17" s="714"/>
      <c r="AX17" s="714"/>
      <c r="AY17" s="714"/>
      <c r="AZ17" s="723"/>
      <c r="BA17" s="714"/>
      <c r="BB17" s="725"/>
      <c r="BC17" s="727"/>
      <c r="BD17" s="727"/>
      <c r="BE17" s="727"/>
      <c r="BF17" s="729"/>
    </row>
    <row r="18" spans="1:58" customHeight="1" ht="13.9">
      <c r="A18" s="485" t="str">
        <f>IF(B18="","",16)</f>
        <v/>
      </c>
      <c r="B18" s="226"/>
      <c r="C18" s="69"/>
      <c r="D18" s="70"/>
      <c r="E18" s="76"/>
      <c r="F18" s="70"/>
      <c r="G18" s="76"/>
      <c r="H18" s="70"/>
      <c r="I18" s="491"/>
      <c r="J18" s="491"/>
      <c r="K18" s="70"/>
      <c r="L18" s="494"/>
      <c r="M18" s="494"/>
      <c r="N18" s="76"/>
      <c r="O18" s="76"/>
      <c r="P18" s="467"/>
      <c r="Q18" s="412"/>
      <c r="R18" s="410"/>
      <c r="S18" s="242"/>
      <c r="T18" s="401"/>
      <c r="U18" s="407"/>
      <c r="V18" s="249"/>
      <c r="W18" s="401"/>
      <c r="X18" s="278"/>
      <c r="Y18" s="78"/>
      <c r="Z18" s="403"/>
      <c r="AA18" s="281"/>
      <c r="AB18" s="79"/>
      <c r="AC18" s="85"/>
      <c r="AD18" s="55" t="str">
        <f>IF(B18="","",(((C18+F18+H18+K18+Q18+N18+O18)*50))+((E18*10))+(((I18+J18+D18+G18+L18+M18+U18)*25)+(X18*25)+(Y18*25)+(Z18*25)+(AA18*25)+(AB18*40)+(AC18*50)+(R18*1)+(S18*1)+(T18*1)))</f>
        <v/>
      </c>
      <c r="AE18" s="55" t="str">
        <f>IF(B18="","",C18+F18+H18+K18+Q18+N18+O18+((I18+J18+D18+G18+U18)/2)+(R18/50)+(S18/50)+(T18/50)+(E18/5))</f>
        <v/>
      </c>
      <c r="AF18" s="56" t="str">
        <f>IF(B18="","",((AE18*50)/AD18))</f>
        <v/>
      </c>
      <c r="AG18" s="57" t="str">
        <f>IF(C18="","",((Z18)*25)/AD18)</f>
        <v/>
      </c>
      <c r="AH18" s="57" t="str">
        <f>IF(B18="","",(X18*25)/AD18)</f>
        <v/>
      </c>
      <c r="AI18" s="57" t="str">
        <f>IF(B18="","",(Y18*25)/AD18)</f>
        <v/>
      </c>
      <c r="AJ18" s="57" t="str">
        <f>IF(B18="","",(AA18*25)/AD18)</f>
        <v/>
      </c>
      <c r="AK18" s="58" t="str">
        <f>IF(B18="","",(AB18*40)/AD18)</f>
        <v/>
      </c>
      <c r="AL18" s="58" t="str">
        <f>IF(B18="","",(AC18*50)/AD18)</f>
        <v/>
      </c>
      <c r="AM18" s="59" t="str">
        <f>IF(B18="","",B18)</f>
        <v/>
      </c>
      <c r="AN18" s="233"/>
      <c r="AO18" s="82"/>
      <c r="AP18" s="234"/>
      <c r="AQ18" s="63" t="str">
        <f>IF(AN18="","",AN18/AO18)</f>
        <v/>
      </c>
      <c r="AR18" s="64" t="str">
        <f>IF(AN18="","",(AD18/AN18)/1000)</f>
        <v/>
      </c>
      <c r="AS18" s="64" t="str">
        <f>IF(AN18="","",AR18*24)</f>
        <v/>
      </c>
      <c r="AT18" s="65" t="str">
        <f>IF(AN18="","",(AD18/1000)*100%/AS18)</f>
        <v/>
      </c>
      <c r="AU18" s="64" t="str">
        <f>IF(AN18="","",(AE18/AN18))</f>
        <v/>
      </c>
      <c r="AV18" s="229" t="str">
        <f>IF(AN18="","",(AD18/AO18)/1000)</f>
        <v/>
      </c>
      <c r="AW18" s="714"/>
      <c r="AX18" s="714"/>
      <c r="AY18" s="714"/>
      <c r="AZ18" s="723"/>
      <c r="BA18" s="714"/>
      <c r="BB18" s="725"/>
      <c r="BC18" s="727"/>
      <c r="BD18" s="727"/>
      <c r="BE18" s="727"/>
      <c r="BF18" s="729"/>
    </row>
    <row r="19" spans="1:58" customHeight="1" ht="13.9">
      <c r="A19" s="485" t="str">
        <f>IF(B19="","",17)</f>
        <v/>
      </c>
      <c r="B19" s="68"/>
      <c r="C19" s="69"/>
      <c r="D19" s="70"/>
      <c r="E19" s="76"/>
      <c r="F19" s="70"/>
      <c r="G19" s="76"/>
      <c r="H19" s="70"/>
      <c r="I19" s="491"/>
      <c r="J19" s="491"/>
      <c r="K19" s="70"/>
      <c r="L19" s="494"/>
      <c r="M19" s="494"/>
      <c r="N19" s="76"/>
      <c r="O19" s="76"/>
      <c r="P19" s="467"/>
      <c r="Q19" s="412"/>
      <c r="R19" s="410"/>
      <c r="S19" s="242"/>
      <c r="T19" s="401"/>
      <c r="U19" s="407"/>
      <c r="V19" s="249"/>
      <c r="W19" s="401"/>
      <c r="X19" s="278"/>
      <c r="Y19" s="78"/>
      <c r="Z19" s="403"/>
      <c r="AA19" s="281"/>
      <c r="AB19" s="79"/>
      <c r="AC19" s="85"/>
      <c r="AD19" s="55" t="str">
        <f>IF(B19="","",(((C19+F19+H19+K19+Q19+N19+O19)*50))+((E19*10))+(((I19+J19+D19+G19+L19+M19+U19)*25)+(X19*25)+(Y19*25)+(Z19*25)+(AA19*25)+(AB19*40)+(AC19*50)+(R19*1)+(S19*1)+(T19*1)))</f>
        <v/>
      </c>
      <c r="AE19" s="55" t="str">
        <f>IF(B19="","",C19+F19+H19+K19+Q19+N19+O19+((I19+J19+D19+G19+U19)/2)+(R19/50)+(S19/50)+(T19/50)+(E19/5))</f>
        <v/>
      </c>
      <c r="AF19" s="56" t="str">
        <f>IF(B19="","",((AE19*50)/AD19))</f>
        <v/>
      </c>
      <c r="AG19" s="57" t="str">
        <f>IF(C19="","",((Z19)*25)/AD19)</f>
        <v/>
      </c>
      <c r="AH19" s="57" t="str">
        <f>IF(B19="","",(X19*25)/AD19)</f>
        <v/>
      </c>
      <c r="AI19" s="57" t="str">
        <f>IF(B19="","",(Y19*25)/AD19)</f>
        <v/>
      </c>
      <c r="AJ19" s="57" t="str">
        <f>IF(B19="","",(AA19*25)/AD19)</f>
        <v/>
      </c>
      <c r="AK19" s="58" t="str">
        <f>IF(B19="","",(AB19*40)/AD19)</f>
        <v/>
      </c>
      <c r="AL19" s="58" t="str">
        <f>IF(B19="","",(AC19*50)/AD19)</f>
        <v/>
      </c>
      <c r="AM19" s="59" t="str">
        <f>IF(B19="","",B19)</f>
        <v/>
      </c>
      <c r="AN19" s="233"/>
      <c r="AO19" s="82"/>
      <c r="AP19" s="234"/>
      <c r="AQ19" s="63" t="str">
        <f>IF(AN19="","",AN19/AO19)</f>
        <v/>
      </c>
      <c r="AR19" s="64" t="str">
        <f>IF(AN19="","",(AD19/AN19)/1000)</f>
        <v/>
      </c>
      <c r="AS19" s="64" t="str">
        <f>IF(AN19="","",AR19*24)</f>
        <v/>
      </c>
      <c r="AT19" s="65" t="str">
        <f>IF(AN19="","",(AD19/1000)*100%/AS19)</f>
        <v/>
      </c>
      <c r="AU19" s="64" t="str">
        <f>IF(AN19="","",(AE19/AN19))</f>
        <v/>
      </c>
      <c r="AV19" s="229" t="str">
        <f>IF(AN19="","",(AD19/AO19)/1000)</f>
        <v/>
      </c>
      <c r="AW19" s="714"/>
      <c r="AX19" s="714"/>
      <c r="AY19" s="714"/>
      <c r="AZ19" s="723"/>
      <c r="BA19" s="714"/>
      <c r="BB19" s="725"/>
      <c r="BC19" s="727"/>
      <c r="BD19" s="727"/>
      <c r="BE19" s="727"/>
      <c r="BF19" s="729"/>
    </row>
    <row r="20" spans="1:58" customHeight="1" ht="13.9">
      <c r="A20" s="485" t="str">
        <f>IF(B20="","",1+A19)</f>
        <v/>
      </c>
      <c r="B20" s="68"/>
      <c r="C20" s="69"/>
      <c r="D20" s="70"/>
      <c r="E20" s="76"/>
      <c r="F20" s="70"/>
      <c r="G20" s="76"/>
      <c r="H20" s="70"/>
      <c r="I20" s="491"/>
      <c r="J20" s="491"/>
      <c r="K20" s="70"/>
      <c r="L20" s="494"/>
      <c r="M20" s="494"/>
      <c r="N20" s="76"/>
      <c r="O20" s="76"/>
      <c r="P20" s="467"/>
      <c r="Q20" s="412"/>
      <c r="R20" s="410"/>
      <c r="S20" s="242"/>
      <c r="T20" s="401"/>
      <c r="U20" s="407"/>
      <c r="V20" s="249"/>
      <c r="W20" s="401"/>
      <c r="X20" s="278"/>
      <c r="Y20" s="78"/>
      <c r="Z20" s="403"/>
      <c r="AA20" s="281"/>
      <c r="AB20" s="79"/>
      <c r="AC20" s="85"/>
      <c r="AD20" s="55" t="str">
        <f>IF(B20="","",(((C20+F20+H20+K20+Q20+N20+O20)*50))+((E20*10))+(((I20+J20+D20+G20+L20+M20+U20)*25)+(X20*25)+(Y20*25)+(Z20*25)+(AA20*25)+(AB20*40)+(AC20*50)+(R20*1)+(S20*1)+(T20*1)))</f>
        <v/>
      </c>
      <c r="AE20" s="55" t="str">
        <f>IF(B20="","",C20+F20+H20+K20+Q20+N20+O20+((I20+J20+D20+G20+U20)/2)+(R20/50)+(S20/50)+(T20/50)+(E20/5))</f>
        <v/>
      </c>
      <c r="AF20" s="56" t="str">
        <f>IF(B20="","",((AE20*50)/AD20))</f>
        <v/>
      </c>
      <c r="AG20" s="57" t="str">
        <f>IF(C20="","",((Z20)*25)/AD20)</f>
        <v/>
      </c>
      <c r="AH20" s="57" t="str">
        <f>IF(B20="","",(X20*25)/AD20)</f>
        <v/>
      </c>
      <c r="AI20" s="57" t="str">
        <f>IF(B20="","",(Y20*25)/AD20)</f>
        <v/>
      </c>
      <c r="AJ20" s="57" t="str">
        <f>IF(B20="","",(AA20*25)/AD20)</f>
        <v/>
      </c>
      <c r="AK20" s="58" t="str">
        <f>IF(B20="","",(AB20*40)/AD20)</f>
        <v/>
      </c>
      <c r="AL20" s="58" t="str">
        <f>IF(B20="","",(AC20*50)/AD20)</f>
        <v/>
      </c>
      <c r="AM20" s="59" t="str">
        <f>IF(B20="","",B20)</f>
        <v/>
      </c>
      <c r="AN20" s="233"/>
      <c r="AO20" s="82"/>
      <c r="AP20" s="234"/>
      <c r="AQ20" s="63" t="str">
        <f>IF(AN20="","",AN20/AO20)</f>
        <v/>
      </c>
      <c r="AR20" s="64" t="str">
        <f>IF(AN20="","",(AD20/AN20)/1000)</f>
        <v/>
      </c>
      <c r="AS20" s="64" t="str">
        <f>IF(AN20="","",AR20*24)</f>
        <v/>
      </c>
      <c r="AT20" s="65" t="str">
        <f>IF(AN20="","",(AD20/1000)*100%/AS20)</f>
        <v/>
      </c>
      <c r="AU20" s="64" t="str">
        <f>IF(AN20="","",(AE20/AN20))</f>
        <v/>
      </c>
      <c r="AV20" s="229" t="str">
        <f>IF(AN20="","",(AD20/AO20)/1000)</f>
        <v/>
      </c>
      <c r="AW20" s="714"/>
      <c r="AX20" s="714"/>
      <c r="AY20" s="714"/>
      <c r="AZ20" s="723"/>
      <c r="BA20" s="714"/>
      <c r="BB20" s="725"/>
      <c r="BC20" s="727"/>
      <c r="BD20" s="727"/>
      <c r="BE20" s="727"/>
      <c r="BF20" s="729"/>
    </row>
    <row r="21" spans="1:58" customHeight="1" ht="13.9">
      <c r="A21" s="485" t="str">
        <f>IF(B21="","",1+A20)</f>
        <v/>
      </c>
      <c r="B21" s="68"/>
      <c r="C21" s="69"/>
      <c r="D21" s="70"/>
      <c r="E21" s="76"/>
      <c r="F21" s="70"/>
      <c r="G21" s="76"/>
      <c r="H21" s="70"/>
      <c r="I21" s="491"/>
      <c r="J21" s="491"/>
      <c r="K21" s="70"/>
      <c r="L21" s="494"/>
      <c r="M21" s="494"/>
      <c r="N21" s="76"/>
      <c r="O21" s="76"/>
      <c r="P21" s="467"/>
      <c r="Q21" s="412"/>
      <c r="R21" s="410"/>
      <c r="S21" s="242"/>
      <c r="T21" s="401"/>
      <c r="U21" s="407"/>
      <c r="V21" s="249"/>
      <c r="W21" s="401"/>
      <c r="X21" s="278"/>
      <c r="Y21" s="78"/>
      <c r="Z21" s="403"/>
      <c r="AA21" s="281"/>
      <c r="AB21" s="79"/>
      <c r="AC21" s="85"/>
      <c r="AD21" s="55"/>
      <c r="AE21" s="55" t="str">
        <f>IF(B21="","",C21+F21+H21+K21+Q21+N21+O21+((I21+J21+D21+G21+U21)/2)+(R21/50)+(S21/50)+(T21/50)+(E21/5))</f>
        <v/>
      </c>
      <c r="AF21" s="56" t="str">
        <f>IF(B21="","",((AE21*50)/AD21))</f>
        <v/>
      </c>
      <c r="AG21" s="57" t="str">
        <f>IF(C21="","",((Z21)*25)/AD21)</f>
        <v/>
      </c>
      <c r="AH21" s="57" t="str">
        <f>IF(B21="","",(X21*25)/AD21)</f>
        <v/>
      </c>
      <c r="AI21" s="57" t="str">
        <f>IF(B21="","",(Y21*25)/AD21)</f>
        <v/>
      </c>
      <c r="AJ21" s="57" t="str">
        <f>IF(B21="","",(AA21*25)/AD21)</f>
        <v/>
      </c>
      <c r="AK21" s="58" t="str">
        <f>IF(B21="","",(AB21*40)/AD21)</f>
        <v/>
      </c>
      <c r="AL21" s="58" t="str">
        <f>IF(B21="","",(AC21*50)/AD21)</f>
        <v/>
      </c>
      <c r="AM21" s="59" t="str">
        <f>IF(B21="","",B21)</f>
        <v/>
      </c>
      <c r="AN21" s="233"/>
      <c r="AO21" s="82"/>
      <c r="AP21" s="234"/>
      <c r="AQ21" s="63" t="str">
        <f>IF(AN21="","",AN21/AO21)</f>
        <v/>
      </c>
      <c r="AR21" s="64" t="str">
        <f>IF(AN21="","",(AD21/AN21)/1000)</f>
        <v/>
      </c>
      <c r="AS21" s="64" t="str">
        <f>IF(AN21="","",AR21*24)</f>
        <v/>
      </c>
      <c r="AT21" s="65" t="str">
        <f>IF(AN21="","",(AD21/1000)*100%/AS21)</f>
        <v/>
      </c>
      <c r="AU21" s="64" t="str">
        <f>IF(AN21="","",(AE21/AN21))</f>
        <v/>
      </c>
      <c r="AV21" s="229" t="str">
        <f>IF(AN21="","",(AD21/AO21)/1000)</f>
        <v/>
      </c>
      <c r="AW21" s="714"/>
      <c r="AX21" s="714"/>
      <c r="AY21" s="714"/>
      <c r="AZ21" s="723"/>
      <c r="BA21" s="714"/>
      <c r="BB21" s="725"/>
      <c r="BC21" s="727"/>
      <c r="BD21" s="727"/>
      <c r="BE21" s="727"/>
      <c r="BF21" s="729"/>
    </row>
    <row r="22" spans="1:58" customHeight="1" ht="13.9">
      <c r="A22" s="485" t="str">
        <f>IF(B22="","",1+A21)</f>
        <v/>
      </c>
      <c r="B22" s="68"/>
      <c r="C22" s="69"/>
      <c r="D22" s="70"/>
      <c r="E22" s="76"/>
      <c r="F22" s="70"/>
      <c r="G22" s="76"/>
      <c r="H22" s="70"/>
      <c r="I22" s="76"/>
      <c r="J22" s="76"/>
      <c r="K22" s="70"/>
      <c r="L22" s="494"/>
      <c r="M22" s="494"/>
      <c r="N22" s="76"/>
      <c r="O22" s="76"/>
      <c r="P22" s="467"/>
      <c r="Q22" s="412"/>
      <c r="R22" s="410"/>
      <c r="S22" s="242"/>
      <c r="T22" s="401"/>
      <c r="U22" s="407"/>
      <c r="V22" s="249"/>
      <c r="W22" s="401"/>
      <c r="X22" s="278"/>
      <c r="Y22" s="78"/>
      <c r="Z22" s="403"/>
      <c r="AA22" s="281"/>
      <c r="AB22" s="79"/>
      <c r="AC22" s="85"/>
      <c r="AD22" s="55" t="str">
        <f>IF(B22="","",(((C22+F22+H22+K22+Q22+N22+O22)*50))+((E22*10))+(((I22+J22+D22+G22+L22+M22+U22)*25)+(X22*25)+(Y22*25)+(Z22*25)+(AA22*25)+(AB22*40)+(AC22*50)+(R22*1)+(S22*1)+(T22*1)))</f>
        <v/>
      </c>
      <c r="AE22" s="55" t="str">
        <f>IF(B22="","",C22+F22+H22+K22+Q22+N22+O22+((I22+J22+D22+G22+U22)/2)+(R22/50)+(S22/50)+(T22/50)+(E22/5))</f>
        <v/>
      </c>
      <c r="AF22" s="56" t="str">
        <f>IF(B22="","",((AE22*50)/AD22))</f>
        <v/>
      </c>
      <c r="AG22" s="57" t="str">
        <f>IF(C22="","",((Z22)*25)/AD22)</f>
        <v/>
      </c>
      <c r="AH22" s="57" t="str">
        <f>IF(B22="","",(X22*25)/AD22)</f>
        <v/>
      </c>
      <c r="AI22" s="57" t="str">
        <f>IF(B22="","",(Y22*25)/AD22)</f>
        <v/>
      </c>
      <c r="AJ22" s="57" t="str">
        <f>IF(B22="","",(AA22*25)/AD22)</f>
        <v/>
      </c>
      <c r="AK22" s="58" t="str">
        <f>IF(B22="","",(AB22*40)/AD22)</f>
        <v/>
      </c>
      <c r="AL22" s="58" t="str">
        <f>IF(B22="","",(AC22*50)/AD22)</f>
        <v/>
      </c>
      <c r="AM22" s="59" t="str">
        <f>IF(B22="","",B22)</f>
        <v/>
      </c>
      <c r="AN22" s="233"/>
      <c r="AO22" s="82"/>
      <c r="AP22" s="234"/>
      <c r="AQ22" s="63" t="str">
        <f>IF(AN22="","",AN22/AO22)</f>
        <v/>
      </c>
      <c r="AR22" s="64" t="str">
        <f>IF(AN22="","",(AD22/AN22)/1000)</f>
        <v/>
      </c>
      <c r="AS22" s="64" t="str">
        <f>IF(AN22="","",AR22*24)</f>
        <v/>
      </c>
      <c r="AT22" s="65" t="str">
        <f>IF(AN22="","",(AD22/1000)*100%/AS22)</f>
        <v/>
      </c>
      <c r="AU22" s="64" t="str">
        <f>IF(AN22="","",(AE22/AN22))</f>
        <v/>
      </c>
      <c r="AV22" s="229" t="str">
        <f>IF(AN22="","",(AD22/AO22)/1000)</f>
        <v/>
      </c>
      <c r="AW22" s="714"/>
      <c r="AX22" s="714"/>
      <c r="AY22" s="714"/>
      <c r="AZ22" s="723"/>
      <c r="BA22" s="714"/>
      <c r="BB22" s="725"/>
      <c r="BC22" s="727"/>
      <c r="BD22" s="727"/>
      <c r="BE22" s="727"/>
      <c r="BF22" s="729"/>
    </row>
    <row r="23" spans="1:58" customHeight="1" ht="13.9">
      <c r="A23" s="485" t="str">
        <f>IF(B23="","",1+A22)</f>
        <v/>
      </c>
      <c r="B23" s="68"/>
      <c r="C23" s="69"/>
      <c r="D23" s="70"/>
      <c r="E23" s="76"/>
      <c r="F23" s="70"/>
      <c r="G23" s="76"/>
      <c r="H23" s="70"/>
      <c r="I23" s="76"/>
      <c r="J23" s="76"/>
      <c r="K23" s="70"/>
      <c r="L23" s="494"/>
      <c r="M23" s="494"/>
      <c r="N23" s="76"/>
      <c r="O23" s="76"/>
      <c r="P23" s="467"/>
      <c r="Q23" s="412"/>
      <c r="R23" s="410"/>
      <c r="S23" s="242"/>
      <c r="T23" s="401"/>
      <c r="U23" s="407"/>
      <c r="V23" s="249"/>
      <c r="W23" s="401"/>
      <c r="X23" s="278"/>
      <c r="Y23" s="78"/>
      <c r="Z23" s="403"/>
      <c r="AA23" s="281"/>
      <c r="AB23" s="79"/>
      <c r="AC23" s="85"/>
      <c r="AD23" s="55"/>
      <c r="AE23" s="55" t="str">
        <f>IF(B23="","",C23+F23+H23+K23+Q23+N23+O23+((I23+J23+D23+G23+U23)/2)+(R23/50)+(S23/50)+(T23/50)+(E23/5))</f>
        <v/>
      </c>
      <c r="AF23" s="56" t="str">
        <f>IF(B23="","",((AE23*50)/AD23))</f>
        <v/>
      </c>
      <c r="AG23" s="57" t="str">
        <f>IF(C23="","",((Z23)*25)/AD23)</f>
        <v/>
      </c>
      <c r="AH23" s="57" t="str">
        <f>IF(B23="","",(X23*25)/AD23)</f>
        <v/>
      </c>
      <c r="AI23" s="57" t="str">
        <f>IF(B23="","",(Y23*25)/AD23)</f>
        <v/>
      </c>
      <c r="AJ23" s="57" t="str">
        <f>IF(B23="","",(AA23*25)/AD23)</f>
        <v/>
      </c>
      <c r="AK23" s="58" t="str">
        <f>IF(B23="","",(AB23*40)/AD23)</f>
        <v/>
      </c>
      <c r="AL23" s="58" t="str">
        <f>IF(B23="","",(AC23*50)/AD23)</f>
        <v/>
      </c>
      <c r="AM23" s="59" t="str">
        <f>IF(B23="","",B23)</f>
        <v/>
      </c>
      <c r="AN23" s="233"/>
      <c r="AO23" s="82"/>
      <c r="AP23" s="234"/>
      <c r="AQ23" s="63" t="str">
        <f>IF(AN23="","",AN23/AO23)</f>
        <v/>
      </c>
      <c r="AR23" s="64" t="str">
        <f>IF(AN23="","",(AD23/AN23)/1000)</f>
        <v/>
      </c>
      <c r="AS23" s="64" t="str">
        <f>IF(AN23="","",AR23*24)</f>
        <v/>
      </c>
      <c r="AT23" s="65" t="str">
        <f>IF(AN23="","",(AD23/1000)*100%/AS23)</f>
        <v/>
      </c>
      <c r="AU23" s="64" t="str">
        <f>IF(AN23="","",(AE23/AN23))</f>
        <v/>
      </c>
      <c r="AV23" s="229" t="str">
        <f>IF(AN23="","",(AD23/AO23)/1000)</f>
        <v/>
      </c>
      <c r="AW23" s="714"/>
      <c r="AX23" s="714"/>
      <c r="AY23" s="714"/>
      <c r="AZ23" s="723"/>
      <c r="BA23" s="714"/>
      <c r="BB23" s="725"/>
      <c r="BC23" s="727"/>
      <c r="BD23" s="727"/>
      <c r="BE23" s="727"/>
      <c r="BF23" s="729"/>
    </row>
    <row r="24" spans="1:58" customHeight="1" ht="13.9">
      <c r="A24" s="485" t="str">
        <f>IF(B24="","",1+A23)</f>
        <v/>
      </c>
      <c r="B24" s="68"/>
      <c r="C24" s="69"/>
      <c r="D24" s="70"/>
      <c r="E24" s="76"/>
      <c r="F24" s="70"/>
      <c r="G24" s="76"/>
      <c r="H24" s="70"/>
      <c r="I24" s="76"/>
      <c r="J24" s="76"/>
      <c r="K24" s="70"/>
      <c r="L24" s="494"/>
      <c r="M24" s="494"/>
      <c r="N24" s="76"/>
      <c r="O24" s="76"/>
      <c r="P24" s="467"/>
      <c r="Q24" s="412"/>
      <c r="R24" s="410"/>
      <c r="S24" s="242"/>
      <c r="T24" s="401"/>
      <c r="U24" s="407"/>
      <c r="V24" s="249"/>
      <c r="W24" s="401"/>
      <c r="X24" s="278"/>
      <c r="Y24" s="78"/>
      <c r="Z24" s="403"/>
      <c r="AA24" s="281"/>
      <c r="AB24" s="79"/>
      <c r="AC24" s="85"/>
      <c r="AD24" s="55" t="str">
        <f>IF(B24="","",(((C24+F24+H24+K24+Q24+N24+O24)*50))+((E24*10))+(((I24+J24+D24+G24+L24+M24+U24)*25)+(X24*25)+(Y24*25)+(Z24*25)+(AA24*25)+(AB24*40)+(AC24*50)+(R24*1)+(S24*1)+(T24*1)))</f>
        <v/>
      </c>
      <c r="AE24" s="55" t="str">
        <f>IF(B24="","",C24+F24+H24+K24+Q24+N24+O24+((I24+J24+D24+G24+U24)/2)+(R24/50)+(S24/50)+(T24/50)+(E24/5))</f>
        <v/>
      </c>
      <c r="AF24" s="56" t="str">
        <f>IF(B24="","",((AE24*50)/AD24))</f>
        <v/>
      </c>
      <c r="AG24" s="57" t="str">
        <f>IF(C24="","",((Z24)*25)/AD24)</f>
        <v/>
      </c>
      <c r="AH24" s="57" t="str">
        <f>IF(B24="","",(X24*25)/AD24)</f>
        <v/>
      </c>
      <c r="AI24" s="57" t="str">
        <f>IF(B24="","",(Y24*25)/AD24)</f>
        <v/>
      </c>
      <c r="AJ24" s="57" t="str">
        <f>IF(B24="","",(AA24*25)/AD24)</f>
        <v/>
      </c>
      <c r="AK24" s="58" t="str">
        <f>IF(B24="","",(AB24*40)/AD24)</f>
        <v/>
      </c>
      <c r="AL24" s="58" t="str">
        <f>IF(B24="","",(AC24*50)/AD24)</f>
        <v/>
      </c>
      <c r="AM24" s="59" t="str">
        <f>IF(B24="","",B24)</f>
        <v/>
      </c>
      <c r="AN24" s="233"/>
      <c r="AO24" s="82"/>
      <c r="AP24" s="234"/>
      <c r="AQ24" s="63" t="str">
        <f>IF(AN24="","",AN24/AO24)</f>
        <v/>
      </c>
      <c r="AR24" s="64" t="str">
        <f>IF(AN24="","",(AD24/AN24)/1000)</f>
        <v/>
      </c>
      <c r="AS24" s="64" t="str">
        <f>IF(AN24="","",AR24*24)</f>
        <v/>
      </c>
      <c r="AT24" s="65" t="str">
        <f>IF(AN24="","",(AD24/1000)*100%/AS24)</f>
        <v/>
      </c>
      <c r="AU24" s="64" t="str">
        <f>IF(AN24="","",(AE24/AN24))</f>
        <v/>
      </c>
      <c r="AV24" s="229" t="str">
        <f>IF(AN24="","",(AD24/AO24)/1000)</f>
        <v/>
      </c>
      <c r="AW24" s="714"/>
      <c r="AX24" s="714"/>
      <c r="AY24" s="714"/>
      <c r="AZ24" s="723"/>
      <c r="BA24" s="714"/>
      <c r="BB24" s="725"/>
      <c r="BC24" s="727"/>
      <c r="BD24" s="727"/>
      <c r="BE24" s="727"/>
      <c r="BF24" s="729"/>
    </row>
    <row r="25" spans="1:58" customHeight="1" ht="13.9">
      <c r="A25" s="485"/>
      <c r="B25" s="68"/>
      <c r="C25" s="415"/>
      <c r="D25" s="70"/>
      <c r="E25" s="76"/>
      <c r="F25" s="70"/>
      <c r="G25" s="76"/>
      <c r="H25" s="70"/>
      <c r="I25" s="76"/>
      <c r="J25" s="76"/>
      <c r="K25" s="70"/>
      <c r="L25" s="494"/>
      <c r="M25" s="494"/>
      <c r="N25" s="76"/>
      <c r="O25" s="76"/>
      <c r="P25" s="467"/>
      <c r="Q25" s="412"/>
      <c r="R25" s="410"/>
      <c r="S25" s="242"/>
      <c r="T25" s="401"/>
      <c r="U25" s="407"/>
      <c r="V25" s="249"/>
      <c r="W25" s="401"/>
      <c r="X25" s="278"/>
      <c r="Y25" s="78"/>
      <c r="Z25" s="403"/>
      <c r="AA25" s="281"/>
      <c r="AB25" s="79"/>
      <c r="AC25" s="85"/>
      <c r="AD25" s="55" t="str">
        <f>IF(B25="","",(((C25+F25+H25+K25+Q25+N25+O25)*50))+((E25*10))+(((I25+J25+D25+G25+L25+M25+U25)*25)+(X25*25)+(Y25*25)+(Z25*25)+(AA25*25)+(AB25*40)+(AC25*50)+(R25*1)+(S25*1)+(T25*1)))</f>
        <v/>
      </c>
      <c r="AE25" s="55" t="str">
        <f>IF(B25="","",C25+F25+H25+K25+Q25+N25+O25+((I25+J25+D25+G25+U25)/2)+(R25/50)+(S25/50)+(T25/50)+(E25/5))</f>
        <v/>
      </c>
      <c r="AF25" s="56" t="str">
        <f>IF(B25="","",((AE25*50)/AD25))</f>
        <v/>
      </c>
      <c r="AG25" s="57" t="str">
        <f>IF(C25="","",((Z25)*25)/AD25)</f>
        <v/>
      </c>
      <c r="AH25" s="57" t="str">
        <f>IF(B25="","",(X25*25)/AD25)</f>
        <v/>
      </c>
      <c r="AI25" s="57" t="str">
        <f>IF(B25="","",(Y25*25)/AD25)</f>
        <v/>
      </c>
      <c r="AJ25" s="57" t="str">
        <f>IF(B25="","",(AA25*25)/AD25)</f>
        <v/>
      </c>
      <c r="AK25" s="58" t="str">
        <f>IF(B25="","",(AB25*40)/AD25)</f>
        <v/>
      </c>
      <c r="AL25" s="58" t="str">
        <f>IF(B25="","",(AC25*50)/AD25)</f>
        <v/>
      </c>
      <c r="AM25" s="59" t="str">
        <f>IF(B25="","",B25)</f>
        <v/>
      </c>
      <c r="AN25" s="233"/>
      <c r="AO25" s="82"/>
      <c r="AP25" s="234"/>
      <c r="AQ25" s="63" t="str">
        <f>IF(AN25="","",AN25/AO25)</f>
        <v/>
      </c>
      <c r="AR25" s="64" t="str">
        <f>IF(AN25="","",(AD25/AN25)/1000)</f>
        <v/>
      </c>
      <c r="AS25" s="64" t="str">
        <f>IF(AN25="","",AR25*24)</f>
        <v/>
      </c>
      <c r="AT25" s="65" t="str">
        <f>IF(AN25="","",(AD25/1000)*100%/AS25)</f>
        <v/>
      </c>
      <c r="AU25" s="64" t="str">
        <f>IF(AN25="","",(AE25/AN25))</f>
        <v/>
      </c>
      <c r="AV25" s="492" t="str">
        <f>IF(AN25="","",(AD25/AO25)/1000)</f>
        <v/>
      </c>
      <c r="AW25" s="714"/>
      <c r="AX25" s="714"/>
      <c r="AY25" s="714"/>
      <c r="AZ25" s="723"/>
      <c r="BA25" s="714"/>
      <c r="BB25" s="725"/>
      <c r="BC25" s="727"/>
      <c r="BD25" s="727"/>
      <c r="BE25" s="727"/>
      <c r="BF25" s="729"/>
    </row>
    <row r="26" spans="1:58" customHeight="1" ht="13.9">
      <c r="A26" s="485"/>
      <c r="B26" s="68"/>
      <c r="C26" s="69"/>
      <c r="D26" s="70"/>
      <c r="E26" s="76"/>
      <c r="F26" s="70"/>
      <c r="G26" s="76"/>
      <c r="H26" s="70"/>
      <c r="I26" s="76"/>
      <c r="J26" s="76"/>
      <c r="K26" s="70"/>
      <c r="L26" s="494"/>
      <c r="M26" s="494"/>
      <c r="N26" s="76"/>
      <c r="O26" s="76"/>
      <c r="P26" s="467"/>
      <c r="Q26" s="412"/>
      <c r="R26" s="410"/>
      <c r="S26" s="242"/>
      <c r="T26" s="401"/>
      <c r="U26" s="407"/>
      <c r="V26" s="249"/>
      <c r="W26" s="401"/>
      <c r="X26" s="278"/>
      <c r="Y26" s="78"/>
      <c r="Z26" s="403"/>
      <c r="AA26" s="281"/>
      <c r="AB26" s="79"/>
      <c r="AC26" s="85"/>
      <c r="AD26" s="55" t="str">
        <f>IF(B26="","",(((C26+F26+H26+K26+Q26+N26+O26)*50))+((E26*10))+(((I26+J26+D26+G26+L26+M26+U26)*25)+(X26*25)+(Y26*25)+(Z26*25)+(AA26*25)+(AB26*40)+(AC26*50)+(R26*1)+(S26*1)+(T26*1)))</f>
        <v/>
      </c>
      <c r="AE26" s="55" t="str">
        <f>IF(B26="","",C26+F26+H26+K26+Q26+N26+O26+((I26+J26+D26+G26+U26)/2)+(R26/50)+(S26/50)+(T26/50)+(E26/5))</f>
        <v/>
      </c>
      <c r="AF26" s="56" t="str">
        <f>IF(B26="","",((AE26*50)/AD26))</f>
        <v/>
      </c>
      <c r="AG26" s="57" t="str">
        <f>IF(C26="","",((Z26)*25)/AD26)</f>
        <v/>
      </c>
      <c r="AH26" s="57" t="str">
        <f>IF(B26="","",(X26*25)/AD26)</f>
        <v/>
      </c>
      <c r="AI26" s="57" t="str">
        <f>IF(B26="","",(Y26*25)/AD26)</f>
        <v/>
      </c>
      <c r="AJ26" s="57" t="str">
        <f>IF(B26="","",(AA26*25)/AD26)</f>
        <v/>
      </c>
      <c r="AK26" s="58" t="str">
        <f>IF(B26="","",(AB26*40)/AD26)</f>
        <v/>
      </c>
      <c r="AL26" s="58" t="str">
        <f>IF(B26="","",(AC26*50)/AD26)</f>
        <v/>
      </c>
      <c r="AM26" s="59" t="str">
        <f>IF(B26="","",B26)</f>
        <v/>
      </c>
      <c r="AN26" s="233"/>
      <c r="AO26" s="82"/>
      <c r="AP26" s="234"/>
      <c r="AQ26" s="63" t="str">
        <f>IF(AN26="","",AN26/AO26)</f>
        <v/>
      </c>
      <c r="AR26" s="64" t="str">
        <f>IF(AN26="","",(AD26/AN26)/1000)</f>
        <v/>
      </c>
      <c r="AS26" s="64" t="str">
        <f>IF(AN26="","",AR26*24)</f>
        <v/>
      </c>
      <c r="AT26" s="65" t="str">
        <f>IF(AN26="","",(AD26/1000)*100%/AS26)</f>
        <v/>
      </c>
      <c r="AU26" s="64" t="str">
        <f>IF(AN26="","",(AE26/AN26))</f>
        <v/>
      </c>
      <c r="AV26" s="229" t="str">
        <f>IF(AN26="","",(AD26/AO26)/1000)</f>
        <v/>
      </c>
      <c r="AW26" s="714"/>
      <c r="AX26" s="714"/>
      <c r="AY26" s="714"/>
      <c r="AZ26" s="723"/>
      <c r="BA26" s="714"/>
      <c r="BB26" s="725"/>
      <c r="BC26" s="727"/>
      <c r="BD26" s="727"/>
      <c r="BE26" s="727"/>
      <c r="BF26" s="729"/>
    </row>
    <row r="27" spans="1:58" customHeight="1" ht="13.9">
      <c r="A27" s="485"/>
      <c r="B27" s="68"/>
      <c r="C27" s="69"/>
      <c r="D27" s="70"/>
      <c r="E27" s="76"/>
      <c r="F27" s="70"/>
      <c r="G27" s="76"/>
      <c r="H27" s="70"/>
      <c r="I27" s="76"/>
      <c r="J27" s="76"/>
      <c r="K27" s="70"/>
      <c r="L27" s="494"/>
      <c r="M27" s="494"/>
      <c r="N27" s="76"/>
      <c r="O27" s="76"/>
      <c r="P27" s="467"/>
      <c r="Q27" s="412"/>
      <c r="R27" s="410"/>
      <c r="S27" s="242"/>
      <c r="T27" s="401"/>
      <c r="U27" s="407"/>
      <c r="V27" s="249"/>
      <c r="W27" s="401"/>
      <c r="X27" s="278"/>
      <c r="Y27" s="78"/>
      <c r="Z27" s="403"/>
      <c r="AA27" s="281"/>
      <c r="AB27" s="79"/>
      <c r="AC27" s="85"/>
      <c r="AD27" s="55" t="str">
        <f>IF(B27="","",(((C27+F27+H27+K27+Q27+N27+O27)*50))+((E27*10))+(((I27+J27+D27+G27+L27+M27+U27)*25)+(X27*25)+(Y27*25)+(Z27*25)+(AA27*25)+(AB27*40)+(AC27*50)+(R27*1)+(S27*1)+(T27*1)))</f>
        <v/>
      </c>
      <c r="AE27" s="55" t="str">
        <f>IF(B27="","",C27+F27+H27+K27+Q27+N27+O27+((I27+J27+D27+G27+U27)/2)+(R27/50)+(S27/50)+(T27/50)+(E27/5))</f>
        <v/>
      </c>
      <c r="AF27" s="56" t="str">
        <f>IF(B27="","",((AE27*50)/AD27))</f>
        <v/>
      </c>
      <c r="AG27" s="57" t="str">
        <f>IF(C27="","",((Z27)*25)/AD27)</f>
        <v/>
      </c>
      <c r="AH27" s="57" t="str">
        <f>IF(B27="","",(X27*25)/AD27)</f>
        <v/>
      </c>
      <c r="AI27" s="57" t="str">
        <f>IF(B27="","",(Y27*25)/AD27)</f>
        <v/>
      </c>
      <c r="AJ27" s="57" t="str">
        <f>IF(B27="","",(AA27*25)/AD27)</f>
        <v/>
      </c>
      <c r="AK27" s="58" t="str">
        <f>IF(B27="","",(AB27*40)/AD27)</f>
        <v/>
      </c>
      <c r="AL27" s="58" t="str">
        <f>IF(B27="","",(AC27*50)/AD27)</f>
        <v/>
      </c>
      <c r="AM27" s="59" t="str">
        <f>IF(B27="","",B27)</f>
        <v/>
      </c>
      <c r="AN27" s="233"/>
      <c r="AO27" s="82"/>
      <c r="AP27" s="234"/>
      <c r="AQ27" s="63" t="str">
        <f>IF(AN27="","",AN27/AO27)</f>
        <v/>
      </c>
      <c r="AR27" s="64" t="str">
        <f>IF(AN27="","",(AD27/AN27)/1000)</f>
        <v/>
      </c>
      <c r="AS27" s="64" t="str">
        <f>IF(AN27="","",AR27*24)</f>
        <v/>
      </c>
      <c r="AT27" s="65" t="str">
        <f>IF(AN27="","",(AD27/1000)*100%/AS27)</f>
        <v/>
      </c>
      <c r="AU27" s="64" t="str">
        <f>IF(AN27="","",(AE27/AN27))</f>
        <v/>
      </c>
      <c r="AV27" s="229" t="str">
        <f>IF(AN27="","",(AD27/AO27)/1000)</f>
        <v/>
      </c>
      <c r="AW27" s="714"/>
      <c r="AX27" s="714"/>
      <c r="AY27" s="714"/>
      <c r="AZ27" s="723"/>
      <c r="BA27" s="714"/>
      <c r="BB27" s="725"/>
      <c r="BC27" s="727"/>
      <c r="BD27" s="727"/>
      <c r="BE27" s="727"/>
      <c r="BF27" s="729"/>
    </row>
    <row r="28" spans="1:58">
      <c r="A28" s="41"/>
      <c r="B28" s="68"/>
      <c r="C28" s="69"/>
      <c r="D28" s="70"/>
      <c r="E28" s="76"/>
      <c r="F28" s="70"/>
      <c r="G28" s="76"/>
      <c r="H28" s="70"/>
      <c r="I28" s="75"/>
      <c r="J28" s="75"/>
      <c r="K28" s="70"/>
      <c r="L28" s="494"/>
      <c r="M28" s="494"/>
      <c r="N28" s="76"/>
      <c r="O28" s="76"/>
      <c r="P28" s="467"/>
      <c r="Q28" s="412"/>
      <c r="R28" s="410"/>
      <c r="S28" s="242"/>
      <c r="T28" s="401"/>
      <c r="U28" s="407"/>
      <c r="V28" s="249"/>
      <c r="W28" s="401"/>
      <c r="X28" s="278"/>
      <c r="Y28" s="78"/>
      <c r="Z28" s="403"/>
      <c r="AA28" s="281"/>
      <c r="AB28" s="79"/>
      <c r="AC28" s="85"/>
      <c r="AD28" s="55" t="str">
        <f>IF(B28="","",(((C28+F28+H28+K28+Q28+N28+O28)*50))+((E28*10))+(((I28+J28+D28+G28+L28+M28+U28)*25)+(X28*25)+(Y28*25)+(Z28*25)+(AA28*25)+(AB28*40)+(AC28*50)+(R28*1)+(S28*1)+(T28*1)))</f>
        <v/>
      </c>
      <c r="AE28" s="55" t="str">
        <f>IF(B28="","",C28+F28+H28+K28+Q28+N28+O28+((I28+J28+D28+G28+U28)/2)+(R28/50)+(S28/50)+(T28/50)+(E28/5))</f>
        <v/>
      </c>
      <c r="AF28" s="56" t="str">
        <f>IF(B28="","",((AE28*50)/AD28))</f>
        <v/>
      </c>
      <c r="AG28" s="57" t="str">
        <f>IF(C28="","",((Z28)*25)/AD28)</f>
        <v/>
      </c>
      <c r="AH28" s="57" t="str">
        <f>IF(B28="","",(X28*25)/AD28)</f>
        <v/>
      </c>
      <c r="AI28" s="57" t="str">
        <f>IF(B28="","",(Y28*25)/AD28)</f>
        <v/>
      </c>
      <c r="AJ28" s="57" t="str">
        <f>IF(B28="","",(AA28*25)/AD28)</f>
        <v/>
      </c>
      <c r="AK28" s="58" t="str">
        <f>IF(B28="","",(AB28*40)/AD28)</f>
        <v/>
      </c>
      <c r="AL28" s="58" t="str">
        <f>IF(B28="","",(AC28*50)/AD28)</f>
        <v/>
      </c>
      <c r="AM28" s="59" t="str">
        <f>IF(B28="","",B28)</f>
        <v/>
      </c>
      <c r="AN28" s="233"/>
      <c r="AO28" s="82"/>
      <c r="AP28" s="234"/>
      <c r="AQ28" s="63" t="str">
        <f>IF(AN28="","",AN28/AO28)</f>
        <v/>
      </c>
      <c r="AR28" s="64" t="str">
        <f>IF(AN28="","",(AD28/AN28)/1000)</f>
        <v/>
      </c>
      <c r="AS28" s="64" t="str">
        <f>IF(AN28="","",AR28*24)</f>
        <v/>
      </c>
      <c r="AT28" s="65" t="str">
        <f>IF(AN28="","",(AD28/1000)*100%/AS28)</f>
        <v/>
      </c>
      <c r="AU28" s="64" t="str">
        <f>IF(AN28="","",(AE28/AN28))</f>
        <v/>
      </c>
      <c r="AV28" s="229" t="str">
        <f>IF(AN28="","",(AD28/AO28)/1000)</f>
        <v/>
      </c>
      <c r="AW28" s="714"/>
      <c r="AX28" s="714"/>
      <c r="AY28" s="714"/>
      <c r="AZ28" s="723"/>
      <c r="BA28" s="714"/>
      <c r="BB28" s="725"/>
      <c r="BC28" s="727"/>
      <c r="BD28" s="727"/>
      <c r="BE28" s="727"/>
      <c r="BF28" s="729"/>
    </row>
    <row r="29" spans="1:58">
      <c r="A29" s="41"/>
      <c r="B29" s="68"/>
      <c r="C29" s="69"/>
      <c r="D29" s="70"/>
      <c r="E29" s="76"/>
      <c r="F29" s="70"/>
      <c r="G29" s="430"/>
      <c r="H29" s="70"/>
      <c r="I29" s="75"/>
      <c r="J29" s="75"/>
      <c r="K29" s="70"/>
      <c r="L29" s="494"/>
      <c r="M29" s="494"/>
      <c r="N29" s="76"/>
      <c r="O29" s="76"/>
      <c r="P29" s="467"/>
      <c r="Q29" s="412"/>
      <c r="R29" s="410"/>
      <c r="S29" s="242"/>
      <c r="T29" s="401"/>
      <c r="U29" s="407"/>
      <c r="V29" s="249"/>
      <c r="W29" s="401"/>
      <c r="X29" s="278"/>
      <c r="Y29" s="78"/>
      <c r="Z29" s="403"/>
      <c r="AA29" s="281"/>
      <c r="AB29" s="79"/>
      <c r="AC29" s="85"/>
      <c r="AD29" s="55" t="str">
        <f>IF(B29="","",(((C29+F29+H29+K29+Q29+N29+O29)*50))+((E29*10))+(((I29+J29+D29+G29+L29+M29+U29)*25)+(X29*25)+(Y29*25)+(Z29*25)+(AA29*25)+(AB29*40)+(AC29*50)+(R29*1)+(S29*1)+(T29*1)))</f>
        <v/>
      </c>
      <c r="AE29" s="55" t="str">
        <f>IF(B29="","",C29+F29+H29+K29+Q29+N29+O29+((I29+J29+D29+G29+U29)/2)+(R29/50)+(S29/50)+(T29/50)+(E29/5))</f>
        <v/>
      </c>
      <c r="AF29" s="56" t="str">
        <f>IF(B29="","",((AE29*50)/AD29))</f>
        <v/>
      </c>
      <c r="AG29" s="57" t="str">
        <f>IF(C29="","",((Z29)*25)/AD29)</f>
        <v/>
      </c>
      <c r="AH29" s="57" t="str">
        <f>IF(B29="","",(X29*25)/AD29)</f>
        <v/>
      </c>
      <c r="AI29" s="57" t="str">
        <f>IF(B29="","",(Y29*25)/AD29)</f>
        <v/>
      </c>
      <c r="AJ29" s="57" t="str">
        <f>IF(B29="","",(AA29*25)/AD29)</f>
        <v/>
      </c>
      <c r="AK29" s="58" t="str">
        <f>IF(B29="","",(AB29*40)/AD29)</f>
        <v/>
      </c>
      <c r="AL29" s="58" t="str">
        <f>IF(B29="","",(AC29*50)/AD29)</f>
        <v/>
      </c>
      <c r="AM29" s="59" t="str">
        <f>IF(B29="","",B29)</f>
        <v/>
      </c>
      <c r="AN29" s="233"/>
      <c r="AO29" s="82"/>
      <c r="AP29" s="234"/>
      <c r="AQ29" s="63" t="str">
        <f>IF(AN29="","",AN29/AO29)</f>
        <v/>
      </c>
      <c r="AR29" s="64" t="str">
        <f>IF(AN29="","",(AD29/AN29)/1000)</f>
        <v/>
      </c>
      <c r="AS29" s="64" t="str">
        <f>IF(AN29="","",AR29*24)</f>
        <v/>
      </c>
      <c r="AT29" s="65" t="str">
        <f>IF(AN29="","",(AD29/1000)*100%/AS29)</f>
        <v/>
      </c>
      <c r="AU29" s="64" t="str">
        <f>IF(AN29="","",(AE29/AN29))</f>
        <v/>
      </c>
      <c r="AV29" s="229" t="str">
        <f>IF(AN29="","",(AD29/AO29)/1000)</f>
        <v/>
      </c>
      <c r="AW29" s="714"/>
      <c r="AX29" s="714"/>
      <c r="AY29" s="714"/>
      <c r="AZ29" s="723"/>
      <c r="BA29" s="714"/>
      <c r="BB29" s="725"/>
      <c r="BC29" s="727"/>
      <c r="BD29" s="727"/>
      <c r="BE29" s="727"/>
      <c r="BF29" s="729"/>
    </row>
    <row r="30" spans="1:58">
      <c r="A30" s="41" t="str">
        <f>IF(B30="","",1+A29)</f>
        <v/>
      </c>
      <c r="B30" s="425"/>
      <c r="C30" s="426"/>
      <c r="D30" s="427"/>
      <c r="E30" s="428"/>
      <c r="F30" s="460"/>
      <c r="G30" s="459"/>
      <c r="H30" s="427"/>
      <c r="I30" s="429"/>
      <c r="J30" s="429"/>
      <c r="K30" s="427"/>
      <c r="L30" s="495"/>
      <c r="M30" s="495"/>
      <c r="N30" s="430"/>
      <c r="O30" s="430"/>
      <c r="P30" s="468"/>
      <c r="Q30" s="431"/>
      <c r="R30" s="432"/>
      <c r="S30" s="433"/>
      <c r="T30" s="434"/>
      <c r="U30" s="435"/>
      <c r="V30" s="436"/>
      <c r="W30" s="434"/>
      <c r="X30" s="279"/>
      <c r="Y30" s="437"/>
      <c r="Z30" s="438"/>
      <c r="AA30" s="439"/>
      <c r="AB30" s="440"/>
      <c r="AC30" s="441"/>
      <c r="AD30" s="55" t="str">
        <f>IF(B30="","",(((C30+F30+H30+K30+Q30+N30+O30)*50))+((E30*10))+(((I30+J30+D30+G30+L30+M30+U30)*25)+(X30*25)+(Y30*25)+(Z30*25)+(AA30*25)+(AB30*40)+(AC30*50)+(R30*1)+(S30*1)+(T30*1)))</f>
        <v/>
      </c>
      <c r="AE30" s="55" t="str">
        <f>IF(B30="","",C30+F30+H30+K30+Q30+N30+O30+((I30+J30+D30+G30+U30)/2)+(R30/50)+(S30/50)+(T30/50)+(E30/5))</f>
        <v/>
      </c>
      <c r="AF30" s="56" t="str">
        <f>IF(B30="","",((AE30*50)/AD30))</f>
        <v/>
      </c>
      <c r="AG30" s="57" t="str">
        <f>IF(C30="","",((Z30)*25)/AD30)</f>
        <v/>
      </c>
      <c r="AH30" s="57" t="str">
        <f>IF(B30="","",(X30*25)/AD30)</f>
        <v/>
      </c>
      <c r="AI30" s="57" t="str">
        <f>IF(B30="","",(Y30*25)/AD30)</f>
        <v/>
      </c>
      <c r="AJ30" s="57" t="str">
        <f>IF(B30="","",(AA30*25)/AD30)</f>
        <v/>
      </c>
      <c r="AK30" s="58" t="str">
        <f>IF(B30="","",(AB30*40)/AD30)</f>
        <v/>
      </c>
      <c r="AL30" s="58" t="str">
        <f>IF(B30="","",(AC30*50)/AD30)</f>
        <v/>
      </c>
      <c r="AM30" s="59" t="str">
        <f>IF(B30="","",B30)</f>
        <v/>
      </c>
      <c r="AN30" s="443"/>
      <c r="AO30" s="444"/>
      <c r="AP30" s="445"/>
      <c r="AQ30" s="63" t="str">
        <f>IF(AN30="","",AN30/AO30)</f>
        <v/>
      </c>
      <c r="AR30" s="64" t="str">
        <f>IF(AN30="","",(AD30/AN30)/1000)</f>
        <v/>
      </c>
      <c r="AS30" s="64" t="str">
        <f>IF(AN30="","",AR30*24)</f>
        <v/>
      </c>
      <c r="AT30" s="65" t="str">
        <f>IF(AN30="","",(AD30/1000)*100%/AS30)</f>
        <v/>
      </c>
      <c r="AU30" s="64" t="str">
        <f>IF(AN30="","",(AE30/AN30))</f>
        <v/>
      </c>
      <c r="AV30" s="229" t="str">
        <f>IF(AN30="","",(AD30/AO30)/1000)</f>
        <v/>
      </c>
      <c r="AW30" s="714"/>
      <c r="AX30" s="714"/>
      <c r="AY30" s="714"/>
      <c r="AZ30" s="723"/>
      <c r="BA30" s="714"/>
      <c r="BB30" s="725"/>
      <c r="BC30" s="727"/>
      <c r="BD30" s="727"/>
      <c r="BE30" s="727"/>
      <c r="BF30" s="729"/>
    </row>
    <row r="31" spans="1:58">
      <c r="A31" s="41" t="str">
        <f>IF(B31="","",1+A30)</f>
        <v/>
      </c>
      <c r="B31" s="425"/>
      <c r="C31" s="426"/>
      <c r="D31" s="427"/>
      <c r="E31" s="428"/>
      <c r="F31" s="460"/>
      <c r="G31" s="428"/>
      <c r="H31" s="427"/>
      <c r="I31" s="429"/>
      <c r="J31" s="429"/>
      <c r="K31" s="427"/>
      <c r="L31" s="495"/>
      <c r="M31" s="495"/>
      <c r="N31" s="430"/>
      <c r="O31" s="430"/>
      <c r="P31" s="468"/>
      <c r="Q31" s="431"/>
      <c r="R31" s="432"/>
      <c r="S31" s="433"/>
      <c r="T31" s="434"/>
      <c r="U31" s="435"/>
      <c r="V31" s="436"/>
      <c r="W31" s="434"/>
      <c r="X31" s="279"/>
      <c r="Y31" s="437"/>
      <c r="Z31" s="438"/>
      <c r="AA31" s="439"/>
      <c r="AB31" s="440"/>
      <c r="AC31" s="441"/>
      <c r="AD31" s="55" t="str">
        <f>IF(B31="","",(((C31+F31+H31+K31+Q31+N31+O31)*50))+((E31*10))+(((I31+J31+D31+G31+L31+M31+U31)*25)+(X31*25)+(Y31*25)+(Z31*25)+(AA31*25)+(AB31*40)+(AC31*50)+(R31*1)+(S31*1)+(T31*1)))</f>
        <v/>
      </c>
      <c r="AE31" s="55" t="str">
        <f>IF(B31="","",C31+F31+H31+K31+Q31+N31+O31+((I31+J31+D31+G31+U31)/2)+(R31/50)+(S31/50)+(T31/50)+(E31/5))</f>
        <v/>
      </c>
      <c r="AF31" s="56" t="str">
        <f>IF(B31="","",((AE31*50)/AD31))</f>
        <v/>
      </c>
      <c r="AG31" s="57" t="str">
        <f>IF(C31="","",((Z31)*25)/AD31)</f>
        <v/>
      </c>
      <c r="AH31" s="57" t="str">
        <f>IF(B31="","",(X31*25)/AD31)</f>
        <v/>
      </c>
      <c r="AI31" s="57" t="str">
        <f>IF(B31="","",(Y31*25)/AD31)</f>
        <v/>
      </c>
      <c r="AJ31" s="57" t="str">
        <f>IF(B31="","",(AA31*25)/AD31)</f>
        <v/>
      </c>
      <c r="AK31" s="58" t="str">
        <f>IF(B31="","",(AB31*40)/AD31)</f>
        <v/>
      </c>
      <c r="AL31" s="58" t="str">
        <f>IF(B31="","",(AC31*50)/AD31)</f>
        <v/>
      </c>
      <c r="AM31" s="59" t="str">
        <f>IF(B31="","",B31)</f>
        <v/>
      </c>
      <c r="AN31" s="443"/>
      <c r="AO31" s="444"/>
      <c r="AP31" s="445"/>
      <c r="AQ31" s="63" t="str">
        <f>IF(AN31="","",AN31/AO31)</f>
        <v/>
      </c>
      <c r="AR31" s="64" t="str">
        <f>IF(AN31="","",(AD31/AN31)/1000)</f>
        <v/>
      </c>
      <c r="AS31" s="64" t="str">
        <f>IF(AN31="","",AR31*24)</f>
        <v/>
      </c>
      <c r="AT31" s="65" t="str">
        <f>IF(AN31="","",(AD31/1000)*100%/AS31)</f>
        <v/>
      </c>
      <c r="AU31" s="64" t="str">
        <f>IF(AN31="","",(AE31/AN31))</f>
        <v/>
      </c>
      <c r="AV31" s="229" t="str">
        <f>IF(AN31="","",(AD31/AO31)/1000)</f>
        <v/>
      </c>
      <c r="AW31" s="714"/>
      <c r="AX31" s="714"/>
      <c r="AY31" s="714"/>
      <c r="AZ31" s="723"/>
      <c r="BA31" s="714"/>
      <c r="BB31" s="725"/>
      <c r="BC31" s="727"/>
      <c r="BD31" s="727"/>
      <c r="BE31" s="727"/>
      <c r="BF31" s="729"/>
    </row>
    <row r="32" spans="1:58">
      <c r="A32" s="41" t="str">
        <f>IF(B32="","",1+A31)</f>
        <v/>
      </c>
      <c r="B32" s="425"/>
      <c r="C32" s="426"/>
      <c r="D32" s="427"/>
      <c r="E32" s="428"/>
      <c r="F32" s="460"/>
      <c r="G32" s="428"/>
      <c r="H32" s="427"/>
      <c r="I32" s="429"/>
      <c r="J32" s="429"/>
      <c r="K32" s="427"/>
      <c r="L32" s="495"/>
      <c r="M32" s="495"/>
      <c r="N32" s="430"/>
      <c r="O32" s="430"/>
      <c r="P32" s="468"/>
      <c r="Q32" s="431"/>
      <c r="R32" s="432"/>
      <c r="S32" s="433"/>
      <c r="T32" s="434"/>
      <c r="U32" s="435"/>
      <c r="V32" s="436"/>
      <c r="W32" s="434"/>
      <c r="X32" s="279"/>
      <c r="Y32" s="437"/>
      <c r="Z32" s="438"/>
      <c r="AA32" s="439"/>
      <c r="AB32" s="440"/>
      <c r="AC32" s="441"/>
      <c r="AD32" s="55" t="str">
        <f>IF(B32="","",(((C32+F32+H32+K32+Q32+N32+O32)*50))+((E32*10))+(((I32+J32+D32+G32+L32+M32+U32)*25)+(X32*25)+(Y32*25)+(Z32*25)+(AA32*25)+(AB32*40)+(AC32*50)+(R32*1)+(S32*1)+(T32*1)))</f>
        <v/>
      </c>
      <c r="AE32" s="55" t="str">
        <f>IF(B32="","",C32+F32+H32+K32+Q32+N32+O32+((I32+J32+D32+G32+U32)/2)+(R32/50)+(S32/50)+(T32/50)+(E32/5))</f>
        <v/>
      </c>
      <c r="AF32" s="56" t="str">
        <f>IF(B32="","",((AE32*50)/AD32))</f>
        <v/>
      </c>
      <c r="AG32" s="57" t="str">
        <f>IF(C32="","",((Z32)*25)/AD32)</f>
        <v/>
      </c>
      <c r="AH32" s="57" t="str">
        <f>IF(B32="","",(X32*25)/AD32)</f>
        <v/>
      </c>
      <c r="AI32" s="57" t="str">
        <f>IF(B32="","",(Y32*25)/AD32)</f>
        <v/>
      </c>
      <c r="AJ32" s="57" t="str">
        <f>IF(B32="","",(AA32*25)/AD32)</f>
        <v/>
      </c>
      <c r="AK32" s="58" t="str">
        <f>IF(B32="","",(AB32*40)/AD32)</f>
        <v/>
      </c>
      <c r="AL32" s="58" t="str">
        <f>IF(B32="","",(AC32*50)/AD32)</f>
        <v/>
      </c>
      <c r="AM32" s="59" t="str">
        <f>IF(B32="","",B32)</f>
        <v/>
      </c>
      <c r="AN32" s="443"/>
      <c r="AO32" s="444"/>
      <c r="AP32" s="445"/>
      <c r="AQ32" s="63" t="str">
        <f>IF(AN32="","",AN32/AO32)</f>
        <v/>
      </c>
      <c r="AR32" s="64" t="str">
        <f>IF(AN32="","",(AD32/AN32)/1000)</f>
        <v/>
      </c>
      <c r="AS32" s="64" t="str">
        <f>IF(AN32="","",AR32*24)</f>
        <v/>
      </c>
      <c r="AT32" s="65" t="str">
        <f>IF(AN32="","",(AD32/1000)*100%/AS32)</f>
        <v/>
      </c>
      <c r="AU32" s="64" t="str">
        <f>IF(AN32="","",(AE32/AN32))</f>
        <v/>
      </c>
      <c r="AV32" s="229" t="str">
        <f>IF(AN32="","",(AD32/AO32)/1000)</f>
        <v/>
      </c>
      <c r="AW32" s="714"/>
      <c r="AX32" s="714"/>
      <c r="AY32" s="714"/>
      <c r="AZ32" s="723"/>
      <c r="BA32" s="714"/>
      <c r="BB32" s="725"/>
      <c r="BC32" s="727"/>
      <c r="BD32" s="727"/>
      <c r="BE32" s="727"/>
      <c r="BF32" s="729"/>
    </row>
    <row r="33" spans="1:58">
      <c r="A33" s="41" t="str">
        <f>IF(B33="","",1+A32)</f>
        <v/>
      </c>
      <c r="B33" s="425"/>
      <c r="C33" s="426"/>
      <c r="D33" s="427"/>
      <c r="E33" s="428"/>
      <c r="F33" s="460"/>
      <c r="G33" s="428"/>
      <c r="H33" s="427"/>
      <c r="I33" s="429"/>
      <c r="J33" s="429"/>
      <c r="K33" s="427"/>
      <c r="L33" s="495"/>
      <c r="M33" s="495"/>
      <c r="N33" s="430"/>
      <c r="O33" s="430"/>
      <c r="P33" s="468"/>
      <c r="Q33" s="431"/>
      <c r="R33" s="432"/>
      <c r="S33" s="433"/>
      <c r="T33" s="434"/>
      <c r="U33" s="435"/>
      <c r="V33" s="436"/>
      <c r="W33" s="434"/>
      <c r="X33" s="279"/>
      <c r="Y33" s="437"/>
      <c r="Z33" s="438"/>
      <c r="AA33" s="439"/>
      <c r="AB33" s="440"/>
      <c r="AC33" s="441"/>
      <c r="AD33" s="55" t="str">
        <f>IF(B33="","",(((C33+F33+H33+K33+Q33+N33+O33)*50))+((E33*10))+(((I33+J33+D33+G33+L33+M33+U33)*25)+(X33*25)+(Y33*25)+(Z33*25)+(AA33*25)+(AB33*40)+(AC33*50)+(R33*1)+(S33*1)+(T33*1)))</f>
        <v/>
      </c>
      <c r="AE33" s="55" t="str">
        <f>IF(B33="","",C33+F33+H33+K33+Q33+N33+O33+((I33+J33+D33+G33+U33)/2)+(R33/50)+(S33/50)+(T33/50)+(E33/5))</f>
        <v/>
      </c>
      <c r="AF33" s="56" t="str">
        <f>IF(B33="","",((AE33*50)/AD33))</f>
        <v/>
      </c>
      <c r="AG33" s="57" t="str">
        <f>IF(C33="","",((Z33)*25)/AD33)</f>
        <v/>
      </c>
      <c r="AH33" s="57" t="str">
        <f>IF(B33="","",(X33*25)/AD33)</f>
        <v/>
      </c>
      <c r="AI33" s="57" t="str">
        <f>IF(B33="","",(Y33*25)/AD33)</f>
        <v/>
      </c>
      <c r="AJ33" s="57" t="str">
        <f>IF(B33="","",(AA33*25)/AD33)</f>
        <v/>
      </c>
      <c r="AK33" s="58" t="str">
        <f>IF(B33="","",(AB33*40)/AD33)</f>
        <v/>
      </c>
      <c r="AL33" s="58" t="str">
        <f>IF(B33="","",(AC33*50)/AD33)</f>
        <v/>
      </c>
      <c r="AM33" s="59" t="str">
        <f>IF(B33="","",B33)</f>
        <v/>
      </c>
      <c r="AN33" s="443"/>
      <c r="AO33" s="444"/>
      <c r="AP33" s="445"/>
      <c r="AQ33" s="63" t="str">
        <f>IF(AN33="","",AN33/AO33)</f>
        <v/>
      </c>
      <c r="AR33" s="64" t="str">
        <f>IF(AN33="","",(AD33/AN33)/1000)</f>
        <v/>
      </c>
      <c r="AS33" s="64" t="str">
        <f>IF(AN33="","",AR33*24)</f>
        <v/>
      </c>
      <c r="AT33" s="65" t="str">
        <f>IF(AN33="","",(AD33/1000)*100%/AS33)</f>
        <v/>
      </c>
      <c r="AU33" s="64" t="str">
        <f>IF(AN33="","",(AE33/AN33))</f>
        <v/>
      </c>
      <c r="AV33" s="229" t="str">
        <f>IF(AN33="","",(AD33/AO33)/1000)</f>
        <v/>
      </c>
      <c r="AW33" s="714"/>
      <c r="AX33" s="714"/>
      <c r="AY33" s="714"/>
      <c r="AZ33" s="723"/>
      <c r="BA33" s="714"/>
      <c r="BB33" s="725"/>
      <c r="BC33" s="727"/>
      <c r="BD33" s="727"/>
      <c r="BE33" s="727"/>
      <c r="BF33" s="729"/>
    </row>
    <row r="34" spans="1:58">
      <c r="A34" s="41" t="str">
        <f>IF(B34="","",1+A33)</f>
        <v/>
      </c>
      <c r="B34" s="442"/>
      <c r="C34" s="426"/>
      <c r="D34" s="427"/>
      <c r="E34" s="428"/>
      <c r="F34" s="460"/>
      <c r="G34" s="428"/>
      <c r="H34" s="427"/>
      <c r="I34" s="429"/>
      <c r="J34" s="429"/>
      <c r="K34" s="427"/>
      <c r="L34" s="495"/>
      <c r="M34" s="495"/>
      <c r="N34" s="430"/>
      <c r="O34" s="430"/>
      <c r="P34" s="468"/>
      <c r="Q34" s="431"/>
      <c r="R34" s="432"/>
      <c r="S34" s="433"/>
      <c r="T34" s="434"/>
      <c r="U34" s="435"/>
      <c r="V34" s="436"/>
      <c r="W34" s="434"/>
      <c r="X34" s="279"/>
      <c r="Y34" s="437"/>
      <c r="Z34" s="438"/>
      <c r="AA34" s="439"/>
      <c r="AB34" s="440"/>
      <c r="AC34" s="441"/>
      <c r="AD34" s="55" t="str">
        <f>IF(B34="","",(((C34+F34+H34+K34+Q34+N34+O34)*50))+((E34*10))+(((I34+J34+D34+G34+L34+M34+U34)*25)+(X34*25)+(Y34*25)+(Z34*25)+(AA34*25)+(AB34*40)+(AC34*50)+(R34*1)+(S34*1)+(T34*1)))</f>
        <v/>
      </c>
      <c r="AE34" s="55" t="str">
        <f>IF(B34="","",C34+F34+H34+K34+Q34+N34+O34+((I34+J34+D34+G34+U34)/2)+(R34/50)+(S34/50)+(T34/50)+(E34/5))</f>
        <v/>
      </c>
      <c r="AF34" s="56" t="str">
        <f>IF(B34="","",((AE34*50)/AD34))</f>
        <v/>
      </c>
      <c r="AG34" s="57" t="str">
        <f>IF(C34="","",((Z34)*25)/AD34)</f>
        <v/>
      </c>
      <c r="AH34" s="57" t="str">
        <f>IF(B34="","",(X34*25)/AD34)</f>
        <v/>
      </c>
      <c r="AI34" s="57" t="str">
        <f>IF(B34="","",(Y34*25)/AD34)</f>
        <v/>
      </c>
      <c r="AJ34" s="57" t="str">
        <f>IF(B34="","",(AA34*25)/AD34)</f>
        <v/>
      </c>
      <c r="AK34" s="58" t="str">
        <f>IF(B34="","",(AB34*40)/AD34)</f>
        <v/>
      </c>
      <c r="AL34" s="58" t="str">
        <f>IF(B34="","",(AC34*50)/AD34)</f>
        <v/>
      </c>
      <c r="AM34" s="59" t="str">
        <f>IF(B34="","",B34)</f>
        <v/>
      </c>
      <c r="AN34" s="443"/>
      <c r="AO34" s="444"/>
      <c r="AP34" s="445"/>
      <c r="AQ34" s="63" t="str">
        <f>IF(AN34="","",AN34/AO34)</f>
        <v/>
      </c>
      <c r="AR34" s="64" t="str">
        <f>IF(AN34="","",(AD34/AN34)/1000)</f>
        <v/>
      </c>
      <c r="AS34" s="64" t="str">
        <f>IF(AN34="","",AR34*24)</f>
        <v/>
      </c>
      <c r="AT34" s="65" t="str">
        <f>IF(AN34="","",(AD34/1000)*100%/AS34)</f>
        <v/>
      </c>
      <c r="AU34" s="64" t="str">
        <f>IF(AN34="","",(AE34/AN34))</f>
        <v/>
      </c>
      <c r="AV34" s="229" t="str">
        <f>IF(AN34="","",(AD34/AO34)/1000)</f>
        <v/>
      </c>
      <c r="AW34" s="452"/>
      <c r="AX34" s="452"/>
      <c r="AY34" s="452"/>
      <c r="AZ34" s="144"/>
      <c r="BA34" s="452"/>
      <c r="BB34" s="455"/>
      <c r="BC34" s="142"/>
      <c r="BD34" s="142"/>
      <c r="BE34" s="142"/>
      <c r="BF34" s="283"/>
    </row>
    <row r="35" spans="1:58">
      <c r="A35" s="41" t="str">
        <f>IF(B35="","",1+A34)</f>
        <v/>
      </c>
      <c r="B35" s="95"/>
      <c r="C35" s="96"/>
      <c r="D35" s="387"/>
      <c r="E35" s="250"/>
      <c r="F35" s="461"/>
      <c r="G35" s="100"/>
      <c r="H35" s="97"/>
      <c r="I35" s="101"/>
      <c r="J35" s="101"/>
      <c r="K35" s="97"/>
      <c r="L35" s="496"/>
      <c r="M35" s="496"/>
      <c r="N35" s="102"/>
      <c r="O35" s="102"/>
      <c r="P35" s="469"/>
      <c r="Q35" s="413"/>
      <c r="R35" s="411"/>
      <c r="S35" s="243"/>
      <c r="T35" s="402"/>
      <c r="U35" s="408"/>
      <c r="V35" s="250"/>
      <c r="W35" s="402"/>
      <c r="X35" s="400"/>
      <c r="Y35" s="104"/>
      <c r="Z35" s="404"/>
      <c r="AA35" s="282"/>
      <c r="AB35" s="105"/>
      <c r="AC35" s="106"/>
      <c r="AD35" s="55" t="str">
        <f>IF(B35="","",(((C35+F35+H35+K35+Q35+N35+O35)*50))+((E35*10))+(((I35+J35+D35+G35+L35+M35+U35)*25)+(X35*25)+(Y35*25)+(Z35*25)+(AA35*25)+(AB35*40)+(AC35*50)+(R35*1)+(S35*1)+(T35*1)))</f>
        <v/>
      </c>
      <c r="AE35" s="55" t="str">
        <f>IF(B35="","",C35+F35+H35+K35+Q35+N35+O35+((I35+J35+D35+G35+U35)/2)+(R35/50)+(S35/50)+(T35/50)+(E35/5))</f>
        <v/>
      </c>
      <c r="AF35" s="56" t="str">
        <f>IF(B35="","",((AE35*50)/AD35))</f>
        <v/>
      </c>
      <c r="AG35" s="57" t="str">
        <f>IF(C35="","",((Z35)*25)/AD35)</f>
        <v/>
      </c>
      <c r="AH35" s="57" t="str">
        <f>IF(B35="","",(X35*25)/AD35)</f>
        <v/>
      </c>
      <c r="AI35" s="57" t="str">
        <f>IF(B35="","",(Y35*25)/AD35)</f>
        <v/>
      </c>
      <c r="AJ35" s="57" t="str">
        <f>IF(B35="","",(AA35*25)/AD35)</f>
        <v/>
      </c>
      <c r="AK35" s="58" t="str">
        <f>IF(B35="","",(AB35*40)/AD35)</f>
        <v/>
      </c>
      <c r="AL35" s="58" t="str">
        <f>IF(B35="","",(AC35*50)/AD35)</f>
        <v/>
      </c>
      <c r="AM35" s="59" t="str">
        <f>IF(B35="","",B35)</f>
        <v/>
      </c>
      <c r="AN35" s="446"/>
      <c r="AO35" s="447"/>
      <c r="AP35" s="383"/>
      <c r="AQ35" s="63" t="str">
        <f>IF(AN35="","",AN35/AO35)</f>
        <v/>
      </c>
      <c r="AR35" s="64" t="str">
        <f>IF(AN35="","",(AD35/AN35)/1000)</f>
        <v/>
      </c>
      <c r="AS35" s="64" t="str">
        <f>IF(AN35="","",AR35*24)</f>
        <v/>
      </c>
      <c r="AT35" s="65" t="str">
        <f>IF(AN35="","",(AD35/1000)*100%/AS35)</f>
        <v/>
      </c>
      <c r="AU35" s="64" t="str">
        <f>IF(AN35="","",(AE35/AN35))</f>
        <v/>
      </c>
      <c r="AV35" s="229" t="str">
        <f>IF(AN35="","",(AD35/AO35)/1000)</f>
        <v/>
      </c>
      <c r="AW35" s="453"/>
      <c r="AX35" s="453"/>
      <c r="AY35" s="453"/>
      <c r="AZ35" s="454"/>
      <c r="BA35" s="453"/>
      <c r="BB35" s="456"/>
      <c r="BC35" s="457"/>
      <c r="BD35" s="457"/>
      <c r="BE35" s="457"/>
      <c r="BF35" s="458"/>
    </row>
    <row r="36" spans="1:58">
      <c r="A36" s="114"/>
      <c r="B36" s="115" t="s">
        <v>67</v>
      </c>
      <c r="C36" s="536">
        <f>SUM(C4:C35)</f>
        <v>0</v>
      </c>
      <c r="D36" s="536">
        <f>SUM(D4:D35)</f>
        <v>0</v>
      </c>
      <c r="E36" s="536">
        <f>SUM(E4:E35)</f>
        <v>0</v>
      </c>
      <c r="F36" s="536">
        <f>SUM(F4:F35)</f>
        <v>0</v>
      </c>
      <c r="G36" s="536">
        <f>SUM(G4:G35)</f>
        <v>0</v>
      </c>
      <c r="H36" s="536">
        <f>SUM(H4:H35)</f>
        <v>0</v>
      </c>
      <c r="I36" s="536">
        <f>SUM(I4:I35)</f>
        <v>0</v>
      </c>
      <c r="J36" s="536">
        <f>SUM(J4:J35)</f>
        <v>0</v>
      </c>
      <c r="K36" s="536">
        <f>SUM(K4:K35)</f>
        <v>0</v>
      </c>
      <c r="L36" s="535">
        <f>SUM(L4:L35)</f>
        <v>0</v>
      </c>
      <c r="M36" s="535">
        <f>SUM(M4:M35)</f>
        <v>0</v>
      </c>
      <c r="N36" s="535">
        <f>SUM(N4:N35)</f>
        <v>0</v>
      </c>
      <c r="O36" s="535">
        <f>SUM(O4:O35)</f>
        <v>0</v>
      </c>
      <c r="P36" s="535">
        <f>SUM(P4:P35)</f>
        <v>0</v>
      </c>
      <c r="Q36" s="536">
        <f>SUM(Q4:Q35)</f>
        <v>0</v>
      </c>
      <c r="R36" s="536">
        <f>SUM(R4:R35)</f>
        <v>0</v>
      </c>
      <c r="S36" s="536">
        <f>SUM(S4:S35)</f>
        <v>0</v>
      </c>
      <c r="T36" s="536">
        <f>SUM(T4:T35)</f>
        <v>0</v>
      </c>
      <c r="U36" s="535">
        <f>SUM(U4:U35)</f>
        <v>0</v>
      </c>
      <c r="V36" s="535">
        <f>SUM(V4:V35)</f>
        <v>0</v>
      </c>
      <c r="W36" s="535">
        <f>SUM(W4:W35)</f>
        <v>0</v>
      </c>
      <c r="X36" s="535">
        <f>SUM(X4:X35)</f>
        <v>0</v>
      </c>
      <c r="Y36" s="535">
        <f>SUM(Y4:Y35)</f>
        <v>0</v>
      </c>
      <c r="Z36" s="535">
        <f>SUM(Z4:Z35)</f>
        <v>0</v>
      </c>
      <c r="AA36" s="536">
        <f>SUM(AA4:AA35)</f>
        <v>0</v>
      </c>
      <c r="AB36" s="536">
        <f>SUM(AB4:AB35)</f>
        <v>0</v>
      </c>
      <c r="AC36" s="536">
        <f>SUM(AC4:AC35)</f>
        <v>0</v>
      </c>
      <c r="AD36" s="117">
        <f>SUM(AD4:AD35)</f>
        <v>0</v>
      </c>
      <c r="AE36" s="118">
        <f>SUM(AE4:AE35)</f>
        <v>0</v>
      </c>
      <c r="AF36" s="119" t="str">
        <f>IF(AD40=0,"",(AE36*50)/AD36)</f>
        <v/>
      </c>
      <c r="AG36" s="120" t="str">
        <f>IF(AD40=0,"",(Z36*50)/AD36)</f>
        <v/>
      </c>
      <c r="AH36" s="6" t="str">
        <f>IF(AD40=0,"",(X36*25)/AD36)</f>
        <v/>
      </c>
      <c r="AI36" s="119" t="str">
        <f>IF(AD40=0,"",(Y36*25)/AD36)</f>
        <v/>
      </c>
      <c r="AJ36" s="119" t="str">
        <f>IF(AD40=0,"",(AA36*25)/AD36)</f>
        <v/>
      </c>
      <c r="AK36" s="119" t="str">
        <f>IF(AD40=0,"",(AB36*40)/AD36)</f>
        <v/>
      </c>
      <c r="AL36" s="119" t="str">
        <f>IF(AD40=0,"",(AC36*50)/AD36)</f>
        <v/>
      </c>
      <c r="AM36" s="115" t="s">
        <v>67</v>
      </c>
      <c r="AN36" s="121">
        <f>SUM(AN4:AN35)</f>
        <v>0</v>
      </c>
      <c r="AO36" s="121">
        <f>SUM(AO4:AO35)</f>
        <v>0</v>
      </c>
      <c r="AP36" s="121">
        <f>SUM(AP4:AP35)</f>
        <v>0</v>
      </c>
      <c r="AQ36" s="122" t="str">
        <f>IF(AN36=0,"",AN36/AO36)</f>
        <v/>
      </c>
      <c r="AR36" s="122" t="str">
        <f>IF(AN36=0,"",(AD36/AN36)/1000)</f>
        <v/>
      </c>
      <c r="AS36" s="121" t="str">
        <f>IF(AN36=0,"",AR36*24)</f>
        <v/>
      </c>
      <c r="AT36" s="123" t="str">
        <f>IF(AN36=0,"",AD40/(AS36*26))</f>
        <v/>
      </c>
      <c r="AU36" s="121" t="str">
        <f>IF(AN36=0,"",(AE36/AN36))</f>
        <v/>
      </c>
      <c r="AV36" s="122" t="str">
        <f>IF(AO36=0,"",(AD36/AO36)/1000)</f>
        <v/>
      </c>
      <c r="AW36" s="124">
        <f>SUM(AW4:AW35)/1000</f>
        <v>0</v>
      </c>
      <c r="AX36" s="124">
        <f>SUM(AX4:AX35)/1000</f>
        <v>0</v>
      </c>
      <c r="AY36" s="124">
        <f>SUM(AY4:AY35)/1000</f>
        <v>0</v>
      </c>
      <c r="AZ36" s="124">
        <f>SUM(AZ4)</f>
        <v>0</v>
      </c>
      <c r="BA36" s="124">
        <f>SUM(BA4:BA35)</f>
        <v>0</v>
      </c>
      <c r="BB36" s="124">
        <f>SUM(BB4:BB35)</f>
        <v>0</v>
      </c>
      <c r="BC36" s="1">
        <f>SUM(BC4:BC35)/1000</f>
        <v>0</v>
      </c>
      <c r="BD36" s="1">
        <f>SUM(BD4:BD35)/1000</f>
        <v>0</v>
      </c>
      <c r="BE36" s="1">
        <f>SUM(BE4:BE35)/1000</f>
        <v>0</v>
      </c>
      <c r="BF36" s="1">
        <f>SUM(BF4:BF35)/1000</f>
        <v>0</v>
      </c>
    </row>
    <row r="37" spans="1:58">
      <c r="B37" s="115" t="s">
        <v>68</v>
      </c>
      <c r="C37" s="116" t="str">
        <f>IF(C36=0,"",AVERAGE(C4:C35))</f>
        <v/>
      </c>
      <c r="D37" s="116" t="str">
        <f>IF(D36=0,"",AVERAGE(D4:D35))</f>
        <v/>
      </c>
      <c r="E37" s="116" t="str">
        <f>IF(E36=0,"",AVERAGE(E4:E35))</f>
        <v/>
      </c>
      <c r="F37" s="116" t="str">
        <f>IF(F36=0,"",AVERAGE(F4:F35))</f>
        <v/>
      </c>
      <c r="G37" s="116" t="str">
        <f>IF(G36=0,"",AVERAGE(G4:G35))</f>
        <v/>
      </c>
      <c r="H37" s="116" t="str">
        <f>IF(H36=0,"",AVERAGE(H4:H35))</f>
        <v/>
      </c>
      <c r="I37" s="116" t="str">
        <f>IF(I36=0,"",AVERAGE(I4:I35))</f>
        <v/>
      </c>
      <c r="J37" s="116" t="str">
        <f>IF(J36=0,"",AVERAGE(J4:J35))</f>
        <v/>
      </c>
      <c r="K37" s="116" t="str">
        <f>IF(K36=0,"",AVERAGE(K4:K35))</f>
        <v/>
      </c>
      <c r="L37" s="116"/>
      <c r="M37" s="116"/>
      <c r="N37" s="116" t="str">
        <f>IF(N36=0,"",AVERAGE(N4:N35))</f>
        <v/>
      </c>
      <c r="O37" s="116" t="str">
        <f>IF(O36=0,"",AVERAGE(O4:O35))</f>
        <v/>
      </c>
      <c r="P37" s="116" t="str">
        <f>IF(P36=0,"",AVERAGE(P4:P35))</f>
        <v/>
      </c>
      <c r="Q37" s="116" t="str">
        <f>IF(Q36=0,"",AVERAGE(Q4:Q35))</f>
        <v/>
      </c>
      <c r="R37" s="116" t="str">
        <f>IF(R36=0,"",AVERAGE(R4:R35))</f>
        <v/>
      </c>
      <c r="S37" s="116" t="str">
        <f>IF(S36=0,"",AVERAGE(S4:S35))</f>
        <v/>
      </c>
      <c r="T37" s="116" t="str">
        <f>IF(T36=0,"",AVERAGE(T4:T35))</f>
        <v/>
      </c>
      <c r="U37" s="116" t="str">
        <f>IF(U36=0,"",AVERAGE(U4:U35))</f>
        <v/>
      </c>
      <c r="V37" s="116" t="str">
        <f>IF(V36=0,"",AVERAGE(V4:V35))</f>
        <v/>
      </c>
      <c r="W37" s="116" t="str">
        <f>IF(W36=0,"",AVERAGE(W4:W35))</f>
        <v/>
      </c>
      <c r="X37" s="116" t="str">
        <f>IF(X36=0,"",AVERAGE(X4:X35))</f>
        <v/>
      </c>
      <c r="Y37" s="116" t="str">
        <f>IF(Y36=0,"",AVERAGE(Y4:Y35))</f>
        <v/>
      </c>
      <c r="Z37" s="116" t="str">
        <f>IF(Z36=0,"",AVERAGE(Z4:Z35))</f>
        <v/>
      </c>
      <c r="AA37" s="116" t="str">
        <f>IF(AA36=0,"",AVERAGE(AA4:AA35))</f>
        <v/>
      </c>
      <c r="AB37" s="116" t="str">
        <f>IF(AB36=0,"",AVERAGE(AB4:AB35))</f>
        <v/>
      </c>
      <c r="AC37" s="116" t="str">
        <f>IF(AC36=0,"",AVERAGE(AC4:AC35))</f>
        <v/>
      </c>
      <c r="AE37" s="7"/>
      <c r="AG37" s="119"/>
      <c r="AJ37" s="6"/>
      <c r="AK37" s="6"/>
      <c r="AL37" s="6"/>
      <c r="AM37" s="115" t="s">
        <v>68</v>
      </c>
      <c r="AN37" s="121" t="str">
        <f>IF(AN36=0,"",AVERAGE(AN4:AN35))</f>
        <v/>
      </c>
      <c r="AO37" s="121" t="str">
        <f>IF(AO36=0,"",AVERAGE(AO4:AO35))</f>
        <v/>
      </c>
      <c r="AP37" s="121" t="str">
        <f>IF(AP36=0,"",AVERAGE(AP4:AP35))</f>
        <v/>
      </c>
      <c r="AQ37" s="122" t="str">
        <f>IF(AQ36="","",AVERAGE(AQ4:AQ35))</f>
        <v/>
      </c>
      <c r="AR37" s="122" t="str">
        <f>IF(AR36="","",AVERAGE(AR4:AR35))</f>
        <v/>
      </c>
      <c r="AS37" s="121" t="str">
        <f>IF(AS36="","",AVERAGE(AS4:AS35))</f>
        <v/>
      </c>
      <c r="AT37" s="123" t="str">
        <f>IF(AT36="","",AVERAGE(AT4:AT35))</f>
        <v/>
      </c>
      <c r="AU37" s="121" t="str">
        <f>IF(AU36="","",AVERAGE(AU4:AU35))</f>
        <v/>
      </c>
      <c r="AV37" s="122" t="str">
        <f>IF(AV36="","",AVERAGE(AV4:AV35))</f>
        <v/>
      </c>
      <c r="AW37" s="122"/>
      <c r="AX37" s="122"/>
      <c r="AY37" s="122"/>
      <c r="AZ37" s="122"/>
      <c r="BA37" s="122"/>
    </row>
    <row r="38" spans="1:58" customHeight="1" ht="23.85">
      <c r="B38" s="115" t="s">
        <v>69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C38" s="125"/>
      <c r="AD38" s="697" t="s">
        <v>70</v>
      </c>
      <c r="AE38" s="697"/>
      <c r="AF38" s="6"/>
      <c r="AG38" s="119"/>
      <c r="AH38" s="6"/>
      <c r="AI38" s="6"/>
      <c r="AJ38" s="6"/>
      <c r="AK38" s="6"/>
      <c r="AL38" s="6"/>
      <c r="AM38" s="6"/>
      <c r="AN38" s="121"/>
      <c r="AO38" s="121"/>
      <c r="AP38" s="121"/>
      <c r="AQ38" s="121"/>
      <c r="AR38" s="116"/>
      <c r="AS38" s="123"/>
      <c r="AT38" s="123"/>
      <c r="AU38" s="121"/>
    </row>
    <row r="39" spans="1:58">
      <c r="B39" s="115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25"/>
      <c r="AE39" s="697" t="s">
        <v>71</v>
      </c>
      <c r="AF39" s="697"/>
      <c r="AG39" s="119"/>
      <c r="AH39" s="127"/>
      <c r="AI39" s="127"/>
      <c r="AJ39" s="6"/>
      <c r="AK39" s="6"/>
      <c r="AL39" s="6"/>
      <c r="AM39" s="6"/>
      <c r="AN39" s="121"/>
      <c r="AO39" s="121"/>
      <c r="AP39" s="121"/>
      <c r="AQ39" s="121"/>
      <c r="AR39" s="121"/>
      <c r="AS39" s="116"/>
      <c r="AT39" s="123"/>
      <c r="AU39" s="116"/>
      <c r="AV39" s="121"/>
    </row>
    <row r="40" spans="1:58">
      <c r="A40" s="137"/>
      <c r="B40" s="499" t="s">
        <v>67</v>
      </c>
      <c r="C40" s="476">
        <f>SUM(C4:C35)</f>
        <v>0</v>
      </c>
      <c r="D40" s="476">
        <f>SUM(D4:D35)</f>
        <v>0</v>
      </c>
      <c r="E40" s="476">
        <f>SUM(E4:E35)</f>
        <v>0</v>
      </c>
      <c r="F40" s="476">
        <f>SUM(F4:F35)</f>
        <v>0</v>
      </c>
      <c r="G40" s="476">
        <f>SUM(G4:G35)</f>
        <v>0</v>
      </c>
      <c r="H40" s="476">
        <f>SUM(H4:H35)</f>
        <v>0</v>
      </c>
      <c r="I40" s="476">
        <f>SUM(I4:I35)</f>
        <v>0</v>
      </c>
      <c r="J40" s="476">
        <f>SUM(J4:J35)</f>
        <v>0</v>
      </c>
      <c r="K40" s="476">
        <f>SUM(K4:K35)</f>
        <v>0</v>
      </c>
      <c r="L40" s="476">
        <f>SUM(L4:L35)</f>
        <v>0</v>
      </c>
      <c r="M40" s="476">
        <f>SUM(M4:M35)</f>
        <v>0</v>
      </c>
      <c r="N40" s="476">
        <f>SUM(N4:N35)</f>
        <v>0</v>
      </c>
      <c r="O40" s="476">
        <f>SUM(O4:O35)</f>
        <v>0</v>
      </c>
      <c r="P40" s="476">
        <f>SUM(P4:P35)</f>
        <v>0</v>
      </c>
      <c r="Q40" s="476">
        <f>SUM(Q4:Q35)</f>
        <v>0</v>
      </c>
      <c r="R40" s="476">
        <f>SUM(R4:R35)</f>
        <v>0</v>
      </c>
      <c r="S40" s="476">
        <f>SUM(S4:S35)</f>
        <v>0</v>
      </c>
      <c r="T40" s="476">
        <f>SUM(T4:T35)</f>
        <v>0</v>
      </c>
      <c r="U40" s="476">
        <f>SUM(U4:U35)</f>
        <v>0</v>
      </c>
      <c r="V40" s="476">
        <f>SUM(V4:V35)</f>
        <v>0</v>
      </c>
      <c r="W40" s="476">
        <f>SUM(W4:W35)</f>
        <v>0</v>
      </c>
      <c r="X40" s="476">
        <f>SUM(X4:X35)</f>
        <v>0</v>
      </c>
      <c r="Y40" s="476">
        <f>SUM(Y4:Y35)</f>
        <v>0</v>
      </c>
      <c r="Z40" s="476">
        <f>SUM(Z4:Z35)</f>
        <v>0</v>
      </c>
      <c r="AA40" s="476">
        <f>SUM(AA4:AA35)</f>
        <v>0</v>
      </c>
      <c r="AB40" s="476">
        <f>SUM(AB4:AB35)</f>
        <v>0</v>
      </c>
      <c r="AC40" s="476">
        <f>SUM(AC4:AC35)</f>
        <v>0</v>
      </c>
      <c r="AD40" s="534">
        <f>AD36/1000</f>
        <v>0</v>
      </c>
      <c r="AE40" s="6"/>
      <c r="AF40" s="6"/>
      <c r="AG40" s="119"/>
      <c r="AH40" s="6"/>
      <c r="AI40" s="6"/>
      <c r="AJ40" s="6"/>
      <c r="AK40" s="6"/>
      <c r="AL40" s="115"/>
      <c r="AM40" s="115"/>
      <c r="AN40" s="121"/>
      <c r="AO40" s="121"/>
      <c r="AP40" s="121"/>
      <c r="AQ40" s="116"/>
      <c r="AR40" s="123"/>
      <c r="AS40" s="116"/>
      <c r="AT40" s="128"/>
    </row>
    <row r="41" spans="1:58"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4"/>
      <c r="AB41" s="7"/>
      <c r="AC41" s="6"/>
      <c r="AD41" s="6"/>
      <c r="AE41" s="115"/>
      <c r="AF41" s="121"/>
      <c r="AG41" s="129"/>
      <c r="AH41" s="121"/>
      <c r="AI41" s="121"/>
      <c r="AJ41" s="121"/>
      <c r="AK41" s="121"/>
      <c r="AL41" s="121"/>
      <c r="AM41" s="121"/>
      <c r="AN41" s="116"/>
      <c r="AO41" s="121"/>
    </row>
    <row r="42" spans="1:58">
      <c r="A42" s="130" t="s">
        <v>72</v>
      </c>
      <c r="B42" s="226"/>
      <c r="C42" s="131"/>
      <c r="D42" s="75"/>
      <c r="E42" s="75"/>
      <c r="F42" s="75"/>
      <c r="G42" s="75"/>
      <c r="H42" s="75"/>
      <c r="I42" s="72"/>
      <c r="J42" s="71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249"/>
      <c r="V42" s="71"/>
      <c r="W42" s="75"/>
      <c r="X42" s="79"/>
      <c r="Y42" s="79"/>
      <c r="Z42" s="79"/>
      <c r="AA42" s="79"/>
      <c r="AB42" s="79"/>
      <c r="AC42" s="85"/>
      <c r="AD42" s="55">
        <f>(Z42+AA42)*25.8</f>
        <v>0</v>
      </c>
      <c r="AE42" s="55">
        <f>Z42</f>
        <v>0</v>
      </c>
      <c r="AF42" s="56" t="str">
        <f>IF(B42="","",((AE42*25)/AD42))</f>
        <v/>
      </c>
      <c r="AG42" s="57" t="str">
        <f>IF(B42="","",((Z42)*25)/AD42)</f>
        <v/>
      </c>
      <c r="AH42" s="57" t="str">
        <f>IF(B42="","",(X42*25)/AD42)</f>
        <v/>
      </c>
      <c r="AI42" s="57" t="str">
        <f>IF(B42="","",(Y42*25)/AD42)</f>
        <v/>
      </c>
      <c r="AJ42" s="57" t="str">
        <f>IF(B42="","",(AA42*25)/AD42)</f>
        <v/>
      </c>
      <c r="AK42" s="58" t="str">
        <f>IF(B42="","",(AB42*40)/AD42)</f>
        <v/>
      </c>
      <c r="AL42" s="58" t="str">
        <f>IF(B42="","",(AC42*50)/AD42)</f>
        <v/>
      </c>
      <c r="AM42" s="59" t="str">
        <f>IF(B42="","",B42)</f>
        <v/>
      </c>
      <c r="AN42" s="81"/>
      <c r="AO42" s="94"/>
      <c r="AP42" s="83"/>
      <c r="AQ42" s="63" t="str">
        <f>IF(AN42="","",AN42/AO42)</f>
        <v/>
      </c>
      <c r="AR42" s="64" t="str">
        <f>IF(AN42="","",(AD42/AN42)/1000)</f>
        <v/>
      </c>
      <c r="AS42" s="64" t="str">
        <f>IF(AN42="","",AR42*24)</f>
        <v/>
      </c>
      <c r="AT42" s="65" t="str">
        <f>IF(AN42="","",(AD42/1000)*100%/AS42)</f>
        <v/>
      </c>
      <c r="AU42" s="64" t="str">
        <f>IF(AN42="","",(AE42/AN42))</f>
        <v/>
      </c>
      <c r="AV42" s="66" t="str">
        <f>IF(AN42="","",(AD42/AO42)/1000)</f>
        <v/>
      </c>
      <c r="AW42" s="389"/>
      <c r="AX42" s="390"/>
      <c r="AY42" s="390"/>
      <c r="AZ42" s="391"/>
      <c r="BA42" s="391"/>
      <c r="BB42" s="392"/>
      <c r="BC42" s="368"/>
      <c r="BD42" s="368"/>
      <c r="BE42" s="368"/>
      <c r="BF42" s="393"/>
    </row>
    <row r="43" spans="1:58">
      <c r="A43" s="130" t="s">
        <v>73</v>
      </c>
      <c r="B43" s="68"/>
      <c r="C43" s="131"/>
      <c r="D43" s="75"/>
      <c r="E43" s="75"/>
      <c r="F43" s="75"/>
      <c r="G43" s="75"/>
      <c r="H43" s="75"/>
      <c r="I43" s="72"/>
      <c r="J43" s="71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249"/>
      <c r="V43" s="71"/>
      <c r="W43" s="75"/>
      <c r="X43" s="79"/>
      <c r="Y43" s="79"/>
      <c r="Z43" s="79"/>
      <c r="AA43" s="79"/>
      <c r="AB43" s="79"/>
      <c r="AC43" s="85"/>
      <c r="AD43" s="55">
        <f>(Z43*25)+(AA43*25)+(AB43*40)+(AC43*50)</f>
        <v>0</v>
      </c>
      <c r="AE43" s="55" t="str">
        <f>IF(B43="","",C43+E43+G43+K43+N43+O43+Q43+R43+((D43+H43)/4)+((F43+I43+J43+T43+Z43)/2))</f>
        <v/>
      </c>
      <c r="AF43" s="56" t="str">
        <f>IF(B43="","",((AE43*50)/AD43))</f>
        <v/>
      </c>
      <c r="AG43" s="57" t="str">
        <f>IF(B43="","",((Z43)*25)/AD43)</f>
        <v/>
      </c>
      <c r="AH43" s="57" t="str">
        <f>IF(B43="","",(X43*25)/AD43)</f>
        <v/>
      </c>
      <c r="AI43" s="57" t="str">
        <f>IF(B43="","",(Y43*25)/AD43)</f>
        <v/>
      </c>
      <c r="AJ43" s="57" t="str">
        <f>IF(B43="","",(AA43*25)/AD43)</f>
        <v/>
      </c>
      <c r="AK43" s="58" t="str">
        <f>IF(B43="","",(AB43*40)/AD43)</f>
        <v/>
      </c>
      <c r="AL43" s="58" t="str">
        <f>IF(B43="","",(AC43*50)/AD43)</f>
        <v/>
      </c>
      <c r="AM43" s="59" t="str">
        <f>IF(B43="","",B43)</f>
        <v/>
      </c>
      <c r="AN43" s="81"/>
      <c r="AO43" s="94"/>
      <c r="AP43" s="83"/>
      <c r="AQ43" s="63" t="str">
        <f>IF(AN43="","",AN43/AO43)</f>
        <v/>
      </c>
      <c r="AR43" s="64" t="str">
        <f>IF(AN43="","",(AD43/AN43)/1000)</f>
        <v/>
      </c>
      <c r="AS43" s="64" t="str">
        <f>IF(AN43="","",AR43*24)</f>
        <v/>
      </c>
      <c r="AT43" s="65" t="str">
        <f>IF(AN43="","",(AD43/1000)*100%/AS43)</f>
        <v/>
      </c>
      <c r="AU43" s="64" t="str">
        <f>IF(AN43="","",(AE43/AN43))</f>
        <v/>
      </c>
      <c r="AV43" s="66" t="str">
        <f>IF(AN43="","",(AD43/AO43)/1000)</f>
        <v/>
      </c>
      <c r="AW43" s="394"/>
      <c r="AX43" s="92"/>
      <c r="AY43" s="92"/>
      <c r="AZ43" s="93"/>
      <c r="BA43" s="93"/>
      <c r="BB43" s="350"/>
      <c r="BC43" s="351"/>
      <c r="BD43" s="351"/>
      <c r="BE43" s="351"/>
      <c r="BF43" s="395"/>
    </row>
    <row r="44" spans="1:58">
      <c r="A44" s="130" t="s">
        <v>74</v>
      </c>
      <c r="B44" s="68"/>
      <c r="C44" s="131"/>
      <c r="D44" s="75"/>
      <c r="E44" s="75"/>
      <c r="F44" s="75"/>
      <c r="G44" s="75"/>
      <c r="H44" s="75"/>
      <c r="I44" s="72"/>
      <c r="J44" s="71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249"/>
      <c r="V44" s="71"/>
      <c r="W44" s="75"/>
      <c r="X44" s="79"/>
      <c r="Y44" s="79"/>
      <c r="Z44" s="79"/>
      <c r="AA44" s="79"/>
      <c r="AB44" s="79"/>
      <c r="AC44" s="85"/>
      <c r="AD44" s="55">
        <f>Z44*25</f>
        <v>0</v>
      </c>
      <c r="AE44" s="55" t="str">
        <f>IF(B44="","",C44+E44+G44+K44+N44+O44+Q44+R44+((D44+H44)/4)+((F44+I44+J44+T44)/2))</f>
        <v/>
      </c>
      <c r="AF44" s="56" t="str">
        <f>IF(B44="","",((AE44*50)/AD44))</f>
        <v/>
      </c>
      <c r="AG44" s="57" t="str">
        <f>IF(B44="","",((Z44)*25)/AD44)</f>
        <v/>
      </c>
      <c r="AH44" s="57" t="str">
        <f>IF(B44="","",(X44*25)/AD44)</f>
        <v/>
      </c>
      <c r="AI44" s="57" t="str">
        <f>IF(B44="","",(Y44*25)/AD44)</f>
        <v/>
      </c>
      <c r="AJ44" s="57" t="str">
        <f>IF(B44="","",(AA44*25)/AD44)</f>
        <v/>
      </c>
      <c r="AK44" s="58" t="str">
        <f>IF(B44="","",(AB44*40)/AD44)</f>
        <v/>
      </c>
      <c r="AL44" s="58" t="str">
        <f>IF(B44="","",(AC44*50)/AD44)</f>
        <v/>
      </c>
      <c r="AM44" s="59" t="str">
        <f>IF(B44="","",B44)</f>
        <v/>
      </c>
      <c r="AN44" s="81"/>
      <c r="AO44" s="94"/>
      <c r="AP44" s="83"/>
      <c r="AQ44" s="63" t="str">
        <f>IF(AN44="","",AN44/AO44)</f>
        <v/>
      </c>
      <c r="AR44" s="64" t="str">
        <f>IF(AN44="","",(AD44/AN44)/1000)</f>
        <v/>
      </c>
      <c r="AS44" s="64" t="str">
        <f>IF(AN44="","",AR44*24)</f>
        <v/>
      </c>
      <c r="AT44" s="65" t="str">
        <f>IF(AN44="","",(AD44/1000)*100%/AS44)</f>
        <v/>
      </c>
      <c r="AU44" s="64" t="str">
        <f>IF(AN44="","",(AE44/AN44))</f>
        <v/>
      </c>
      <c r="AV44" s="66" t="str">
        <f>IF(AN44="","",(AD44/AO44)/1000)</f>
        <v/>
      </c>
      <c r="AW44" s="394"/>
      <c r="AX44" s="92"/>
      <c r="AY44" s="92"/>
      <c r="AZ44" s="93"/>
      <c r="BA44" s="93"/>
      <c r="BB44" s="350"/>
      <c r="BC44" s="351"/>
      <c r="BD44" s="351"/>
      <c r="BE44" s="351"/>
      <c r="BF44" s="395"/>
    </row>
    <row r="45" spans="1:58">
      <c r="A45" s="130" t="s">
        <v>75</v>
      </c>
      <c r="B45" s="68"/>
      <c r="C45" s="131"/>
      <c r="D45" s="75"/>
      <c r="E45" s="75"/>
      <c r="F45" s="75"/>
      <c r="G45" s="75"/>
      <c r="H45" s="75"/>
      <c r="I45" s="72"/>
      <c r="J45" s="71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249"/>
      <c r="V45" s="71"/>
      <c r="W45" s="75"/>
      <c r="X45" s="79"/>
      <c r="Y45" s="79"/>
      <c r="Z45" s="79"/>
      <c r="AA45" s="79"/>
      <c r="AB45" s="79"/>
      <c r="AC45" s="85"/>
      <c r="AD45" s="55">
        <f>(Z45+AA45)*25.275</f>
        <v>0</v>
      </c>
      <c r="AE45" s="55" t="str">
        <f>IF(B45="","",C45+E45+G45+K45+N45+O45+Q45+R45+((D45+H45)/4)+((F45+I45+J45+T45)/2))</f>
        <v/>
      </c>
      <c r="AF45" s="56" t="str">
        <f>IF(B45="","",((AE45*50)/AD45))</f>
        <v/>
      </c>
      <c r="AG45" s="57" t="str">
        <f>IF(B45="","",((Z45)*25)/AD45)</f>
        <v/>
      </c>
      <c r="AH45" s="57" t="str">
        <f>IF(B45="","",(X45*25)/AD45)</f>
        <v/>
      </c>
      <c r="AI45" s="57" t="str">
        <f>IF(B45="","",(Y45*25)/AD45)</f>
        <v/>
      </c>
      <c r="AJ45" s="57" t="str">
        <f>IF(B45="","",(AA45*25)/AD45)</f>
        <v/>
      </c>
      <c r="AK45" s="58" t="str">
        <f>IF(B45="","",(AB45*40)/AD45)</f>
        <v/>
      </c>
      <c r="AL45" s="58" t="str">
        <f>IF(B45="","",(AC45*50)/AD45)</f>
        <v/>
      </c>
      <c r="AM45" s="59" t="str">
        <f>IF(B45="","",B45)</f>
        <v/>
      </c>
      <c r="AN45" s="81"/>
      <c r="AO45" s="94"/>
      <c r="AP45" s="83"/>
      <c r="AQ45" s="63" t="str">
        <f>IF(AN45="","",AN45/AO45)</f>
        <v/>
      </c>
      <c r="AR45" s="64" t="str">
        <f>IF(AN45="","",(AD45/AN45)/1000)</f>
        <v/>
      </c>
      <c r="AS45" s="64" t="str">
        <f>IF(AN45="","",AR45*24)</f>
        <v/>
      </c>
      <c r="AT45" s="65" t="str">
        <f>IF(AN45="","",(AD45/1000)*100%/AS45)</f>
        <v/>
      </c>
      <c r="AU45" s="64" t="str">
        <f>IF(AN45="","",(AE45/AN45))</f>
        <v/>
      </c>
      <c r="AV45" s="66" t="str">
        <f>IF(AN45="","",(AD45/AO45)/1000)</f>
        <v/>
      </c>
      <c r="AW45" s="396"/>
      <c r="AX45" s="231"/>
      <c r="AY45" s="231"/>
      <c r="AZ45" s="232"/>
      <c r="BA45" s="232"/>
      <c r="BB45" s="397"/>
      <c r="BC45" s="398"/>
      <c r="BD45" s="398"/>
      <c r="BE45" s="398"/>
      <c r="BF45" s="399"/>
    </row>
    <row r="46" spans="1:58">
      <c r="B46" s="115"/>
      <c r="C46" s="116"/>
      <c r="D46" s="116"/>
      <c r="E46" s="116"/>
      <c r="F46" s="116"/>
      <c r="G46" s="116"/>
      <c r="H46" s="116"/>
      <c r="O46" s="116"/>
      <c r="P46" s="116"/>
      <c r="Q46" s="116"/>
      <c r="R46" s="116"/>
      <c r="S46" s="116"/>
      <c r="T46" s="116"/>
      <c r="U46" s="116"/>
      <c r="V46" s="116"/>
      <c r="W46" s="7"/>
      <c r="X46" s="7"/>
      <c r="AB46" s="6"/>
      <c r="AC46" s="6"/>
      <c r="AD46" s="55">
        <f>SUM(AD42:AD45)</f>
        <v>0</v>
      </c>
      <c r="AE46" s="121"/>
      <c r="AF46" s="121"/>
      <c r="AG46" s="121"/>
      <c r="AH46" s="116"/>
      <c r="AI46" s="123"/>
      <c r="AJ46" s="123"/>
      <c r="AK46" s="116"/>
      <c r="AL46" s="121"/>
      <c r="AX46" s="1">
        <f>AX42/1000</f>
        <v>0</v>
      </c>
    </row>
    <row r="47" spans="1:58">
      <c r="B47" s="115"/>
      <c r="C47" s="116"/>
      <c r="D47" s="116"/>
      <c r="E47" s="116"/>
      <c r="F47" s="116"/>
      <c r="G47" s="116"/>
      <c r="H47" s="116"/>
      <c r="I47" s="116"/>
      <c r="Q47" s="116"/>
      <c r="R47" s="116"/>
      <c r="S47" s="116"/>
      <c r="T47" s="116"/>
      <c r="U47" s="116"/>
      <c r="V47" s="116"/>
      <c r="W47" s="116"/>
      <c r="X47" s="7"/>
      <c r="Y47" s="7"/>
      <c r="AC47" s="6"/>
      <c r="AD47" s="697" t="s">
        <v>70</v>
      </c>
      <c r="AE47" s="697"/>
      <c r="AF47" s="121"/>
      <c r="AG47" s="121"/>
      <c r="AH47" s="121"/>
      <c r="AI47" s="116"/>
      <c r="AJ47" s="123"/>
      <c r="AK47" s="123"/>
      <c r="AL47" s="116"/>
      <c r="AM47" s="121"/>
    </row>
    <row r="48" spans="1:58">
      <c r="B48" s="115"/>
      <c r="C48" s="116"/>
      <c r="D48" s="116"/>
      <c r="E48" s="116"/>
      <c r="F48" s="116"/>
      <c r="G48" s="116"/>
      <c r="H48" s="116"/>
      <c r="I48" s="117">
        <v>3.6</v>
      </c>
      <c r="J48" s="116"/>
      <c r="K48" s="516"/>
      <c r="L48" s="516"/>
      <c r="M48" s="516"/>
      <c r="N48" s="5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7"/>
      <c r="Z48" s="7"/>
      <c r="AD48" s="126">
        <f>AD46/1000</f>
        <v>0</v>
      </c>
      <c r="AE48" s="697" t="s">
        <v>71</v>
      </c>
      <c r="AF48" s="697"/>
      <c r="AG48" s="121"/>
      <c r="AH48" s="121"/>
      <c r="AI48" s="121"/>
      <c r="AJ48" s="116"/>
      <c r="AK48" s="123"/>
      <c r="AL48" s="123"/>
      <c r="AM48" s="116"/>
      <c r="AN48" s="121"/>
    </row>
    <row r="49" spans="1:58" customHeight="1" ht="13.9">
      <c r="A49" s="676" t="s">
        <v>76</v>
      </c>
      <c r="B49" s="677"/>
      <c r="C49" s="678" t="s">
        <v>77</v>
      </c>
      <c r="D49" s="133"/>
      <c r="F49" s="655" t="s">
        <v>78</v>
      </c>
      <c r="G49" s="656"/>
      <c r="H49" s="657"/>
      <c r="I49" s="355" t="s">
        <v>79</v>
      </c>
      <c r="J49" s="136"/>
      <c r="K49" s="679" t="s">
        <v>80</v>
      </c>
      <c r="L49" s="679"/>
      <c r="M49" s="680"/>
      <c r="N49" s="515" t="s">
        <v>81</v>
      </c>
      <c r="O49" s="688" t="s">
        <v>82</v>
      </c>
      <c r="P49" s="689"/>
      <c r="Q49" s="690"/>
      <c r="R49" s="688" t="s">
        <v>83</v>
      </c>
      <c r="S49" s="689"/>
      <c r="T49" s="689"/>
      <c r="U49" s="690"/>
      <c r="V49" s="500" t="s">
        <v>84</v>
      </c>
      <c r="W49" s="488"/>
      <c r="X49" s="501"/>
      <c r="AB49" s="247"/>
      <c r="AG49" s="6"/>
      <c r="AH49" s="6"/>
      <c r="AI49" s="121"/>
      <c r="AJ49" s="121"/>
      <c r="AK49" s="116"/>
      <c r="AL49" s="123"/>
      <c r="AM49" s="123"/>
      <c r="AN49" s="116"/>
      <c r="AO49" s="121"/>
    </row>
    <row r="50" spans="1:58" customHeight="1" ht="15">
      <c r="A50" s="369" t="s">
        <v>85</v>
      </c>
      <c r="B50" s="482">
        <f>AD40+AD48</f>
        <v>0</v>
      </c>
      <c r="C50" s="678"/>
      <c r="E50" s="137"/>
      <c r="F50" s="662" t="s">
        <v>86</v>
      </c>
      <c r="G50" s="663"/>
      <c r="H50" s="325">
        <f>IF(G53="",0,G56/G53)</f>
        <v>0</v>
      </c>
      <c r="I50" s="138">
        <f>IF(I53="",0,I56/I53)</f>
        <v>0</v>
      </c>
      <c r="J50" s="136"/>
      <c r="K50" s="681"/>
      <c r="L50" s="681"/>
      <c r="M50" s="141" t="e">
        <f>IF($V$50="",0,K50/$V$55)</f>
        <v>#DIV/0!</v>
      </c>
      <c r="N50" s="489"/>
      <c r="O50" s="695"/>
      <c r="P50" s="696"/>
      <c r="Q50" s="141" t="e">
        <f>IF($V$50="",0,O50/$V$55)</f>
        <v>#DIV/0!</v>
      </c>
      <c r="R50" s="140" t="str">
        <f>D80</f>
        <v>CWRS</v>
      </c>
      <c r="S50" s="721">
        <f>(B82*D82)+(B85*D85)+(B86*D86)+(B87*D87)+(B89*D89)+(B92*D92)+(B94*D94)+(B95*D95)+(B98*D98)+(B99*D99)+(B100*D100)+(B102*D102)+(B103*D103)+(B108*D108)+(B111*D111)+(B83*D83)+(B104*D104)+(B84*D84)+(B91*D91)+(B115*D115)+(B106*D106)+(B105*D105)+(B113*D113)+(B110*D110)+(B88*D88)+(B90*D90)+(B96*D96)+(B97*D97)+(B107*D107)</f>
        <v>0</v>
      </c>
      <c r="T50" s="721"/>
      <c r="U50" s="486">
        <f>IF($S$55=0,0,S50/$S$55)</f>
        <v>0</v>
      </c>
      <c r="V50" s="695">
        <f>K50+O50-S50</f>
        <v>0</v>
      </c>
      <c r="W50" s="696"/>
      <c r="X50" s="484" t="e">
        <f>IF($V$50="",0,V50/$V$55)</f>
        <v>#DIV/0!</v>
      </c>
      <c r="AB50" s="157"/>
      <c r="AJ50" s="121"/>
      <c r="AK50" s="116"/>
      <c r="AL50" s="123"/>
      <c r="AM50" s="123"/>
      <c r="AN50" s="116"/>
      <c r="AO50" s="121"/>
    </row>
    <row r="51" spans="1:58" customHeight="1" ht="15">
      <c r="A51" s="326" t="s">
        <v>87</v>
      </c>
      <c r="B51" s="318">
        <f>AE36</f>
        <v>0</v>
      </c>
      <c r="C51" s="377">
        <f>B50/(B60*120)</f>
        <v>-0</v>
      </c>
      <c r="E51" s="137"/>
      <c r="F51" s="662" t="s">
        <v>88</v>
      </c>
      <c r="G51" s="663"/>
      <c r="H51" s="318">
        <f>IF(G53="",0,G53/B50)</f>
        <v>0</v>
      </c>
      <c r="I51" s="272"/>
      <c r="J51" s="136"/>
      <c r="K51" s="685"/>
      <c r="L51" s="685"/>
      <c r="M51" s="141" t="e">
        <f>IF($V$51="",0,K51/$V$55)</f>
        <v>#DIV/0!</v>
      </c>
      <c r="N51" s="489"/>
      <c r="O51" s="687"/>
      <c r="P51" s="681"/>
      <c r="Q51" s="141" t="e">
        <f>IF($V$51="",0,O51/$V$55)</f>
        <v>#DIV/0!</v>
      </c>
      <c r="R51" s="140" t="str">
        <f>IF(E80="","",E80)</f>
        <v>CPS</v>
      </c>
      <c r="S51" s="720">
        <f>(B82*E82)+(B85*E85)+(B86*E86)+(B87*E87)+(B89*E89)+(B92*E92)+(B94*E94)+(B95*E95)+(B98*E98)+(B99*E99)+(B100*E100)+(B102*E102)+(B103*E103)+(B108*E108)+(B113*E113)+(B105*E105)+(B111*E111)+(B104*E104)+(B83*E83)+(B84*E84)+(B91*E91)+(B106*E106)+(B115*E115)+(B116*E116)+(B110*E110)+(B101*E101)+(B88*E88)+(B90*E90)+(B97*E97)+(B107*E107+B96*E96)</f>
        <v>0</v>
      </c>
      <c r="T51" s="720"/>
      <c r="U51" s="486">
        <f>IF($S$55=0,0,S51/$S$55)</f>
        <v>0</v>
      </c>
      <c r="V51" s="687">
        <f>K51+O51-S51</f>
        <v>0</v>
      </c>
      <c r="W51" s="681"/>
      <c r="X51" s="141" t="e">
        <f>IF($V$51="",0,V51/$V$55)</f>
        <v>#DIV/0!</v>
      </c>
      <c r="AJ51" s="121"/>
      <c r="AK51" s="116"/>
      <c r="AL51" s="123"/>
      <c r="AM51" s="123"/>
      <c r="AN51" s="116"/>
      <c r="AO51" s="121"/>
    </row>
    <row r="52" spans="1:58" customHeight="1" ht="15">
      <c r="A52" s="326" t="s">
        <v>89</v>
      </c>
      <c r="B52" s="318">
        <f>(B51*50)/1000</f>
        <v>0</v>
      </c>
      <c r="E52" s="120"/>
      <c r="F52" s="662" t="s">
        <v>90</v>
      </c>
      <c r="G52" s="663"/>
      <c r="H52" s="318">
        <f>IF(G53="",0,G53/((B51*50)/1000))</f>
        <v>0</v>
      </c>
      <c r="I52" s="272"/>
      <c r="J52" s="136"/>
      <c r="K52" s="685"/>
      <c r="L52" s="685"/>
      <c r="M52" s="141" t="e">
        <f>IF($V$50="",0,K52/$V$55)</f>
        <v>#DIV/0!</v>
      </c>
      <c r="N52" s="489"/>
      <c r="O52" s="687"/>
      <c r="P52" s="681"/>
      <c r="Q52" s="141" t="e">
        <f>IF($V$50="",0,O52/$V$55)</f>
        <v>#DIV/0!</v>
      </c>
      <c r="R52" s="148" t="s">
        <v>91</v>
      </c>
      <c r="S52" s="720">
        <f>(B82*G82)+(B85*G85)+(B86*G86)+(B87*G87)+(B89*G89)+(B92*G92)+(B94*G94)+(B95*G95)+(B98*G98)+(B99*G99)+(B100*G100)+(B102*G102)+(B103*G103)+(B108*G108)+(B113*G113)+(B109*G109)+(B116*G116)+(B114*G114)+(B115*G115)+(B83*G83)+(B84*G84)+(B104*G104)+(B106*G106)+(B96*G96)+(B97*G97)+(B90*G90)+(B88*G88)+(B105*G105)+(B91*G91)+(B110*G110)</f>
        <v>0</v>
      </c>
      <c r="T52" s="720"/>
      <c r="U52" s="486">
        <f>IF($S$55=0,0,S52/$S$55)</f>
        <v>0</v>
      </c>
      <c r="V52" s="687">
        <f>K52+O52-S52</f>
        <v>0</v>
      </c>
      <c r="W52" s="681"/>
      <c r="X52" s="141" t="e">
        <f>IF($V$50="",0,V52/$V$55)</f>
        <v>#DIV/0!</v>
      </c>
      <c r="AJ52" s="121"/>
      <c r="AK52" s="116"/>
      <c r="AL52" s="123"/>
      <c r="AM52" s="123"/>
      <c r="AN52" s="116"/>
      <c r="AO52" s="121"/>
    </row>
    <row r="53" spans="1:58" customHeight="1" ht="15">
      <c r="A53" s="326" t="s">
        <v>92</v>
      </c>
      <c r="B53" s="580">
        <f>IF(AF36="",0,AF36)</f>
        <v>0</v>
      </c>
      <c r="E53" s="144"/>
      <c r="F53" s="326" t="s">
        <v>93</v>
      </c>
      <c r="G53" s="693"/>
      <c r="H53" s="694"/>
      <c r="I53" s="353"/>
      <c r="J53" s="136"/>
      <c r="K53" s="686">
        <v>0</v>
      </c>
      <c r="L53" s="686"/>
      <c r="M53" s="141" t="e">
        <f>IF($V$50="",0,L53/$V$55)</f>
        <v>#DIV/0!</v>
      </c>
      <c r="N53" s="490"/>
      <c r="O53" s="687"/>
      <c r="P53" s="681"/>
      <c r="Q53" s="141" t="e">
        <f>IF($V$50="",0,O53/$V$55)</f>
        <v>#DIV/0!</v>
      </c>
      <c r="R53" s="140" t="s">
        <v>94</v>
      </c>
      <c r="S53" s="720">
        <f>(B82*F82)+(B85*F85)+(B86*F86)+(B87*F87)+(B89*F89)+(B92*F92)+(B94*F94)+(B95*F95)+(B98*F98)+(B99*F99)+(B100*F100)+(B102*F102)+(B103*F103)+(B108*F108)+(B113*F113)+(B115*F115)+(B111*F111)+(B109*F109)+(B105*F105)+(B116*F116)+(B101*F101)+(B88*F88)+(B90*F90)+(B91*F91)+(B106*F106)+(B107*F107)+(B96*F96)</f>
        <v>0</v>
      </c>
      <c r="T53" s="720"/>
      <c r="U53" s="486">
        <f>IF($S$55=0,0,S53/$S$55)</f>
        <v>0</v>
      </c>
      <c r="V53" s="687">
        <f>L53+O53-S53</f>
        <v>0</v>
      </c>
      <c r="W53" s="681"/>
      <c r="X53" s="141" t="e">
        <f>IF($V$50="",0,V53/$V$55)</f>
        <v>#DIV/0!</v>
      </c>
      <c r="AG53" s="6"/>
      <c r="AH53" s="6"/>
      <c r="AI53" s="121"/>
      <c r="AJ53" s="121"/>
      <c r="AK53" s="116"/>
      <c r="AL53" s="123"/>
      <c r="AM53" s="123"/>
      <c r="AN53" s="116"/>
      <c r="AO53" s="121"/>
    </row>
    <row r="54" spans="1:58" customHeight="1" ht="15">
      <c r="A54" s="326" t="s">
        <v>95</v>
      </c>
      <c r="B54" s="319">
        <f>AN36</f>
        <v>0</v>
      </c>
      <c r="E54" s="146"/>
      <c r="F54" s="326" t="s">
        <v>96</v>
      </c>
      <c r="G54" s="682"/>
      <c r="H54" s="683"/>
      <c r="I54" s="684"/>
      <c r="J54" s="136"/>
      <c r="K54" s="686">
        <v>0</v>
      </c>
      <c r="L54" s="686"/>
      <c r="M54" s="141" t="e">
        <f>IF($V$50="",0,L54/$V$55)</f>
        <v>#DIV/0!</v>
      </c>
      <c r="N54" s="489"/>
      <c r="O54" s="691">
        <v>0</v>
      </c>
      <c r="P54" s="692"/>
      <c r="Q54" s="141" t="e">
        <f>IF($V$50="",0,O54/$V$55)</f>
        <v>#DIV/0!</v>
      </c>
      <c r="R54" s="480" t="s">
        <v>97</v>
      </c>
      <c r="S54" s="719">
        <f>IF(AD43="",0,AD43)</f>
        <v>0</v>
      </c>
      <c r="T54" s="719"/>
      <c r="U54" s="141">
        <f>IF($S$55=0,0,S54/$S$55)</f>
        <v>0</v>
      </c>
      <c r="V54" s="691">
        <f>L54+O54-S54</f>
        <v>0</v>
      </c>
      <c r="W54" s="692"/>
      <c r="X54" s="141" t="e">
        <f>IF($V$50="",0,V54/$V$55)</f>
        <v>#DIV/0!</v>
      </c>
      <c r="AC54" s="421"/>
      <c r="AF54" s="6"/>
      <c r="AG54" s="6"/>
      <c r="AH54" s="6"/>
      <c r="AJ54" s="147"/>
      <c r="AK54" s="147"/>
      <c r="AL54" s="6"/>
      <c r="AM54" s="6"/>
      <c r="AN54" s="147"/>
      <c r="AO54" s="147"/>
    </row>
    <row r="55" spans="1:58" customHeight="1" ht="15">
      <c r="A55" s="326" t="s">
        <v>98</v>
      </c>
      <c r="B55" s="320">
        <f>IF(B50=0,0,AP36/AN36)</f>
        <v>0</v>
      </c>
      <c r="E55" s="146"/>
      <c r="F55" s="326" t="s">
        <v>99</v>
      </c>
      <c r="G55" s="660"/>
      <c r="H55" s="661"/>
      <c r="I55" s="149"/>
      <c r="J55" s="136"/>
      <c r="K55" s="671">
        <f>SUM(K50:K54)</f>
        <v>0</v>
      </c>
      <c r="L55" s="670"/>
      <c r="M55" s="481"/>
      <c r="N55" s="487">
        <f>SUM(N50:N54)</f>
        <v>0</v>
      </c>
      <c r="O55" s="671">
        <f>SUM(O50:O54)</f>
        <v>0</v>
      </c>
      <c r="P55" s="670"/>
      <c r="Q55" s="481"/>
      <c r="R55" s="150"/>
      <c r="S55" s="670">
        <f>SUM(S50:S54)</f>
        <v>0</v>
      </c>
      <c r="T55" s="670"/>
      <c r="U55" s="479"/>
      <c r="V55" s="671">
        <f>SUM(V50:V54)</f>
        <v>0</v>
      </c>
      <c r="W55" s="670"/>
      <c r="X55" s="481"/>
      <c r="AH55" s="6"/>
      <c r="AJ55" s="147"/>
      <c r="AK55" s="147"/>
      <c r="AL55" s="6"/>
      <c r="AM55" s="6"/>
      <c r="AN55" s="147"/>
      <c r="AO55" s="147"/>
    </row>
    <row r="56" spans="1:58" customHeight="1" ht="13.9">
      <c r="A56" s="326" t="s">
        <v>100</v>
      </c>
      <c r="B56" s="321" t="str">
        <f>AT37</f>
        <v/>
      </c>
      <c r="E56" s="146"/>
      <c r="F56" s="326" t="s">
        <v>101</v>
      </c>
      <c r="G56" s="672">
        <v>77284230</v>
      </c>
      <c r="H56" s="673"/>
      <c r="I56" s="153">
        <v>2803509</v>
      </c>
      <c r="K56" s="216"/>
      <c r="L56" s="216"/>
      <c r="M56" s="216"/>
      <c r="N56" s="216"/>
      <c r="O56" s="375"/>
      <c r="P56" s="517"/>
      <c r="Q56" s="517"/>
      <c r="AH56" s="6"/>
      <c r="AJ56" s="147"/>
      <c r="AK56" s="147"/>
      <c r="AL56" s="6"/>
      <c r="AM56" s="6"/>
      <c r="AN56" s="147"/>
      <c r="AO56" s="147"/>
    </row>
    <row r="57" spans="1:58" customHeight="1" ht="13.9">
      <c r="A57" s="326" t="s">
        <v>102</v>
      </c>
      <c r="B57" s="580" t="str">
        <f>+AT36</f>
        <v/>
      </c>
      <c r="E57" s="137"/>
      <c r="F57" s="662" t="s">
        <v>103</v>
      </c>
      <c r="G57" s="663"/>
      <c r="H57" s="327"/>
      <c r="I57" s="155"/>
      <c r="K57" s="665" t="s">
        <v>104</v>
      </c>
      <c r="L57" s="666"/>
      <c r="M57" s="666"/>
      <c r="N57" s="666"/>
      <c r="O57" s="666"/>
      <c r="P57" s="518"/>
      <c r="Q57" s="246"/>
      <c r="X57" s="4"/>
      <c r="AD57" s="4"/>
      <c r="AH57" s="6"/>
      <c r="AJ57" s="147"/>
      <c r="AK57" s="147"/>
      <c r="AL57" s="6"/>
      <c r="AM57" s="6"/>
      <c r="AN57" s="147"/>
      <c r="AO57" s="147"/>
    </row>
    <row r="58" spans="1:58" customHeight="1" ht="13.9">
      <c r="A58" s="326" t="s">
        <v>105</v>
      </c>
      <c r="B58" s="322">
        <f>IF(AS36="",0,AS36)</f>
        <v>0</v>
      </c>
      <c r="E58" s="137"/>
      <c r="F58" s="326"/>
      <c r="G58" s="216"/>
      <c r="H58" s="323"/>
      <c r="K58" s="326" t="s">
        <v>106</v>
      </c>
      <c r="L58" s="216"/>
      <c r="M58" s="332">
        <f>AX36</f>
        <v>0</v>
      </c>
      <c r="N58" s="332"/>
      <c r="O58" s="216" t="s">
        <v>107</v>
      </c>
      <c r="P58" s="140"/>
      <c r="S58" s="156"/>
      <c r="V58" s="142"/>
      <c r="X58" s="4"/>
      <c r="AB58" s="157"/>
      <c r="AD58" s="4"/>
      <c r="AH58" s="6"/>
      <c r="AJ58" s="147"/>
      <c r="AK58" s="147"/>
      <c r="AL58" s="6"/>
      <c r="AM58" s="6"/>
      <c r="AN58" s="147"/>
      <c r="AO58" s="147"/>
    </row>
    <row r="59" spans="1:58" customHeight="1" ht="13.9">
      <c r="A59" s="326" t="s">
        <v>108</v>
      </c>
      <c r="B59" s="322">
        <f>IF(AU36="",0,AU36)</f>
        <v>0</v>
      </c>
      <c r="E59" s="137"/>
      <c r="F59" s="328" t="s">
        <v>109</v>
      </c>
      <c r="G59" s="329"/>
      <c r="H59" s="330" t="s">
        <v>110</v>
      </c>
      <c r="K59" s="326" t="s">
        <v>111</v>
      </c>
      <c r="L59" s="216"/>
      <c r="M59" s="332">
        <f>AY36</f>
        <v>0</v>
      </c>
      <c r="N59" s="332"/>
      <c r="O59" s="323" t="s">
        <v>107</v>
      </c>
      <c r="S59" s="156"/>
      <c r="W59" s="156"/>
      <c r="AC59" s="247"/>
      <c r="AD59" s="157"/>
      <c r="AE59" s="157"/>
      <c r="AF59" s="157"/>
      <c r="AG59" s="6"/>
      <c r="AJ59" s="147"/>
      <c r="AK59" s="6"/>
      <c r="AL59" s="147"/>
      <c r="AM59" s="147"/>
      <c r="AN59" s="147"/>
    </row>
    <row r="60" spans="1:58" customHeight="1" ht="13.9">
      <c r="A60" s="326" t="s">
        <v>112</v>
      </c>
      <c r="B60" s="323">
        <f>31-COUNTBLANK(A4:A35)</f>
        <v>-1</v>
      </c>
      <c r="F60" s="331" t="s">
        <v>113</v>
      </c>
      <c r="G60" s="664" t="e">
        <f>G59/(B50*1000)</f>
        <v>#DIV/0!</v>
      </c>
      <c r="H60" s="664"/>
      <c r="I60" s="376"/>
      <c r="J60" s="136"/>
      <c r="K60" s="418" t="s">
        <v>92</v>
      </c>
      <c r="L60" s="483"/>
      <c r="M60" s="419" t="e">
        <f>M59/M58</f>
        <v>#DIV/0!</v>
      </c>
      <c r="N60" s="419"/>
      <c r="O60" s="420"/>
      <c r="S60" s="145"/>
      <c r="T60" s="665" t="s">
        <v>114</v>
      </c>
      <c r="U60" s="666"/>
      <c r="V60" s="667"/>
      <c r="X60" s="4"/>
      <c r="Y60" s="472" t="s">
        <v>115</v>
      </c>
      <c r="Z60" s="273" t="s">
        <v>169</v>
      </c>
      <c r="AA60" s="273">
        <v>900</v>
      </c>
      <c r="AB60" s="273" t="s">
        <v>117</v>
      </c>
      <c r="AC60" s="273">
        <v>7200</v>
      </c>
      <c r="AD60" s="273">
        <v>4200</v>
      </c>
      <c r="AE60" s="273">
        <v>8530</v>
      </c>
      <c r="AF60" s="157"/>
      <c r="AG60" s="6"/>
      <c r="AJ60" s="147"/>
      <c r="AK60" s="6"/>
      <c r="AL60" s="147"/>
      <c r="AM60" s="147"/>
      <c r="AN60" s="147"/>
    </row>
    <row r="61" spans="1:58" customHeight="1" ht="13.9">
      <c r="A61" s="370" t="s">
        <v>118</v>
      </c>
      <c r="B61" s="324">
        <f>AD40+AD48</f>
        <v>0</v>
      </c>
      <c r="G61" s="156" t="s">
        <v>119</v>
      </c>
      <c r="O61" s="4"/>
      <c r="P61" s="4"/>
      <c r="T61" s="354" t="s">
        <v>120</v>
      </c>
      <c r="U61" s="668"/>
      <c r="V61" s="669"/>
      <c r="X61" s="165" t="str">
        <f>C82</f>
        <v>Extrapan
 50</v>
      </c>
      <c r="Y61" s="531"/>
      <c r="Z61" s="531"/>
      <c r="AA61" s="531"/>
      <c r="AB61" s="531"/>
      <c r="AC61" s="531"/>
      <c r="AD61" s="531"/>
      <c r="AE61" s="531"/>
      <c r="AG61" s="147"/>
      <c r="AH61" s="147"/>
      <c r="AI61" s="6"/>
      <c r="AJ61" s="6"/>
      <c r="AK61" s="147"/>
      <c r="AL61" s="147"/>
      <c r="AM61" s="147"/>
    </row>
    <row r="62" spans="1:58" customHeight="1" ht="14.45">
      <c r="A62" s="259" t="s">
        <v>121</v>
      </c>
      <c r="B62" s="477">
        <f>B50/B67</f>
        <v>0</v>
      </c>
      <c r="E62" s="136"/>
      <c r="F62" s="655" t="s">
        <v>122</v>
      </c>
      <c r="G62" s="656"/>
      <c r="H62" s="657"/>
      <c r="K62" s="655" t="s">
        <v>123</v>
      </c>
      <c r="L62" s="656"/>
      <c r="M62" s="656"/>
      <c r="N62" s="656"/>
      <c r="O62" s="656"/>
      <c r="P62" s="519"/>
      <c r="Q62" s="133"/>
      <c r="R62" s="162"/>
      <c r="S62" s="162"/>
      <c r="T62" s="354" t="s">
        <v>124</v>
      </c>
      <c r="U62" s="658">
        <f>AZ4</f>
        <v>0</v>
      </c>
      <c r="V62" s="659"/>
      <c r="W62" s="162"/>
      <c r="X62" s="165" t="str">
        <f>C85</f>
        <v>Extrapan
25</v>
      </c>
      <c r="Y62" s="532"/>
      <c r="Z62" s="532"/>
      <c r="AA62" s="532"/>
      <c r="AB62" s="532"/>
      <c r="AC62" s="532"/>
      <c r="AD62" s="532"/>
      <c r="AE62" s="532"/>
      <c r="AG62" s="147"/>
      <c r="AH62" s="147"/>
      <c r="AI62" s="6"/>
      <c r="AJ62" s="6"/>
      <c r="AK62" s="147"/>
      <c r="AL62" s="147"/>
      <c r="AM62" s="147"/>
    </row>
    <row r="63" spans="1:58" customHeight="1" ht="14.45">
      <c r="A63" s="256" t="s">
        <v>125</v>
      </c>
      <c r="B63" s="502" t="e">
        <f>B75/B50</f>
        <v>#DIV/0!</v>
      </c>
      <c r="F63" s="632" t="s">
        <v>126</v>
      </c>
      <c r="G63" s="633"/>
      <c r="H63" s="268"/>
      <c r="I63" s="140"/>
      <c r="J63" s="136"/>
      <c r="K63" s="1" t="s">
        <v>127</v>
      </c>
      <c r="O63" s="520">
        <v>662</v>
      </c>
      <c r="R63" s="162"/>
      <c r="S63" s="162"/>
      <c r="T63" s="162"/>
      <c r="U63" s="162"/>
      <c r="V63" s="162"/>
      <c r="W63" s="162"/>
      <c r="X63" s="165" t="str">
        <f>C86</f>
        <v>Extrapan
10</v>
      </c>
      <c r="Y63" s="532"/>
      <c r="Z63" s="532"/>
      <c r="AA63" s="532"/>
      <c r="AB63" s="532"/>
      <c r="AC63" s="532"/>
      <c r="AD63" s="532"/>
      <c r="AE63" s="532"/>
      <c r="AG63" s="147"/>
      <c r="AH63" s="147"/>
      <c r="AI63" s="6"/>
      <c r="AJ63" s="6"/>
      <c r="AK63" s="147"/>
      <c r="AL63" s="147"/>
      <c r="AM63" s="147"/>
    </row>
    <row r="64" spans="1:58" customHeight="1" ht="14.45">
      <c r="A64" s="258" t="s">
        <v>128</v>
      </c>
      <c r="B64" s="503" t="e">
        <f>B76/B50</f>
        <v>#DIV/0!</v>
      </c>
      <c r="F64" s="140" t="s">
        <v>129</v>
      </c>
      <c r="H64" s="474">
        <f>(H63*1)*2</f>
        <v>0</v>
      </c>
      <c r="I64" s="140"/>
      <c r="K64" s="140" t="s">
        <v>129</v>
      </c>
      <c r="O64" s="474">
        <f>O63/30</f>
        <v>22.066666666666666</v>
      </c>
      <c r="T64" s="634" t="s">
        <v>130</v>
      </c>
      <c r="U64" s="635"/>
      <c r="V64" s="636"/>
      <c r="X64" s="165" t="str">
        <f>C87</f>
        <v>Artesanal 
50</v>
      </c>
      <c r="Y64" s="531"/>
      <c r="Z64" s="531"/>
      <c r="AA64" s="531"/>
      <c r="AB64" s="531"/>
      <c r="AC64" s="531"/>
      <c r="AD64" s="531"/>
      <c r="AE64" s="531"/>
      <c r="AG64" s="147"/>
      <c r="AH64" s="147"/>
      <c r="AI64" s="6"/>
      <c r="AJ64" s="6"/>
      <c r="AK64" s="147"/>
      <c r="AL64" s="147"/>
      <c r="AM64" s="147"/>
    </row>
    <row r="65" spans="1:58">
      <c r="F65" s="637" t="s">
        <v>131</v>
      </c>
      <c r="G65" s="638"/>
      <c r="H65" s="639"/>
      <c r="I65" s="140"/>
      <c r="J65" s="136"/>
      <c r="K65" s="1" t="s">
        <v>132</v>
      </c>
      <c r="P65" s="140"/>
      <c r="T65" s="417" t="s">
        <v>133</v>
      </c>
      <c r="U65" s="732"/>
      <c r="V65" s="733"/>
      <c r="X65" s="165" t="str">
        <f>C89</f>
        <v>Artesanal
25</v>
      </c>
      <c r="Y65" s="532"/>
      <c r="Z65" s="532"/>
      <c r="AA65" s="532"/>
      <c r="AB65" s="532"/>
      <c r="AC65" s="532"/>
      <c r="AD65" s="532"/>
      <c r="AE65" s="532"/>
      <c r="AG65" s="147"/>
      <c r="AH65" s="147"/>
      <c r="AI65" s="6"/>
      <c r="AJ65" s="6"/>
      <c r="AK65" s="147"/>
      <c r="AL65" s="147"/>
      <c r="AM65" s="147"/>
    </row>
    <row r="66" spans="1:58" customHeight="1" ht="14.45">
      <c r="A66" s="371" t="s">
        <v>134</v>
      </c>
      <c r="B66" s="373"/>
      <c r="F66" s="630" t="s">
        <v>91</v>
      </c>
      <c r="G66" s="642"/>
      <c r="H66" s="270"/>
      <c r="I66" s="140"/>
      <c r="K66" s="159" t="s">
        <v>94</v>
      </c>
      <c r="L66" s="158"/>
      <c r="M66" s="158"/>
      <c r="N66" s="158"/>
      <c r="O66" s="478"/>
      <c r="P66" s="524"/>
      <c r="T66" s="417" t="s">
        <v>135</v>
      </c>
      <c r="U66" s="651"/>
      <c r="V66" s="652"/>
      <c r="X66" s="165" t="str">
        <f>C92</f>
        <v>Natural 
50</v>
      </c>
      <c r="Y66" s="532"/>
      <c r="Z66" s="532"/>
      <c r="AA66" s="532"/>
      <c r="AB66" s="532"/>
      <c r="AC66" s="532"/>
      <c r="AD66" s="532"/>
      <c r="AE66" s="532"/>
      <c r="AG66" s="147"/>
      <c r="AH66" s="147"/>
      <c r="AI66" s="147"/>
      <c r="AJ66" s="147"/>
      <c r="AK66" s="6"/>
      <c r="AL66" s="6"/>
      <c r="AM66" s="147"/>
      <c r="AN66" s="147"/>
    </row>
    <row r="67" spans="1:58" customHeight="1" ht="14.45">
      <c r="A67" s="255" t="s">
        <v>136</v>
      </c>
      <c r="B67" s="264">
        <v>24</v>
      </c>
      <c r="F67" s="140" t="s">
        <v>137</v>
      </c>
      <c r="G67" s="475"/>
      <c r="H67" s="267">
        <f>H64*G67</f>
        <v>0</v>
      </c>
      <c r="K67" s="140" t="s">
        <v>137</v>
      </c>
      <c r="L67" s="475">
        <v>100</v>
      </c>
      <c r="M67" s="367">
        <f>(O64*L67)</f>
        <v>2206.66666666666652</v>
      </c>
      <c r="P67" s="524"/>
      <c r="Q67" s="521"/>
      <c r="T67" s="417" t="s">
        <v>94</v>
      </c>
      <c r="U67" s="730"/>
      <c r="V67" s="731"/>
      <c r="X67" s="165" t="str">
        <f>C99</f>
        <v>Harina Tortas y Ponques</v>
      </c>
      <c r="Y67" s="531"/>
      <c r="Z67" s="531"/>
      <c r="AA67" s="531"/>
      <c r="AB67" s="531"/>
      <c r="AC67" s="531"/>
      <c r="AD67" s="531"/>
      <c r="AE67" s="531"/>
      <c r="AG67" s="147"/>
      <c r="AH67" s="147"/>
      <c r="AI67" s="6"/>
      <c r="AJ67" s="6"/>
      <c r="AK67" s="147"/>
      <c r="AL67" s="147"/>
      <c r="AM67" s="147"/>
    </row>
    <row r="68" spans="1:58" customHeight="1" ht="14.45">
      <c r="A68" s="255" t="s">
        <v>138</v>
      </c>
      <c r="B68" s="265">
        <v>28760</v>
      </c>
      <c r="F68" s="148" t="s">
        <v>139</v>
      </c>
      <c r="G68" s="649">
        <f>(G67*436*1.7321*0.96)/1000</f>
        <v>0</v>
      </c>
      <c r="H68" s="650">
        <f>(H67*436*1.7321*0.96)/1000</f>
        <v>0</v>
      </c>
      <c r="K68" s="148" t="s">
        <v>139</v>
      </c>
      <c r="L68" s="271">
        <f>(L67*436*1.7321*0.96)/1000</f>
        <v>72.4987776</v>
      </c>
      <c r="M68" s="156"/>
      <c r="O68" s="525"/>
      <c r="P68" s="522"/>
      <c r="T68" s="354" t="s">
        <v>140</v>
      </c>
      <c r="U68" s="651"/>
      <c r="V68" s="652"/>
      <c r="X68" s="165" t="str">
        <f>C100</f>
        <v>Harina Galeras Ligera</v>
      </c>
      <c r="Y68" s="532"/>
      <c r="Z68" s="532"/>
      <c r="AA68" s="532"/>
      <c r="AB68" s="532"/>
      <c r="AC68" s="532"/>
      <c r="AD68" s="532"/>
      <c r="AE68" s="532"/>
      <c r="AG68" s="147"/>
      <c r="AH68" s="147"/>
      <c r="AI68" s="147"/>
      <c r="AJ68" s="147"/>
      <c r="AK68" s="6"/>
      <c r="AL68" s="6"/>
      <c r="AM68" s="147"/>
      <c r="AN68" s="147"/>
    </row>
    <row r="69" spans="1:58">
      <c r="A69" s="156" t="s">
        <v>142</v>
      </c>
      <c r="B69" s="424">
        <v>36087</v>
      </c>
      <c r="F69" s="140" t="s">
        <v>143</v>
      </c>
      <c r="G69" s="653">
        <f>G68*H63</f>
        <v>0</v>
      </c>
      <c r="H69" s="639"/>
      <c r="K69" s="140" t="s">
        <v>143</v>
      </c>
      <c r="M69" s="653">
        <f>L68*O64</f>
        <v>1599.80635903999996</v>
      </c>
      <c r="N69" s="653"/>
      <c r="O69" s="654"/>
      <c r="X69" s="165" t="str">
        <f>C103</f>
        <v>Harina de alta proteina x 1
G</v>
      </c>
      <c r="Y69" s="532"/>
      <c r="Z69" s="532"/>
      <c r="AA69" s="532"/>
      <c r="AB69" s="532"/>
      <c r="AC69" s="532"/>
      <c r="AD69" s="532"/>
      <c r="AE69" s="532"/>
      <c r="AG69" s="147"/>
      <c r="AH69" s="147"/>
      <c r="AI69" s="147"/>
      <c r="AJ69" s="147"/>
      <c r="AK69" s="6"/>
      <c r="AL69" s="6"/>
      <c r="AM69" s="147"/>
      <c r="AN69" s="147"/>
    </row>
    <row r="70" spans="1:58" customHeight="1" ht="14.45">
      <c r="A70" s="257" t="s">
        <v>144</v>
      </c>
      <c r="B70" s="266">
        <f>+B51/B68</f>
        <v>0</v>
      </c>
      <c r="F70" s="632" t="s">
        <v>86</v>
      </c>
      <c r="G70" s="633"/>
      <c r="H70" s="269">
        <f>G69*H50</f>
        <v>0</v>
      </c>
      <c r="K70" s="140" t="s">
        <v>86</v>
      </c>
      <c r="M70" s="352">
        <f>M69*H50</f>
        <v>0</v>
      </c>
      <c r="O70" s="136"/>
      <c r="P70" s="523"/>
      <c r="Q70" s="523"/>
      <c r="T70" s="374" t="s">
        <v>145</v>
      </c>
      <c r="U70" s="374"/>
      <c r="V70" s="374"/>
      <c r="X70" s="165" t="s">
        <v>67</v>
      </c>
      <c r="Y70" s="533"/>
      <c r="Z70" s="533"/>
      <c r="AA70" s="533"/>
      <c r="AB70" s="533"/>
      <c r="AC70" s="533"/>
      <c r="AD70" s="533"/>
      <c r="AE70" s="533"/>
      <c r="AG70" s="6"/>
      <c r="AI70" s="147"/>
      <c r="AJ70" s="147"/>
      <c r="AK70" s="147"/>
      <c r="AL70" s="147"/>
      <c r="AM70" s="147"/>
      <c r="AN70" s="6"/>
      <c r="AO70" s="147"/>
      <c r="AP70" s="147"/>
    </row>
    <row r="71" spans="1:58" customHeight="1" ht="22.5">
      <c r="A71" s="257" t="s">
        <v>146</v>
      </c>
      <c r="B71" s="266">
        <f>+B51/B69</f>
        <v>0</v>
      </c>
      <c r="F71" s="159"/>
      <c r="G71" s="158"/>
      <c r="H71" s="151"/>
      <c r="K71" s="159"/>
      <c r="L71" s="158"/>
      <c r="M71" s="158"/>
      <c r="N71" s="158"/>
      <c r="O71" s="151"/>
      <c r="T71" s="253" t="s">
        <v>147</v>
      </c>
      <c r="U71" s="254"/>
      <c r="V71" s="645">
        <f>AP36*(U71+U72)</f>
        <v>0</v>
      </c>
      <c r="X71" s="202" t="s">
        <v>141</v>
      </c>
      <c r="Y71" s="203"/>
      <c r="Z71" s="203"/>
      <c r="AA71" s="203"/>
      <c r="AB71" s="203"/>
      <c r="AC71" s="203"/>
      <c r="AE71" s="6"/>
      <c r="AG71" s="6"/>
      <c r="AI71" s="147"/>
      <c r="AJ71" s="147"/>
      <c r="AK71" s="147"/>
      <c r="AL71" s="147"/>
      <c r="AM71" s="147"/>
      <c r="AN71" s="6"/>
      <c r="AO71" s="147"/>
      <c r="AP71" s="147"/>
    </row>
    <row r="72" spans="1:58">
      <c r="T72" s="253" t="s">
        <v>151</v>
      </c>
      <c r="U72" s="254"/>
      <c r="V72" s="646"/>
      <c r="X72" s="202"/>
      <c r="Y72" s="245"/>
      <c r="Z72" s="245"/>
      <c r="AA72" s="245"/>
      <c r="AB72" s="245"/>
      <c r="AC72" s="245"/>
      <c r="AE72" s="6"/>
      <c r="AG72" s="6"/>
      <c r="AI72" s="147"/>
      <c r="AJ72" s="147"/>
      <c r="AK72" s="147"/>
      <c r="AL72" s="147"/>
      <c r="AM72" s="147"/>
      <c r="AN72" s="6"/>
      <c r="AO72" s="147"/>
      <c r="AP72" s="147"/>
    </row>
    <row r="73" spans="1:58">
      <c r="AE73" s="6"/>
      <c r="AG73" s="6"/>
      <c r="AI73" s="147"/>
      <c r="AJ73" s="147"/>
      <c r="AK73" s="147"/>
      <c r="AL73" s="147"/>
      <c r="AM73" s="147"/>
      <c r="AN73" s="6"/>
      <c r="AO73" s="147"/>
      <c r="AP73" s="147"/>
    </row>
    <row r="74" spans="1:58" customHeight="1" ht="14.45">
      <c r="A74" s="371" t="s">
        <v>154</v>
      </c>
      <c r="B74" s="372"/>
      <c r="C74" s="140"/>
      <c r="Y74" s="156" t="s">
        <v>148</v>
      </c>
      <c r="Z74" s="1" t="s">
        <v>149</v>
      </c>
      <c r="AA74" s="1" t="s">
        <v>150</v>
      </c>
      <c r="AE74" s="6"/>
      <c r="AG74" s="6"/>
      <c r="AI74" s="147"/>
      <c r="AJ74" s="147"/>
      <c r="AK74" s="147"/>
      <c r="AL74" s="147"/>
      <c r="AM74" s="147"/>
      <c r="AN74" s="6"/>
      <c r="AO74" s="147"/>
      <c r="AP74" s="147"/>
    </row>
    <row r="75" spans="1:58" customHeight="1" ht="14.45">
      <c r="A75" s="260" t="s">
        <v>155</v>
      </c>
      <c r="B75" s="262">
        <v>64062235</v>
      </c>
      <c r="Y75" s="209" t="s">
        <v>152</v>
      </c>
      <c r="Z75" s="7">
        <v>12.5</v>
      </c>
      <c r="AA75" s="7">
        <v>13.5</v>
      </c>
      <c r="AB75" s="7"/>
      <c r="AC75" s="1" t="s">
        <v>152</v>
      </c>
      <c r="AE75" s="6"/>
      <c r="AG75" s="6"/>
      <c r="AI75" s="147"/>
      <c r="AJ75" s="147"/>
      <c r="AK75" s="147"/>
      <c r="AL75" s="147"/>
      <c r="AM75" s="147"/>
      <c r="AN75" s="6"/>
      <c r="AO75" s="147"/>
      <c r="AP75" s="147"/>
    </row>
    <row r="76" spans="1:58" customHeight="1" ht="14.45">
      <c r="A76" s="261" t="s">
        <v>156</v>
      </c>
      <c r="B76" s="263">
        <v>7837432</v>
      </c>
      <c r="Y76" s="209" t="s">
        <v>67</v>
      </c>
      <c r="Z76" s="212">
        <f>SUM(A82+A85+A86+A87+A89+A92+A94+A98+A100+A102+A103+A108+A105+A110+A113+A115+A109+A83+A84+A90+A88+A91+A96+A97+A104+A106+A111)*Z75</f>
        <v>0</v>
      </c>
      <c r="AA76" s="212">
        <f>(A95+A99)*AA75</f>
        <v>0</v>
      </c>
      <c r="AB76" s="240"/>
      <c r="AC76" s="156" t="s">
        <v>153</v>
      </c>
      <c r="AE76" s="206"/>
      <c r="AK76" s="147"/>
      <c r="AL76" s="147"/>
      <c r="AM76" s="147"/>
      <c r="AN76" s="6"/>
      <c r="AO76" s="147"/>
      <c r="AP76" s="147"/>
    </row>
    <row r="77" spans="1:58">
      <c r="Y77" s="202" t="s">
        <v>141</v>
      </c>
      <c r="Z77" s="142"/>
      <c r="AA77" s="142"/>
      <c r="AB77" s="142"/>
      <c r="AC77" s="156" t="s">
        <v>153</v>
      </c>
      <c r="AE77" s="206"/>
      <c r="AK77" s="147"/>
      <c r="AL77" s="147"/>
      <c r="AM77" s="147"/>
      <c r="AN77" s="6"/>
      <c r="AO77" s="147"/>
      <c r="AP77" s="147"/>
      <c r="AQ77" s="147"/>
      <c r="AR77" s="147"/>
    </row>
    <row r="78" spans="1:58">
      <c r="X78" s="169"/>
      <c r="AK78" s="147"/>
      <c r="AL78" s="147"/>
      <c r="AM78" s="147"/>
      <c r="AN78" s="6"/>
      <c r="AO78" s="147"/>
      <c r="AP78" s="147"/>
      <c r="AQ78" s="147"/>
      <c r="AR78" s="147"/>
    </row>
    <row r="79" spans="1:58">
      <c r="N79" s="4"/>
      <c r="X79" s="169"/>
      <c r="AE79" s="6"/>
      <c r="AK79" s="147"/>
      <c r="AL79" s="147"/>
      <c r="AM79" s="147"/>
      <c r="AN79" s="6"/>
      <c r="AO79" s="147"/>
      <c r="AP79" s="147"/>
      <c r="AQ79" s="147"/>
      <c r="AR79" s="147"/>
    </row>
    <row r="80" spans="1:58" customHeight="1" ht="16.35">
      <c r="A80" s="170"/>
      <c r="C80" s="171"/>
      <c r="D80" s="423" t="s">
        <v>157</v>
      </c>
      <c r="E80" s="423" t="s">
        <v>158</v>
      </c>
      <c r="F80" s="423" t="s">
        <v>94</v>
      </c>
      <c r="G80" s="423" t="s">
        <v>91</v>
      </c>
      <c r="AE80" s="6"/>
      <c r="AK80" s="147"/>
      <c r="AL80" s="147"/>
      <c r="AM80" s="147"/>
    </row>
    <row r="81" spans="1:58" customHeight="1" ht="16.35">
      <c r="A81" s="356" t="s">
        <v>45</v>
      </c>
      <c r="B81" s="472" t="s">
        <v>159</v>
      </c>
      <c r="C81" s="176" t="s">
        <v>160</v>
      </c>
      <c r="D81" s="178" t="s">
        <v>161</v>
      </c>
      <c r="E81" s="178" t="s">
        <v>161</v>
      </c>
      <c r="F81" s="178" t="s">
        <v>161</v>
      </c>
      <c r="G81" s="178" t="s">
        <v>161</v>
      </c>
      <c r="AE81" s="6"/>
      <c r="AK81" s="147"/>
      <c r="AL81" s="147"/>
      <c r="AM81" s="147"/>
    </row>
    <row r="82" spans="1:58" customHeight="1" ht="16.35">
      <c r="A82" s="139">
        <f>C36</f>
        <v>0</v>
      </c>
      <c r="B82" s="139">
        <f>IF(A82=0,0,((A82*50)/$B$53))</f>
        <v>0</v>
      </c>
      <c r="C82" s="180" t="s">
        <v>16</v>
      </c>
      <c r="D82" s="569">
        <v>0.8</v>
      </c>
      <c r="E82" s="570">
        <v>0.2</v>
      </c>
      <c r="F82" s="571"/>
      <c r="G82" s="572"/>
      <c r="Z82" s="213"/>
      <c r="AA82" s="213"/>
      <c r="AB82" s="213"/>
      <c r="AC82" s="213"/>
      <c r="AD82" s="213"/>
      <c r="AE82" s="6"/>
      <c r="AK82" s="147"/>
      <c r="AL82" s="147"/>
      <c r="AM82" s="147"/>
    </row>
    <row r="83" spans="1:58" customHeight="1" ht="16.35">
      <c r="A83" s="139">
        <f>C38</f>
        <v>0</v>
      </c>
      <c r="B83" s="139">
        <f>IF(A83=0,0,((A83*50)/$B$53))</f>
        <v>0</v>
      </c>
      <c r="C83" s="180" t="s">
        <v>16</v>
      </c>
      <c r="D83" s="573"/>
      <c r="E83" s="186"/>
      <c r="F83" s="462"/>
      <c r="G83" s="574"/>
      <c r="Z83" s="213"/>
      <c r="AA83" s="213"/>
      <c r="AB83" s="213"/>
      <c r="AC83" s="213"/>
      <c r="AD83" s="213"/>
      <c r="AE83" s="6"/>
      <c r="AK83" s="147"/>
      <c r="AL83" s="147"/>
      <c r="AM83" s="147"/>
    </row>
    <row r="84" spans="1:58" customHeight="1" ht="16.35">
      <c r="A84" s="139">
        <f>C39</f>
        <v>0</v>
      </c>
      <c r="B84" s="139">
        <f>IF(A84=0,0,((A84*50)/$B$53))</f>
        <v>0</v>
      </c>
      <c r="C84" s="180" t="s">
        <v>16</v>
      </c>
      <c r="D84" s="575">
        <v>0.8</v>
      </c>
      <c r="E84" s="382">
        <v>0.2</v>
      </c>
      <c r="F84" s="382"/>
      <c r="G84" s="574"/>
      <c r="Z84" s="213"/>
      <c r="AA84" s="213"/>
      <c r="AB84" s="213"/>
      <c r="AC84" s="213"/>
      <c r="AD84" s="213"/>
      <c r="AE84" s="6"/>
      <c r="AK84" s="147"/>
      <c r="AL84" s="147"/>
      <c r="AM84" s="147"/>
    </row>
    <row r="85" spans="1:58" customHeight="1" ht="16.35">
      <c r="A85" s="139">
        <f>D36/2</f>
        <v>0</v>
      </c>
      <c r="B85" s="139">
        <f>IF(A85=0,0,((A85*50)/$B$53))</f>
        <v>0</v>
      </c>
      <c r="C85" s="180" t="str">
        <f>D3</f>
        <v>Extrapan
25</v>
      </c>
      <c r="D85" s="573">
        <v>0.8</v>
      </c>
      <c r="E85" s="186">
        <v>0.2</v>
      </c>
      <c r="F85" s="186"/>
      <c r="G85" s="576"/>
      <c r="Z85" s="213"/>
      <c r="AA85" s="213"/>
      <c r="AB85" s="213"/>
      <c r="AC85" s="213"/>
      <c r="AD85" s="213"/>
      <c r="AE85" s="6"/>
      <c r="AK85" s="147"/>
      <c r="AL85" s="147"/>
      <c r="AM85" s="147"/>
    </row>
    <row r="86" spans="1:58" customHeight="1" ht="16.35">
      <c r="A86" s="139">
        <f>E36/5</f>
        <v>0</v>
      </c>
      <c r="B86" s="139">
        <f>IF(A86=0,0,((A86*50)/$B$53))</f>
        <v>0</v>
      </c>
      <c r="C86" s="189" t="str">
        <f>E3</f>
        <v>Extrapan
10</v>
      </c>
      <c r="D86" s="573">
        <v>0.8</v>
      </c>
      <c r="E86" s="186">
        <v>0.2</v>
      </c>
      <c r="F86" s="186"/>
      <c r="G86" s="576"/>
      <c r="Z86" s="213"/>
      <c r="AA86" s="213"/>
      <c r="AB86" s="213"/>
      <c r="AC86" s="213"/>
      <c r="AD86" s="213"/>
      <c r="AE86" s="6"/>
      <c r="AK86" s="147"/>
      <c r="AL86" s="147"/>
      <c r="AM86" s="147"/>
    </row>
    <row r="87" spans="1:58" customHeight="1" ht="16.35">
      <c r="A87" s="139">
        <f>F36</f>
        <v>0</v>
      </c>
      <c r="B87" s="139">
        <f>IF(A87=0,0,((A87*50)/$B$53))</f>
        <v>0</v>
      </c>
      <c r="C87" s="189" t="str">
        <f>F3</f>
        <v>Artesanal 
50</v>
      </c>
      <c r="D87" s="573">
        <v>0.6</v>
      </c>
      <c r="E87" s="186">
        <v>0.15</v>
      </c>
      <c r="F87" s="186">
        <v>0.25</v>
      </c>
      <c r="G87" s="576"/>
      <c r="J87" s="137"/>
      <c r="Z87" s="213"/>
      <c r="AA87" s="213"/>
      <c r="AB87" s="213"/>
      <c r="AC87" s="213"/>
      <c r="AD87" s="213"/>
      <c r="AE87" s="6"/>
      <c r="AK87" s="147"/>
      <c r="AL87" s="147"/>
      <c r="AM87" s="147"/>
    </row>
    <row r="88" spans="1:58" customHeight="1" ht="16.35">
      <c r="A88" s="139">
        <f>F38</f>
        <v>0</v>
      </c>
      <c r="B88" s="139">
        <f>IF(A88=0,0,((A88*50)/$B$53))</f>
        <v>0</v>
      </c>
      <c r="C88" s="568" t="str">
        <f>C87</f>
        <v>Artesanal 
50</v>
      </c>
      <c r="D88" s="573"/>
      <c r="E88" s="186"/>
      <c r="F88" s="186"/>
      <c r="G88" s="576"/>
      <c r="Z88" s="213"/>
      <c r="AA88" s="213"/>
      <c r="AB88" s="213"/>
      <c r="AC88" s="213"/>
      <c r="AD88" s="213"/>
      <c r="AE88" s="6"/>
      <c r="AK88" s="147"/>
      <c r="AL88" s="147"/>
      <c r="AM88" s="147"/>
    </row>
    <row r="89" spans="1:58" customHeight="1" ht="16.35">
      <c r="A89" s="139">
        <f>G36/2</f>
        <v>0</v>
      </c>
      <c r="B89" s="139">
        <f>IF(A89=0,0,((A89*50)/$B$53))</f>
        <v>0</v>
      </c>
      <c r="C89" s="190" t="str">
        <f>G3</f>
        <v>Artesanal
25</v>
      </c>
      <c r="D89" s="573">
        <v>0.6</v>
      </c>
      <c r="E89" s="186">
        <v>0.15</v>
      </c>
      <c r="F89" s="186">
        <v>0.25</v>
      </c>
      <c r="G89" s="576"/>
      <c r="Z89" s="213"/>
      <c r="AA89" s="213"/>
      <c r="AB89" s="213"/>
      <c r="AC89" s="213"/>
      <c r="AD89" s="213"/>
      <c r="AE89" s="6"/>
      <c r="AK89" s="147"/>
      <c r="AL89" s="147"/>
      <c r="AM89" s="147"/>
    </row>
    <row r="90" spans="1:58" customHeight="1" ht="16.35">
      <c r="A90" s="139">
        <f>G38/2</f>
        <v>0</v>
      </c>
      <c r="B90" s="139">
        <f>IF(A90=0,0,((A90*50)/$B$53))</f>
        <v>0</v>
      </c>
      <c r="C90" s="190" t="str">
        <f>C89</f>
        <v>Artesanal
25</v>
      </c>
      <c r="D90" s="573"/>
      <c r="E90" s="186"/>
      <c r="F90" s="186"/>
      <c r="G90" s="576"/>
      <c r="Z90" s="213"/>
      <c r="AA90" s="213"/>
      <c r="AB90" s="213"/>
      <c r="AC90" s="213"/>
      <c r="AD90" s="213"/>
      <c r="AE90" s="6"/>
      <c r="AK90" s="147"/>
      <c r="AL90" s="147"/>
      <c r="AM90" s="147"/>
    </row>
    <row r="91" spans="1:58" customHeight="1" ht="16.35">
      <c r="A91" s="139">
        <f>H36</f>
        <v>0</v>
      </c>
      <c r="B91" s="139">
        <f>IF(A91=0,0,((A91*50)/$B$53))</f>
        <v>0</v>
      </c>
      <c r="C91" s="180" t="str">
        <f>H3</f>
        <v>Natural 
50</v>
      </c>
      <c r="D91" s="573">
        <v>0.7</v>
      </c>
      <c r="E91" s="186">
        <v>0.07</v>
      </c>
      <c r="F91" s="186">
        <v>0.23</v>
      </c>
      <c r="G91" s="576"/>
      <c r="Z91" s="213"/>
      <c r="AA91" s="213"/>
      <c r="AB91" s="213"/>
      <c r="AC91" s="213"/>
      <c r="AD91" s="213"/>
      <c r="AE91" s="6"/>
      <c r="AK91" s="147"/>
      <c r="AL91" s="147"/>
      <c r="AM91" s="147"/>
    </row>
    <row r="92" spans="1:58" customHeight="1" ht="16.35">
      <c r="A92" s="139">
        <f>H38</f>
        <v>0</v>
      </c>
      <c r="B92" s="139">
        <f>IF(A92=0,0,((A92*50)/$B$53))</f>
        <v>0</v>
      </c>
      <c r="C92" s="180" t="str">
        <f>H3</f>
        <v>Natural 
50</v>
      </c>
      <c r="D92" s="577"/>
      <c r="E92" s="578"/>
      <c r="F92" s="578"/>
      <c r="G92" s="579"/>
      <c r="V92" s="124"/>
      <c r="W92" s="124"/>
      <c r="Z92" s="6"/>
      <c r="AA92" s="6"/>
      <c r="AB92" s="6"/>
      <c r="AC92" s="6"/>
      <c r="AD92" s="6"/>
      <c r="AE92" s="6"/>
      <c r="AH92" s="147"/>
      <c r="AI92" s="147"/>
      <c r="AJ92" s="147"/>
    </row>
    <row r="93" spans="1:58" customHeight="1" ht="16.35">
      <c r="A93" s="139"/>
      <c r="B93" s="139">
        <f>IF(A93=0,0,((A93*50)/$B$53))</f>
        <v>0</v>
      </c>
      <c r="C93" s="548"/>
      <c r="D93" s="200"/>
      <c r="E93" s="200"/>
      <c r="F93" s="201"/>
      <c r="G93" s="201"/>
      <c r="V93" s="245"/>
      <c r="W93" s="245"/>
      <c r="Y93" s="213"/>
      <c r="Z93" s="6"/>
      <c r="AA93" s="6"/>
      <c r="AB93" s="6"/>
      <c r="AC93" s="6"/>
      <c r="AD93" s="6"/>
      <c r="AE93" s="6"/>
      <c r="AH93" s="147"/>
      <c r="AI93" s="147"/>
      <c r="AJ93" s="147"/>
    </row>
    <row r="94" spans="1:58" customHeight="1" ht="15.6">
      <c r="A94" s="139">
        <f>I36/2</f>
        <v>0</v>
      </c>
      <c r="B94" s="139">
        <f>IF(A94=0,0,((A94*50)/$B$53))</f>
        <v>0</v>
      </c>
      <c r="C94" s="379" t="str">
        <f>I3</f>
        <v>Fuerte
25</v>
      </c>
      <c r="D94" s="463">
        <v>0.57</v>
      </c>
      <c r="E94" s="182">
        <v>0.13</v>
      </c>
      <c r="F94" s="182">
        <v>0.3</v>
      </c>
      <c r="G94" s="506"/>
      <c r="Y94" s="213"/>
      <c r="Z94" s="6"/>
      <c r="AA94" s="6"/>
      <c r="AB94" s="6"/>
      <c r="AC94" s="6"/>
      <c r="AD94" s="6"/>
      <c r="AE94" s="6"/>
      <c r="AH94" s="147"/>
      <c r="AI94" s="147"/>
      <c r="AJ94" s="147"/>
    </row>
    <row r="95" spans="1:58" customHeight="1" ht="16.35">
      <c r="A95" s="139">
        <f>J36/2</f>
        <v>0</v>
      </c>
      <c r="B95" s="139">
        <f>IF(A95=0,0,((A95*50)/$B$53))</f>
        <v>0</v>
      </c>
      <c r="C95" s="448" t="str">
        <f>J3</f>
        <v>Fuerte exp
25</v>
      </c>
      <c r="D95" s="462">
        <v>0.57</v>
      </c>
      <c r="E95" s="186">
        <v>0.13</v>
      </c>
      <c r="F95" s="382">
        <v>0.3</v>
      </c>
      <c r="G95" s="504"/>
      <c r="Y95" s="213"/>
      <c r="Z95" s="6"/>
      <c r="AA95" s="6"/>
      <c r="AB95" s="6"/>
      <c r="AC95" s="6"/>
      <c r="AD95" s="6"/>
      <c r="AE95" s="6"/>
      <c r="AH95" s="147"/>
      <c r="AI95" s="147"/>
      <c r="AJ95" s="147"/>
    </row>
    <row r="96" spans="1:58" customHeight="1" ht="16.35">
      <c r="A96" s="139">
        <f>I38/2</f>
        <v>0</v>
      </c>
      <c r="B96" s="139">
        <f>IF(A96=0,0,((A96*50)/$B$53))</f>
        <v>0</v>
      </c>
      <c r="C96" s="379" t="str">
        <f>I3</f>
        <v>Fuerte
25</v>
      </c>
      <c r="D96" s="462"/>
      <c r="E96" s="186"/>
      <c r="F96" s="382"/>
      <c r="G96" s="504"/>
      <c r="Y96" s="213"/>
      <c r="Z96" s="6"/>
      <c r="AA96" s="6"/>
      <c r="AB96" s="6"/>
      <c r="AC96" s="6"/>
      <c r="AD96" s="6"/>
      <c r="AE96" s="6"/>
      <c r="AH96" s="147"/>
      <c r="AI96" s="147"/>
      <c r="AJ96" s="147"/>
    </row>
    <row r="97" spans="1:58" customHeight="1" ht="16.35">
      <c r="A97" s="139">
        <f>I39/2</f>
        <v>0</v>
      </c>
      <c r="B97" s="139">
        <f>IF(A97=0,0,((A97*50)/$B$53))</f>
        <v>0</v>
      </c>
      <c r="C97" s="379" t="str">
        <f>C96</f>
        <v>Fuerte
25</v>
      </c>
      <c r="D97" s="462"/>
      <c r="E97" s="186"/>
      <c r="F97" s="382"/>
      <c r="G97" s="504"/>
      <c r="Y97" s="213"/>
      <c r="Z97" s="6"/>
      <c r="AA97" s="6"/>
      <c r="AB97" s="6"/>
      <c r="AC97" s="6"/>
      <c r="AD97" s="6"/>
      <c r="AE97" s="6"/>
      <c r="AH97" s="147"/>
      <c r="AI97" s="147"/>
      <c r="AJ97" s="147"/>
    </row>
    <row r="98" spans="1:58" customHeight="1" ht="16.35">
      <c r="A98" s="139">
        <f>K36</f>
        <v>0</v>
      </c>
      <c r="B98" s="139">
        <f>IF(A98=0,0,((A98*50)/$B$53))</f>
        <v>0</v>
      </c>
      <c r="C98" s="379" t="str">
        <f>K3</f>
        <v>Exclusiva
50</v>
      </c>
      <c r="D98" s="462">
        <v>0.62</v>
      </c>
      <c r="E98" s="186">
        <v>0.13</v>
      </c>
      <c r="F98" s="382">
        <v>0.25</v>
      </c>
      <c r="G98" s="504"/>
      <c r="Y98" s="213"/>
      <c r="Z98" s="6"/>
      <c r="AA98" s="6"/>
      <c r="AB98" s="6"/>
      <c r="AC98" s="6"/>
      <c r="AD98" s="6"/>
      <c r="AE98" s="6"/>
      <c r="AH98" s="147"/>
      <c r="AI98" s="147"/>
      <c r="AJ98" s="147"/>
    </row>
    <row r="99" spans="1:58" customHeight="1" ht="26.85">
      <c r="A99" s="139">
        <f>N36</f>
        <v>0</v>
      </c>
      <c r="B99" s="139">
        <f>IF(A99=0,0,((A99*50)/$B$53))</f>
        <v>0</v>
      </c>
      <c r="C99" s="449" t="str">
        <f>N3</f>
        <v>Harina Tortas y Ponques</v>
      </c>
      <c r="D99" s="462"/>
      <c r="E99" s="186"/>
      <c r="F99" s="186"/>
      <c r="G99" s="504"/>
      <c r="Y99" s="213"/>
      <c r="Z99" s="6"/>
      <c r="AA99" s="6"/>
      <c r="AB99" s="6"/>
      <c r="AC99" s="6"/>
      <c r="AD99" s="6"/>
      <c r="AE99" s="6"/>
      <c r="AH99" s="147"/>
      <c r="AI99" s="147"/>
      <c r="AJ99" s="147"/>
    </row>
    <row r="100" spans="1:58" customHeight="1" ht="29.25">
      <c r="A100" s="139">
        <f>O36</f>
        <v>0</v>
      </c>
      <c r="B100" s="139">
        <f>IF(A100=0,0,((A100*50)/$B$53))</f>
        <v>0</v>
      </c>
      <c r="C100" s="449" t="str">
        <f>O3</f>
        <v>Harina Galeras Ligera</v>
      </c>
      <c r="D100" s="462"/>
      <c r="E100" s="186"/>
      <c r="F100" s="508"/>
      <c r="G100" s="188"/>
      <c r="H100" s="214"/>
      <c r="I100" s="214"/>
      <c r="J100" s="214"/>
      <c r="K100" s="156"/>
      <c r="L100" s="156"/>
      <c r="M100" s="156"/>
      <c r="N100" s="156"/>
      <c r="O100" s="202"/>
      <c r="P100" s="202"/>
      <c r="Q100" s="214"/>
      <c r="R100" s="214"/>
      <c r="S100" s="214"/>
      <c r="T100" s="156"/>
      <c r="U100" s="156"/>
      <c r="Y100" s="213"/>
      <c r="Z100" s="6"/>
      <c r="AA100" s="6"/>
      <c r="AB100" s="6"/>
      <c r="AC100" s="6"/>
      <c r="AD100" s="6"/>
      <c r="AE100" s="6"/>
      <c r="AH100" s="147"/>
      <c r="AI100" s="147"/>
      <c r="AJ100" s="147"/>
    </row>
    <row r="101" spans="1:58" customHeight="1" ht="29.25">
      <c r="A101" s="139">
        <f>O38</f>
        <v>0</v>
      </c>
      <c r="B101" s="139">
        <f>IF(A101=0,0,((A101*50)/$B$53))</f>
        <v>0</v>
      </c>
      <c r="C101" s="449" t="str">
        <f>C100</f>
        <v>Harina Galeras Ligera</v>
      </c>
      <c r="D101" s="462"/>
      <c r="E101" s="186"/>
      <c r="F101" s="186"/>
      <c r="G101" s="504"/>
      <c r="H101" s="214"/>
      <c r="I101" s="214"/>
      <c r="J101" s="214"/>
      <c r="K101" s="156"/>
      <c r="L101" s="156"/>
      <c r="M101" s="156"/>
      <c r="N101" s="156"/>
      <c r="O101" s="202"/>
      <c r="P101" s="202"/>
      <c r="Q101" s="214"/>
      <c r="R101" s="214"/>
      <c r="S101" s="214"/>
      <c r="T101" s="156"/>
      <c r="U101" s="156"/>
      <c r="Y101" s="213"/>
      <c r="Z101" s="6"/>
      <c r="AA101" s="6"/>
      <c r="AB101" s="6"/>
      <c r="AC101" s="6"/>
      <c r="AD101" s="6"/>
      <c r="AE101" s="6"/>
      <c r="AH101" s="147"/>
      <c r="AI101" s="147"/>
      <c r="AJ101" s="147"/>
    </row>
    <row r="102" spans="1:58" customHeight="1" ht="17.1">
      <c r="A102" s="139">
        <f>Q36</f>
        <v>0</v>
      </c>
      <c r="B102" s="139">
        <f>IF(A102=0,0,((A102*50)/$B$53))</f>
        <v>0</v>
      </c>
      <c r="C102" s="379" t="str">
        <f>Q3</f>
        <v>ESPECIAL
50</v>
      </c>
      <c r="D102" s="462"/>
      <c r="E102" s="186"/>
      <c r="F102" s="186"/>
      <c r="G102" s="505"/>
      <c r="X102" s="213"/>
      <c r="Y102" s="213"/>
      <c r="Z102" s="6"/>
      <c r="AA102" s="6"/>
      <c r="AB102" s="6"/>
      <c r="AC102" s="6"/>
      <c r="AD102" s="6"/>
      <c r="AE102" s="6"/>
      <c r="AH102" s="147"/>
      <c r="AI102" s="147"/>
      <c r="AJ102" s="147"/>
    </row>
    <row r="103" spans="1:58" customHeight="1" ht="31.5">
      <c r="A103" s="139">
        <f>R36/50</f>
        <v>0</v>
      </c>
      <c r="B103" s="139">
        <f>IF(A103=0,0,((A103*50)/$B$53))</f>
        <v>0</v>
      </c>
      <c r="C103" s="449" t="str">
        <f>R3</f>
        <v>Harina de alta proteina x 1
G</v>
      </c>
      <c r="D103" s="462">
        <v>1</v>
      </c>
      <c r="E103" s="186"/>
      <c r="F103" s="186"/>
      <c r="G103" s="505"/>
      <c r="X103" s="213"/>
      <c r="Y103" s="213"/>
      <c r="Z103" s="6"/>
      <c r="AA103" s="6"/>
      <c r="AB103" s="6"/>
      <c r="AC103" s="6"/>
      <c r="AD103" s="6"/>
      <c r="AE103" s="6"/>
      <c r="AH103" s="147"/>
      <c r="AI103" s="147"/>
      <c r="AJ103" s="147"/>
    </row>
    <row r="104" spans="1:58" customHeight="1" ht="16.35">
      <c r="A104" s="139">
        <f>R38/50</f>
        <v>0</v>
      </c>
      <c r="B104" s="139">
        <f>IF(A104=0,0,((A104*50)/$B$53))</f>
        <v>0</v>
      </c>
      <c r="C104" s="379" t="s">
        <v>170</v>
      </c>
      <c r="D104" s="381"/>
      <c r="E104" s="230"/>
      <c r="F104" s="230"/>
      <c r="G104" s="505"/>
      <c r="X104" s="213"/>
      <c r="Y104" s="213"/>
      <c r="Z104" s="6"/>
      <c r="AA104" s="6"/>
      <c r="AB104" s="6"/>
      <c r="AC104" s="6"/>
      <c r="AD104" s="6"/>
      <c r="AE104" s="6"/>
      <c r="AH104" s="147"/>
      <c r="AI104" s="147"/>
      <c r="AJ104" s="147"/>
    </row>
    <row r="105" spans="1:58" customHeight="1" ht="27.6">
      <c r="A105" s="139">
        <f>S36/50</f>
        <v>0</v>
      </c>
      <c r="B105" s="139">
        <f>IF(A105=0,0,((A105*50)/$B$53))</f>
        <v>0</v>
      </c>
      <c r="C105" s="449" t="str">
        <f>S3</f>
        <v>Harina de baja proteina x 1</v>
      </c>
      <c r="D105" s="381"/>
      <c r="E105" s="230"/>
      <c r="F105" s="230">
        <v>1</v>
      </c>
      <c r="G105" s="505"/>
      <c r="X105" s="213"/>
      <c r="Y105" s="213"/>
      <c r="Z105" s="6"/>
      <c r="AA105" s="6"/>
      <c r="AB105" s="6"/>
      <c r="AC105" s="6"/>
      <c r="AD105" s="6"/>
      <c r="AE105" s="6"/>
      <c r="AH105" s="147"/>
      <c r="AI105" s="147"/>
      <c r="AJ105" s="147"/>
    </row>
    <row r="106" spans="1:58" customHeight="1" ht="16.35">
      <c r="A106" s="139">
        <f>S38/50</f>
        <v>0</v>
      </c>
      <c r="B106" s="139">
        <f>IF(A106=0,0,((A106*50)/$B$53))</f>
        <v>0</v>
      </c>
      <c r="C106" s="449" t="s">
        <v>171</v>
      </c>
      <c r="D106" s="381"/>
      <c r="E106" s="230"/>
      <c r="F106" s="230"/>
      <c r="G106" s="507"/>
      <c r="X106" s="213"/>
      <c r="Y106" s="213"/>
      <c r="Z106" s="6"/>
      <c r="AA106" s="6"/>
      <c r="AB106" s="6"/>
      <c r="AC106" s="6"/>
      <c r="AD106" s="6"/>
      <c r="AE106" s="6"/>
      <c r="AH106" s="147"/>
      <c r="AI106" s="147"/>
      <c r="AJ106" s="147"/>
    </row>
    <row r="107" spans="1:58" customHeight="1" ht="16.35">
      <c r="A107" s="139">
        <f>S39/50</f>
        <v>0</v>
      </c>
      <c r="B107" s="139">
        <f>IF(A107=0,0,((A107*50)/$B$53))</f>
        <v>0</v>
      </c>
      <c r="C107" s="449" t="s">
        <v>171</v>
      </c>
      <c r="D107" s="381"/>
      <c r="E107" s="230"/>
      <c r="F107" s="230"/>
      <c r="G107" s="507"/>
      <c r="X107" s="213"/>
      <c r="Y107" s="213"/>
      <c r="Z107" s="6"/>
      <c r="AA107" s="6"/>
      <c r="AB107" s="6"/>
      <c r="AC107" s="6"/>
      <c r="AD107" s="6"/>
      <c r="AE107" s="6"/>
      <c r="AH107" s="147"/>
      <c r="AI107" s="147"/>
      <c r="AJ107" s="147"/>
    </row>
    <row r="108" spans="1:58" customHeight="1" ht="24">
      <c r="A108" s="139">
        <f>T36/50</f>
        <v>0</v>
      </c>
      <c r="B108" s="139">
        <f>IF(A108=0,0,((A108*50)/$B$53))</f>
        <v>0</v>
      </c>
      <c r="C108" s="449" t="str">
        <f>T3</f>
        <v>ARTESANAL X 1
G</v>
      </c>
      <c r="D108" s="462">
        <v>0.61</v>
      </c>
      <c r="E108" s="186"/>
      <c r="F108" s="186">
        <v>0.39</v>
      </c>
      <c r="G108" s="505"/>
      <c r="X108" s="213"/>
      <c r="Y108" s="213"/>
      <c r="Z108" s="6"/>
      <c r="AA108" s="6"/>
      <c r="AB108" s="6"/>
      <c r="AC108" s="6"/>
      <c r="AD108" s="6"/>
      <c r="AE108" s="6"/>
      <c r="AH108" s="147"/>
      <c r="AI108" s="147"/>
      <c r="AJ108" s="147"/>
    </row>
    <row r="109" spans="1:58" customHeight="1" ht="22.5">
      <c r="A109" s="139">
        <f>T38/50</f>
        <v>0</v>
      </c>
      <c r="B109" s="139">
        <f>IF(A109=0,0,((A109*50)/$B$53))</f>
        <v>0</v>
      </c>
      <c r="C109" s="449" t="str">
        <f>T3</f>
        <v>ARTESANAL X 1
G</v>
      </c>
      <c r="D109" s="462"/>
      <c r="E109" s="186"/>
      <c r="F109" s="186"/>
      <c r="G109" s="505"/>
      <c r="X109" s="213"/>
      <c r="Y109" s="213"/>
      <c r="Z109" s="6"/>
      <c r="AA109" s="6"/>
      <c r="AB109" s="6"/>
      <c r="AC109" s="6"/>
      <c r="AD109" s="6"/>
      <c r="AE109" s="6"/>
      <c r="AH109" s="147"/>
      <c r="AI109" s="147"/>
      <c r="AJ109" s="147"/>
    </row>
    <row r="110" spans="1:58" customHeight="1" ht="16.35">
      <c r="A110" s="139">
        <f>P36/2</f>
        <v>0</v>
      </c>
      <c r="B110" s="139">
        <f>IF(A110=0,0,((A110*50)/$B$53))</f>
        <v>0</v>
      </c>
      <c r="C110" s="379" t="str">
        <f>P3</f>
        <v>H. Manitova </v>
      </c>
      <c r="D110" s="470"/>
      <c r="E110" s="186"/>
      <c r="F110" s="186"/>
      <c r="G110" s="507"/>
      <c r="X110" s="213"/>
      <c r="Y110" s="213"/>
      <c r="Z110" s="6"/>
      <c r="AA110" s="6"/>
      <c r="AB110" s="6"/>
      <c r="AC110" s="6"/>
      <c r="AD110" s="6"/>
      <c r="AE110" s="6"/>
      <c r="AH110" s="147"/>
      <c r="AI110" s="147"/>
      <c r="AJ110" s="147"/>
    </row>
    <row r="111" spans="1:58" customHeight="1" ht="16.35">
      <c r="A111" s="139">
        <f>U36/2</f>
        <v>0</v>
      </c>
      <c r="B111" s="139">
        <f>IF(A111=0,0,((A111*50)/$B$53))</f>
        <v>0</v>
      </c>
      <c r="C111" s="379" t="str">
        <f>U3</f>
        <v>H. espcial x 25
</v>
      </c>
      <c r="D111" s="378"/>
      <c r="E111" s="251">
        <v>0.14</v>
      </c>
      <c r="F111" s="509">
        <v>0.86</v>
      </c>
      <c r="G111" s="510"/>
      <c r="X111" s="213"/>
      <c r="Y111" s="213"/>
      <c r="Z111" s="6"/>
      <c r="AA111" s="6"/>
      <c r="AB111" s="6"/>
      <c r="AC111" s="6"/>
      <c r="AD111" s="6"/>
      <c r="AE111" s="6"/>
      <c r="AH111" s="147"/>
      <c r="AI111" s="147"/>
      <c r="AJ111" s="147"/>
    </row>
    <row r="112" spans="1:58" customHeight="1" ht="16.35">
      <c r="A112" s="139"/>
      <c r="B112" s="139"/>
      <c r="C112" s="216"/>
      <c r="D112" s="4"/>
      <c r="E112" s="4"/>
      <c r="F112" s="4"/>
      <c r="G112" s="464"/>
      <c r="X112" s="213"/>
      <c r="Y112" s="213"/>
      <c r="Z112" s="6"/>
      <c r="AA112" s="6"/>
      <c r="AB112" s="6"/>
      <c r="AC112" s="6"/>
      <c r="AD112" s="6"/>
      <c r="AE112" s="6"/>
      <c r="AH112" s="147"/>
      <c r="AI112" s="147"/>
      <c r="AJ112" s="147"/>
    </row>
    <row r="113" spans="1:58" customHeight="1" ht="16.35">
      <c r="A113" s="139">
        <f>Z42/2</f>
        <v>0</v>
      </c>
      <c r="B113" s="139">
        <f>IF(A113=0,0,((A113*51.6)))</f>
        <v>0</v>
      </c>
      <c r="C113" s="217" t="str">
        <f>A42</f>
        <v>Grano entero</v>
      </c>
      <c r="D113" s="182"/>
      <c r="E113" s="182"/>
      <c r="F113" s="512"/>
      <c r="G113" s="511"/>
      <c r="X113" s="213"/>
      <c r="Y113" s="213"/>
      <c r="Z113" s="6"/>
      <c r="AA113" s="6"/>
      <c r="AB113" s="6"/>
      <c r="AC113" s="6"/>
      <c r="AD113" s="6"/>
      <c r="AE113" s="6"/>
      <c r="AH113" s="147"/>
      <c r="AI113" s="147"/>
      <c r="AJ113" s="147"/>
    </row>
    <row r="114" spans="1:58" customHeight="1" ht="16.35">
      <c r="A114" s="139">
        <f>Z43/2</f>
        <v>0</v>
      </c>
      <c r="B114" s="139">
        <f>IF(A114=0,0,((A114*50)))</f>
        <v>0</v>
      </c>
      <c r="C114" s="379" t="str">
        <f>A43</f>
        <v>Bio Convercion </v>
      </c>
      <c r="D114" s="462"/>
      <c r="E114" s="366"/>
      <c r="F114" s="186"/>
      <c r="G114" s="505"/>
      <c r="X114" s="213"/>
      <c r="Y114" s="213"/>
      <c r="Z114" s="6"/>
      <c r="AA114" s="6"/>
      <c r="AB114" s="6"/>
      <c r="AC114" s="6"/>
      <c r="AD114" s="6"/>
      <c r="AE114" s="6"/>
      <c r="AH114" s="147"/>
      <c r="AI114" s="147"/>
      <c r="AJ114" s="147"/>
    </row>
    <row r="115" spans="1:58" customHeight="1" ht="16.35">
      <c r="A115" s="139">
        <f>Z45/2</f>
        <v>0</v>
      </c>
      <c r="B115" s="139">
        <f>IF(A115=0,0,((A115*50.55)))</f>
        <v>0</v>
      </c>
      <c r="C115" s="380" t="str">
        <f>A45</f>
        <v>Trigo entero </v>
      </c>
      <c r="D115" s="470"/>
      <c r="E115" s="230"/>
      <c r="F115" s="366"/>
      <c r="G115" s="513"/>
      <c r="X115" s="213"/>
      <c r="Y115" s="213"/>
      <c r="Z115" s="6"/>
      <c r="AA115" s="6"/>
      <c r="AB115" s="6"/>
      <c r="AC115" s="6"/>
      <c r="AD115" s="6"/>
      <c r="AE115" s="6"/>
      <c r="AH115" s="147"/>
      <c r="AI115" s="147"/>
      <c r="AJ115" s="147"/>
    </row>
    <row r="116" spans="1:58" customHeight="1" ht="16.35">
      <c r="A116" s="139">
        <f>AA45/2</f>
        <v>0</v>
      </c>
      <c r="B116" s="139">
        <f>IF(A116=0,0,((A116*52)))</f>
        <v>0</v>
      </c>
      <c r="C116" s="380" t="str">
        <f>C115</f>
        <v>Trigo entero </v>
      </c>
      <c r="D116" s="378"/>
      <c r="E116" s="192"/>
      <c r="F116" s="192"/>
      <c r="G116" s="514"/>
      <c r="X116" s="213"/>
      <c r="Y116" s="213"/>
      <c r="Z116" s="6"/>
      <c r="AA116" s="6"/>
      <c r="AB116" s="6"/>
      <c r="AC116" s="6"/>
      <c r="AD116" s="6"/>
      <c r="AE116" s="6"/>
      <c r="AH116" s="147"/>
      <c r="AI116" s="147"/>
      <c r="AJ116" s="147"/>
    </row>
    <row r="117" spans="1:58" customHeight="1" ht="13.5">
      <c r="B117" s="139">
        <f>SUM(B82:B116)</f>
        <v>0</v>
      </c>
      <c r="X117" s="213"/>
      <c r="Y117" s="386"/>
      <c r="Z117" s="6"/>
      <c r="AA117" s="6"/>
      <c r="AB117" s="6"/>
      <c r="AC117" s="6"/>
      <c r="AD117" s="6"/>
      <c r="AE117" s="6"/>
      <c r="AH117" s="147"/>
      <c r="AI117" s="147"/>
      <c r="AJ117" s="147"/>
      <c r="AO117" s="147"/>
      <c r="AP117" s="147"/>
    </row>
    <row r="118" spans="1:58" customHeight="1" ht="12.75">
      <c r="X118" s="213"/>
      <c r="Y118" s="4"/>
      <c r="Z118" s="4"/>
      <c r="AB118" s="384"/>
      <c r="AC118" s="385"/>
      <c r="AD118" s="4"/>
      <c r="AE118" s="213"/>
      <c r="AF118" s="213"/>
      <c r="AG118" s="6"/>
      <c r="AH118" s="6"/>
      <c r="AI118" s="6"/>
      <c r="AJ118" s="6"/>
      <c r="AK118" s="6"/>
      <c r="AL118" s="6"/>
      <c r="AM118" s="6"/>
      <c r="AP118" s="147"/>
      <c r="AQ118" s="147"/>
      <c r="AV118" s="147"/>
      <c r="AW118" s="147"/>
    </row>
    <row r="119" spans="1:58">
      <c r="X119" s="213"/>
      <c r="Y119" s="4"/>
      <c r="Z119" s="4"/>
      <c r="AB119" s="4"/>
      <c r="AE119" s="213"/>
      <c r="AF119" s="473"/>
      <c r="AG119" s="6"/>
      <c r="AH119" s="6"/>
      <c r="AI119" s="6"/>
      <c r="AJ119" s="6"/>
      <c r="AK119" s="6"/>
      <c r="AL119" s="6"/>
      <c r="AM119" s="6"/>
      <c r="AP119" s="147"/>
      <c r="AQ119" s="147"/>
      <c r="AV119" s="147"/>
      <c r="AW119" s="147"/>
    </row>
    <row r="120" spans="1:58">
      <c r="X120" s="213"/>
      <c r="Y120" s="213"/>
      <c r="Z120" s="4"/>
      <c r="AA120" s="4"/>
      <c r="AC120" s="4"/>
      <c r="AF120" s="213"/>
      <c r="AG120" s="213"/>
      <c r="AH120" s="6"/>
      <c r="AI120" s="6"/>
      <c r="AJ120" s="6"/>
      <c r="AK120" s="6"/>
      <c r="AL120" s="6"/>
      <c r="AM120" s="6"/>
      <c r="AN120" s="6"/>
      <c r="AQ120" s="147"/>
      <c r="AR120" s="147"/>
      <c r="AW120" s="147"/>
      <c r="AX120" s="147"/>
    </row>
    <row r="121" spans="1:58">
      <c r="X121" s="213"/>
      <c r="Z121" s="4"/>
      <c r="AA121" s="4"/>
      <c r="AC121" s="4"/>
      <c r="AF121" s="213"/>
      <c r="AG121" s="213"/>
      <c r="AH121" s="6"/>
      <c r="AI121" s="6"/>
      <c r="AJ121" s="6"/>
      <c r="AK121" s="6"/>
      <c r="AL121" s="6"/>
      <c r="AM121" s="6"/>
      <c r="AN121" s="6"/>
      <c r="AQ121" s="147"/>
      <c r="AR121" s="147"/>
      <c r="AW121" s="147"/>
      <c r="AX121" s="147"/>
    </row>
    <row r="122" spans="1:58">
      <c r="N122" s="4"/>
      <c r="X122" s="213"/>
      <c r="AA122" s="4"/>
      <c r="AC122" s="4"/>
      <c r="AF122" s="213"/>
      <c r="AG122" s="213"/>
      <c r="AH122" s="6"/>
      <c r="AI122" s="6"/>
      <c r="AJ122" s="6"/>
      <c r="AK122" s="6"/>
      <c r="AL122" s="6"/>
      <c r="AM122" s="6"/>
      <c r="AN122" s="6"/>
      <c r="AQ122" s="147"/>
      <c r="AR122" s="147"/>
      <c r="AW122" s="147"/>
      <c r="AX122" s="147"/>
    </row>
    <row r="123" spans="1:58">
      <c r="N123" s="4"/>
      <c r="X123" s="213"/>
      <c r="Z123" s="6"/>
      <c r="AA123" s="6"/>
      <c r="AB123" s="6"/>
      <c r="AC123" s="6"/>
      <c r="AD123" s="6"/>
      <c r="AE123" s="6"/>
      <c r="AH123" s="147"/>
      <c r="AI123" s="147"/>
      <c r="AJ123" s="147"/>
      <c r="AO123" s="147"/>
      <c r="AP123" s="147"/>
    </row>
    <row r="124" spans="1:58">
      <c r="N124" s="4"/>
      <c r="X124" s="213"/>
      <c r="Z124" s="6"/>
      <c r="AA124" s="6"/>
      <c r="AB124" s="6"/>
      <c r="AC124" s="6"/>
      <c r="AD124" s="6"/>
      <c r="AE124" s="6"/>
      <c r="AH124" s="147"/>
      <c r="AI124" s="147"/>
      <c r="AJ124" s="147"/>
      <c r="AO124" s="147"/>
      <c r="AP124" s="147"/>
    </row>
    <row r="125" spans="1:58">
      <c r="N125" s="4"/>
      <c r="X125" s="213"/>
      <c r="AD125" s="6"/>
      <c r="AE125" s="6"/>
      <c r="AH125" s="147"/>
      <c r="AI125" s="147"/>
      <c r="AJ125" s="147"/>
      <c r="AO125" s="147"/>
      <c r="AP125" s="147"/>
    </row>
    <row r="126" spans="1:58">
      <c r="N126" s="4"/>
      <c r="X126" s="4"/>
    </row>
    <row r="127" spans="1:58">
      <c r="N127" s="4"/>
      <c r="X127" s="4"/>
    </row>
    <row r="128" spans="1:58">
      <c r="N128" s="4"/>
    </row>
    <row r="129" spans="1:58">
      <c r="N129" s="4"/>
      <c r="W129" s="4"/>
    </row>
  </sheetData>
  <sheetProtection formatCells="0" formatColumns="0" formatRows="0" insertColumns="0" insertRows="0" insertHyperlinks="0" deleteColumns="0" deleteRows="0" sort="0" autoFilter="0" pivotTables="0"/>
  <protectedRanges>
    <protectedRange name="Hz neumatico" sqref="H57"/>
    <protectedRange name="Repaso y reproceso_2" sqref="V42:W45"/>
    <protectedRange name="Produccion Harinas_2" sqref="C42:U45"/>
    <protectedRange name="Produccion otros productos_2" sqref="X42:AC45"/>
    <protectedRange name="Datos basculas_2" sqref="AW42:BB45"/>
    <protectedRange name="Horas_2" sqref="AN42:AP45"/>
    <protectedRange name="Fecha_2" sqref="B42:B45"/>
    <protectedRange name="Produccion Harinas" sqref="T5:U8 D5:R8 C9:U35"/>
    <protectedRange name="Datos energia" sqref="H544 G55:H56"/>
    <protectedRange name="Formulas trigo" sqref="H87:J98 D93:F93 H82:J85 D112:F116 H102:J116"/>
    <protectedRange name="Produccion otros productos" sqref="X5:Z8 Z4 AC15 X9:AC13 AB16:AC35 X14:AA35 AB14:AC14"/>
    <protectedRange name="Formulas vitamina" sqref="Z75:AB75"/>
    <protectedRange name="Datos basculas" sqref="AW4:BB35"/>
    <protectedRange name="Horas" sqref="AN4:AP35"/>
    <protectedRange name="Datos Nomina" sqref="O56:Q56"/>
    <protectedRange name="Fecha" sqref="B24:B35"/>
    <protectedRange name="Trigos" sqref="D80:E80 H80:M80"/>
    <protectedRange name="Formulas trigo_3" sqref="H99:J99"/>
    <protectedRange name="Formulas trigo_5" sqref="H100:J101"/>
    <protectedRange name="Datos basculas_4_2_1_2" sqref="BD4:BE5 BC4:BC7"/>
    <protectedRange name="Datos energia_2" sqref="G54:H54"/>
    <protectedRange name="Repaso y reproceso_3" sqref="V4:W4"/>
    <protectedRange name="Produccion Harinas_4" sqref="D4:Q4"/>
    <protectedRange name="Produccion otros productos_3" sqref="X4:Y4"/>
    <protectedRange name="Produccion Harinas_3_1" sqref="R4 T4:U4"/>
    <protectedRange name="Formulas trigo_1" sqref="G82:G85 G112:G116 G87:G93 G108:G109"/>
    <protectedRange name="Formulas trigo_1_2_6_1" sqref="G86"/>
    <protectedRange name="Produccion Harinas_3" sqref="C4:C8"/>
    <protectedRange name="Produccion Harinas_6" sqref="S4:S8"/>
    <protectedRange name="Produccion otros productos_4" sqref="AA4:AC8"/>
    <protectedRange name="Datos energia_1" sqref="G53:H53"/>
    <protectedRange name="Fecha_1" sqref="B4:B23"/>
    <protectedRange name="Formulas trigo_2" sqref="F82:F85 D87:F92 D108:F109"/>
    <protectedRange name="Formulas trigo_1_3_1" sqref="D82:D85"/>
    <protectedRange name="Formulas trigo_1_8_1" sqref="E86"/>
    <protectedRange name="Formulas trigo_1_2_6_2" sqref="F86"/>
    <protectedRange name="Formulas trigo_4" sqref="D102:F107 D96:F97 D110:F111"/>
    <protectedRange name="Formulas trigo_1_4_1" sqref="E99"/>
    <protectedRange name="Formulas trigo_1_2_2_2" sqref="F99"/>
    <protectedRange name="Formulas trigo_1_3_2_1" sqref="D99"/>
    <protectedRange name="Formulas trigo_1_6_1" sqref="E100:E101"/>
    <protectedRange name="Formulas trigo_1_2_4_2" sqref="F100:F101"/>
    <protectedRange name="Formulas trigo_1_3_4_1" sqref="D100:D101"/>
    <protectedRange name="Formulas trigo_1_1" sqref="G94:G101 G104:G107 G110:G111"/>
    <protectedRange name="Formulas trigo_1_2_2_1_1" sqref="G102"/>
    <protectedRange name="Formulas trigo_1_2_4_1_1" sqref="G103"/>
    <protectedRange name="Formulas trigo_2_1" sqref="D98:F98"/>
    <protectedRange name="Formulas trigo_4_1" sqref="D94:F95"/>
  </protectedRanges>
  <mergeCells>
    <mergeCell ref="B1:W1"/>
    <mergeCell ref="AH1:AM1"/>
    <mergeCell ref="AN1:AX1"/>
    <mergeCell ref="B2:Q2"/>
    <mergeCell ref="R2:T2"/>
    <mergeCell ref="V2:W2"/>
    <mergeCell ref="X2:Z2"/>
    <mergeCell ref="AA2:AC2"/>
    <mergeCell ref="AF2:AM2"/>
    <mergeCell ref="AN2:AP2"/>
    <mergeCell ref="AE48:AF48"/>
    <mergeCell ref="AQ2:AU2"/>
    <mergeCell ref="AW2:BF2"/>
    <mergeCell ref="AW4:AW33"/>
    <mergeCell ref="AX4:AX33"/>
    <mergeCell ref="AY4:AY33"/>
    <mergeCell ref="AZ4:AZ33"/>
    <mergeCell ref="BA4:BA33"/>
    <mergeCell ref="BB4:BB33"/>
    <mergeCell ref="BC4:BC33"/>
    <mergeCell ref="BD4:BD33"/>
    <mergeCell ref="BE4:BE33"/>
    <mergeCell ref="BF4:BF33"/>
    <mergeCell ref="AD38:AE38"/>
    <mergeCell ref="AE39:AF39"/>
    <mergeCell ref="AD47:AE47"/>
    <mergeCell ref="R49:U49"/>
    <mergeCell ref="F50:G50"/>
    <mergeCell ref="K50:L50"/>
    <mergeCell ref="O50:P50"/>
    <mergeCell ref="S50:T50"/>
    <mergeCell ref="A49:B49"/>
    <mergeCell ref="C49:C50"/>
    <mergeCell ref="F49:H49"/>
    <mergeCell ref="K49:M49"/>
    <mergeCell ref="O49:Q49"/>
    <mergeCell ref="V50:W50"/>
    <mergeCell ref="F51:G51"/>
    <mergeCell ref="K51:L51"/>
    <mergeCell ref="O51:P51"/>
    <mergeCell ref="S51:T51"/>
    <mergeCell ref="V51:W51"/>
    <mergeCell ref="G53:H53"/>
    <mergeCell ref="K53:L53"/>
    <mergeCell ref="O53:P53"/>
    <mergeCell ref="S53:T53"/>
    <mergeCell ref="V53:W53"/>
    <mergeCell ref="F52:G52"/>
    <mergeCell ref="K52:L52"/>
    <mergeCell ref="O52:P52"/>
    <mergeCell ref="S52:T52"/>
    <mergeCell ref="V52:W52"/>
    <mergeCell ref="G55:H55"/>
    <mergeCell ref="K55:L55"/>
    <mergeCell ref="O55:P55"/>
    <mergeCell ref="S55:T55"/>
    <mergeCell ref="V55:W55"/>
    <mergeCell ref="G54:I54"/>
    <mergeCell ref="K54:L54"/>
    <mergeCell ref="O54:P54"/>
    <mergeCell ref="S54:T54"/>
    <mergeCell ref="V54:W54"/>
    <mergeCell ref="F65:H65"/>
    <mergeCell ref="U65:V65"/>
    <mergeCell ref="G56:H56"/>
    <mergeCell ref="F57:G57"/>
    <mergeCell ref="K57:O57"/>
    <mergeCell ref="G60:H60"/>
    <mergeCell ref="T60:V60"/>
    <mergeCell ref="U61:V61"/>
    <mergeCell ref="F62:H62"/>
    <mergeCell ref="K62:O62"/>
    <mergeCell ref="U62:V62"/>
    <mergeCell ref="F63:G63"/>
    <mergeCell ref="T64:V64"/>
    <mergeCell ref="F70:G70"/>
    <mergeCell ref="V71:V72"/>
    <mergeCell ref="F66:G66"/>
    <mergeCell ref="U66:V66"/>
    <mergeCell ref="U67:V67"/>
    <mergeCell ref="G68:H68"/>
    <mergeCell ref="U68:V68"/>
    <mergeCell ref="G69:H69"/>
    <mergeCell ref="M69:O69"/>
  </mergeCells>
  <conditionalFormatting sqref="I55">
    <cfRule type="cellIs" dxfId="0" priority="4" operator="lessThan" stopIfTrue="1">
      <formula>0.935</formula>
    </cfRule>
  </conditionalFormatting>
  <conditionalFormatting sqref="AF3">
    <cfRule type="cellIs" dxfId="1" priority="3" operator="lessThan" stopIfTrue="1">
      <formula>0.76</formula>
    </cfRule>
  </conditionalFormatting>
  <conditionalFormatting sqref="AF4:AF35">
    <cfRule type="cellIs" dxfId="2" priority="5" operator="lessThan" stopIfTrue="1">
      <formula>0.765</formula>
    </cfRule>
  </conditionalFormatting>
  <conditionalFormatting sqref="AF36 AE76:AE77 AE79:AE91 Z92:AC117 AG118:AI119 AK118:AK119 AH120:AI122 AK120:AL122 Z123:AC124">
    <cfRule type="cellIs" dxfId="1" priority="6" operator="lessThan" stopIfTrue="1">
      <formula>0.76</formula>
    </cfRule>
  </conditionalFormatting>
  <conditionalFormatting sqref="AF42:AF45">
    <cfRule type="cellIs" dxfId="2" priority="1" operator="lessThan" stopIfTrue="1">
      <formula>0.765</formula>
    </cfRule>
  </conditionalFormatting>
  <conditionalFormatting sqref="AH1:AI1 AJ118:AJ122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  <legacyDrawing r:id="rId_comments_vml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9"/>
  <sheetViews>
    <sheetView tabSelected="0" workbookViewId="0" showGridLines="true" showRowColHeaders="1" topLeftCell="A23">
      <selection activeCell="AC14" sqref="AC14"/>
    </sheetView>
  </sheetViews>
  <sheetFormatPr defaultRowHeight="14.4" defaultColWidth="11.42578125" outlineLevelRow="0" outlineLevelCol="0"/>
  <cols>
    <col min="17" max="17" width="12.28515625" customWidth="true" style="0"/>
    <col min="18" max="18" width="11.7109375" customWidth="true" style="0"/>
    <col min="19" max="19" width="12.5703125" customWidth="true" style="0"/>
    <col min="27" max="27" width="12.5703125" customWidth="true" style="0"/>
    <col min="28" max="28" width="12.28515625" customWidth="true" style="0"/>
    <col min="29" max="29" width="11.7109375" customWidth="true" style="0"/>
  </cols>
  <sheetData>
    <row r="2" spans="1:30" customHeight="1" ht="39.6">
      <c r="A2" s="314" t="s">
        <v>172</v>
      </c>
      <c r="B2" s="285" t="s">
        <v>16</v>
      </c>
      <c r="C2" s="285" t="s">
        <v>17</v>
      </c>
      <c r="D2" s="285" t="s">
        <v>18</v>
      </c>
      <c r="E2" s="286" t="s">
        <v>19</v>
      </c>
      <c r="F2" s="287" t="s">
        <v>20</v>
      </c>
      <c r="G2" s="287" t="s">
        <v>21</v>
      </c>
      <c r="H2" s="288" t="s">
        <v>22</v>
      </c>
      <c r="I2" s="286" t="s">
        <v>23</v>
      </c>
      <c r="J2" s="289" t="s">
        <v>24</v>
      </c>
      <c r="K2" s="290" t="s">
        <v>173</v>
      </c>
      <c r="L2" s="290" t="s">
        <v>26</v>
      </c>
      <c r="M2" s="290" t="s">
        <v>27</v>
      </c>
      <c r="N2" s="290" t="s">
        <v>28</v>
      </c>
      <c r="O2" s="290" t="s">
        <v>29</v>
      </c>
      <c r="P2" s="290" t="s">
        <v>30</v>
      </c>
      <c r="Q2" s="291" t="s">
        <v>174</v>
      </c>
      <c r="R2" s="292" t="s">
        <v>175</v>
      </c>
      <c r="S2" s="290" t="s">
        <v>176</v>
      </c>
      <c r="T2" s="291" t="s">
        <v>34</v>
      </c>
      <c r="U2" s="498" t="s">
        <v>35</v>
      </c>
      <c r="V2" s="292" t="s">
        <v>36</v>
      </c>
      <c r="W2" s="293" t="s">
        <v>37</v>
      </c>
      <c r="X2" s="294" t="s">
        <v>38</v>
      </c>
      <c r="Y2" s="294" t="s">
        <v>39</v>
      </c>
      <c r="Z2" s="294" t="s">
        <v>40</v>
      </c>
      <c r="AA2" s="295" t="s">
        <v>41</v>
      </c>
      <c r="AB2" s="296" t="s">
        <v>42</v>
      </c>
      <c r="AC2" s="297" t="s">
        <v>43</v>
      </c>
      <c r="AD2" s="114" t="s">
        <v>44</v>
      </c>
    </row>
    <row r="3" spans="1:30">
      <c r="A3" t="s">
        <v>177</v>
      </c>
      <c r="B3" s="298">
        <f>ENE!C45</f>
        <v>10189</v>
      </c>
      <c r="C3" s="298">
        <f>ENE!D45</f>
        <v>1248</v>
      </c>
      <c r="D3" s="298">
        <f>ENE!E45</f>
        <v>0</v>
      </c>
      <c r="E3" s="298">
        <f>ENE!F45</f>
        <v>1268</v>
      </c>
      <c r="F3" s="298">
        <f>ENE!G45</f>
        <v>982</v>
      </c>
      <c r="G3" s="298">
        <f>ENE!H45</f>
        <v>755</v>
      </c>
      <c r="H3" s="298">
        <f>ENE!I45</f>
        <v>2753</v>
      </c>
      <c r="I3" s="298">
        <f>ENE!J45</f>
        <v>200</v>
      </c>
      <c r="J3" s="298">
        <f>ENE!K45</f>
        <v>746</v>
      </c>
      <c r="K3" s="298">
        <f>ENE!L45</f>
        <v>0</v>
      </c>
      <c r="L3" s="298">
        <f>ENE!M45</f>
        <v>0</v>
      </c>
      <c r="M3" s="298">
        <f>ENE!N45</f>
        <v>0</v>
      </c>
      <c r="N3" s="298">
        <f>ENE!O45</f>
        <v>0</v>
      </c>
      <c r="O3" s="298">
        <f>ENE!P45</f>
        <v>0</v>
      </c>
      <c r="P3" s="298">
        <f>ENE!Q45</f>
        <v>265</v>
      </c>
      <c r="Q3" s="298">
        <f>ENE!R45</f>
        <v>537740</v>
      </c>
      <c r="R3" s="298">
        <f>ENE!S45</f>
        <v>188722</v>
      </c>
      <c r="S3" s="298">
        <f>ENE!T45</f>
        <v>20640</v>
      </c>
      <c r="T3" s="298">
        <f>ENE!U45</f>
        <v>200</v>
      </c>
      <c r="U3" s="298">
        <f>ENE!V45</f>
        <v>0</v>
      </c>
      <c r="V3" s="298">
        <f>ENE!W45</f>
        <v>0</v>
      </c>
      <c r="W3" s="298">
        <f>ENE!X45</f>
        <v>15</v>
      </c>
      <c r="X3" s="298">
        <f>ENE!Y45</f>
        <v>85</v>
      </c>
      <c r="Y3" s="298">
        <f>ENE!Z45</f>
        <v>378</v>
      </c>
      <c r="Z3" s="298">
        <f>ENE!AA45</f>
        <v>3075</v>
      </c>
      <c r="AA3" s="298">
        <f>ENE!AB45</f>
        <v>6751</v>
      </c>
      <c r="AB3" s="298">
        <f>ENE!AC45</f>
        <v>1865</v>
      </c>
      <c r="AC3" s="298">
        <f>ENE!AD45</f>
        <v>1994.94200000000001</v>
      </c>
    </row>
    <row r="4" spans="1:30">
      <c r="A4" t="s">
        <v>178</v>
      </c>
      <c r="B4" s="298">
        <f>FEB!C44</f>
        <v>10109</v>
      </c>
      <c r="C4" s="298">
        <f>FEB!D44</f>
        <v>1542</v>
      </c>
      <c r="D4" s="298">
        <f>FEB!E44</f>
        <v>199</v>
      </c>
      <c r="E4" s="298">
        <f>FEB!F44</f>
        <v>855</v>
      </c>
      <c r="F4" s="298">
        <f>FEB!G44</f>
        <v>398</v>
      </c>
      <c r="G4" s="298">
        <f>FEB!H44</f>
        <v>513</v>
      </c>
      <c r="H4" s="298">
        <f>FEB!I44</f>
        <v>6727</v>
      </c>
      <c r="I4" s="298">
        <f>FEB!J44</f>
        <v>80</v>
      </c>
      <c r="J4" s="298">
        <f>FEB!K44</f>
        <v>0</v>
      </c>
      <c r="K4" s="298">
        <f>FEB!L44</f>
        <v>0</v>
      </c>
      <c r="L4" s="298">
        <f>FEB!M44</f>
        <v>0</v>
      </c>
      <c r="M4" s="298">
        <f>FEB!N44</f>
        <v>0</v>
      </c>
      <c r="N4" s="298">
        <f>FEB!O44</f>
        <v>0</v>
      </c>
      <c r="O4" s="298">
        <f>FEB!P44</f>
        <v>0</v>
      </c>
      <c r="P4" s="298">
        <f>FEB!Q44</f>
        <v>0</v>
      </c>
      <c r="Q4" s="298">
        <f>FEB!R44</f>
        <v>825782</v>
      </c>
      <c r="R4" s="298">
        <f>FEB!S44</f>
        <v>124624</v>
      </c>
      <c r="S4" s="298">
        <f>FEB!T44</f>
        <v>44760</v>
      </c>
      <c r="T4" s="298">
        <f>FEB!U44</f>
        <v>475</v>
      </c>
      <c r="U4" s="298">
        <f>FEB!V44</f>
        <v>0</v>
      </c>
      <c r="V4" s="298">
        <f>FEB!W44</f>
        <v>0</v>
      </c>
      <c r="W4" s="298">
        <f>FEB!X44</f>
        <v>0</v>
      </c>
      <c r="X4" s="298">
        <f>FEB!Y44</f>
        <v>87</v>
      </c>
      <c r="Y4" s="298">
        <f>FEB!Z44</f>
        <v>0</v>
      </c>
      <c r="Z4" s="298">
        <f>FEB!AA44</f>
        <v>3397</v>
      </c>
      <c r="AA4" s="298">
        <f>FEB!AB44</f>
        <v>8248</v>
      </c>
      <c r="AB4" s="298">
        <f>FEB!AC44</f>
        <v>2229</v>
      </c>
      <c r="AC4" s="298">
        <f>FEB!AD44</f>
        <v>2330.02599999999984</v>
      </c>
    </row>
    <row r="5" spans="1:30">
      <c r="A5" t="s">
        <v>179</v>
      </c>
      <c r="B5" s="298">
        <f>MAR!C40</f>
        <v>0</v>
      </c>
      <c r="C5" s="298">
        <f>MAR!D40</f>
        <v>0</v>
      </c>
      <c r="D5" s="298">
        <f>MAR!E40</f>
        <v>0</v>
      </c>
      <c r="E5" s="298">
        <f>MAR!F40</f>
        <v>0</v>
      </c>
      <c r="F5" s="298">
        <f>MAR!G40</f>
        <v>0</v>
      </c>
      <c r="G5" s="298">
        <f>MAR!H40</f>
        <v>0</v>
      </c>
      <c r="H5" s="298">
        <f>MAR!I40</f>
        <v>0</v>
      </c>
      <c r="I5" s="298">
        <f>MAR!J40</f>
        <v>0</v>
      </c>
      <c r="J5" s="298">
        <f>MAR!K40</f>
        <v>0</v>
      </c>
      <c r="K5" s="298">
        <f>MAR!L40</f>
        <v>0</v>
      </c>
      <c r="L5" s="298">
        <f>MAR!M40</f>
        <v>0</v>
      </c>
      <c r="M5" s="298">
        <f>MAR!N40</f>
        <v>0</v>
      </c>
      <c r="N5" s="298">
        <f>MAR!O40</f>
        <v>0</v>
      </c>
      <c r="O5" s="298">
        <f>MAR!P40</f>
        <v>0</v>
      </c>
      <c r="P5" s="298">
        <f>MAR!Q40</f>
        <v>0</v>
      </c>
      <c r="Q5" s="298">
        <f>MAR!R40</f>
        <v>0</v>
      </c>
      <c r="R5" s="298">
        <f>MAR!S40</f>
        <v>0</v>
      </c>
      <c r="S5" s="298">
        <f>MAR!T40</f>
        <v>0</v>
      </c>
      <c r="T5" s="298">
        <f>MAR!U40</f>
        <v>0</v>
      </c>
      <c r="U5" s="298">
        <f>MAR!V40</f>
        <v>0</v>
      </c>
      <c r="V5" s="298">
        <f>MAR!W40</f>
        <v>0</v>
      </c>
      <c r="W5" s="298">
        <f>MAR!X40</f>
        <v>0</v>
      </c>
      <c r="X5" s="298">
        <f>MAR!Y40</f>
        <v>0</v>
      </c>
      <c r="Y5" s="298">
        <f>MAR!Z40</f>
        <v>0</v>
      </c>
      <c r="Z5" s="298">
        <f>MAR!AA40</f>
        <v>0</v>
      </c>
      <c r="AA5" s="298">
        <f>MAR!AB40</f>
        <v>0</v>
      </c>
      <c r="AB5" s="298">
        <f>MAR!AC40</f>
        <v>0</v>
      </c>
      <c r="AC5" s="298">
        <f>MAR!AD40</f>
        <v>0</v>
      </c>
    </row>
    <row r="6" spans="1:30">
      <c r="A6" t="s">
        <v>180</v>
      </c>
      <c r="B6" s="298">
        <f>ABR!C41</f>
        <v>0</v>
      </c>
      <c r="C6" s="298">
        <f>ABR!D41</f>
        <v>0</v>
      </c>
      <c r="D6" s="298">
        <f>ABR!E41</f>
        <v>0</v>
      </c>
      <c r="E6" s="298">
        <f>ABR!F41</f>
        <v>0</v>
      </c>
      <c r="F6" s="298">
        <f>ABR!G41</f>
        <v>0</v>
      </c>
      <c r="G6" s="298">
        <f>ABR!H41</f>
        <v>0</v>
      </c>
      <c r="H6" s="298">
        <f>ABR!I41</f>
        <v>0</v>
      </c>
      <c r="I6" s="298">
        <f>ABR!J41</f>
        <v>0</v>
      </c>
      <c r="J6" s="298">
        <f>ABR!K41</f>
        <v>0</v>
      </c>
      <c r="K6" s="298">
        <f>ABR!L41</f>
        <v>0</v>
      </c>
      <c r="L6" s="298">
        <f>ABR!M41</f>
        <v>0</v>
      </c>
      <c r="M6" s="298">
        <f>ABR!N41</f>
        <v>0</v>
      </c>
      <c r="N6" s="298">
        <f>ABR!O41</f>
        <v>0</v>
      </c>
      <c r="O6" s="298">
        <f>ABR!P41</f>
        <v>0</v>
      </c>
      <c r="P6" s="298">
        <f>ABR!Q41</f>
        <v>0</v>
      </c>
      <c r="Q6" s="298">
        <f>ABR!R41</f>
        <v>0</v>
      </c>
      <c r="R6" s="298">
        <f>ABR!S41</f>
        <v>0</v>
      </c>
      <c r="S6" s="298">
        <f>ABR!T41</f>
        <v>0</v>
      </c>
      <c r="T6" s="298">
        <f>ABR!U41</f>
        <v>0</v>
      </c>
      <c r="U6" s="298">
        <f>ABR!V41</f>
        <v>0</v>
      </c>
      <c r="V6" s="298">
        <f>ABR!W41</f>
        <v>0</v>
      </c>
      <c r="W6" s="298">
        <f>ABR!X41</f>
        <v>0</v>
      </c>
      <c r="X6" s="298">
        <f>ABR!Y41</f>
        <v>0</v>
      </c>
      <c r="Y6" s="298">
        <f>ABR!Z41</f>
        <v>0</v>
      </c>
      <c r="Z6" s="298">
        <f>ABR!AA41</f>
        <v>0</v>
      </c>
      <c r="AA6" s="298">
        <f>ABR!AB41</f>
        <v>0</v>
      </c>
      <c r="AB6" s="298">
        <f>ABR!AC41</f>
        <v>0</v>
      </c>
      <c r="AC6" s="298">
        <f>ABR!AD41</f>
        <v>0</v>
      </c>
    </row>
    <row r="7" spans="1:30">
      <c r="A7" t="s">
        <v>181</v>
      </c>
      <c r="B7" s="298">
        <f>MAY!C41</f>
        <v>0</v>
      </c>
      <c r="C7" s="298">
        <f>MAY!D41</f>
        <v>0</v>
      </c>
      <c r="D7" s="298">
        <f>MAY!E41</f>
        <v>0</v>
      </c>
      <c r="E7" s="298">
        <f>MAY!F41</f>
        <v>0</v>
      </c>
      <c r="F7" s="298">
        <f>MAY!G41</f>
        <v>0</v>
      </c>
      <c r="G7" s="298">
        <f>MAY!H41</f>
        <v>0</v>
      </c>
      <c r="H7" s="298">
        <f>MAY!I41</f>
        <v>0</v>
      </c>
      <c r="I7" s="298">
        <f>MAY!J41</f>
        <v>0</v>
      </c>
      <c r="J7" s="298">
        <f>MAY!K41</f>
        <v>0</v>
      </c>
      <c r="K7" s="298">
        <f>MAY!L41</f>
        <v>0</v>
      </c>
      <c r="L7" s="298">
        <f>MAY!M41</f>
        <v>0</v>
      </c>
      <c r="M7" s="298">
        <f>MAY!N41</f>
        <v>0</v>
      </c>
      <c r="N7" s="298">
        <f>MAY!O41</f>
        <v>0</v>
      </c>
      <c r="O7" s="298">
        <f>MAY!P41</f>
        <v>0</v>
      </c>
      <c r="P7" s="298">
        <f>MAY!Q41</f>
        <v>0</v>
      </c>
      <c r="Q7" s="298">
        <f>MAY!R41</f>
        <v>0</v>
      </c>
      <c r="R7" s="298">
        <f>MAY!S41</f>
        <v>0</v>
      </c>
      <c r="S7" s="298">
        <f>MAY!T41</f>
        <v>0</v>
      </c>
      <c r="T7" s="298">
        <f>MAY!U41</f>
        <v>0</v>
      </c>
      <c r="U7" s="298">
        <f>MAY!V41</f>
        <v>0</v>
      </c>
      <c r="V7" s="298">
        <f>MAY!W41</f>
        <v>0</v>
      </c>
      <c r="W7" s="298">
        <f>MAY!X41</f>
        <v>0</v>
      </c>
      <c r="X7" s="298">
        <f>MAY!Y41</f>
        <v>0</v>
      </c>
      <c r="Y7" s="298">
        <f>MAY!Z41</f>
        <v>0</v>
      </c>
      <c r="Z7" s="298">
        <f>MAY!AA41</f>
        <v>0</v>
      </c>
      <c r="AA7" s="298">
        <f>MAY!AB41</f>
        <v>0</v>
      </c>
      <c r="AB7" s="298">
        <f>MAY!AC41</f>
        <v>0</v>
      </c>
      <c r="AC7" s="298">
        <f>MAY!AD41</f>
        <v>0</v>
      </c>
    </row>
    <row r="8" spans="1:30">
      <c r="A8" t="s">
        <v>182</v>
      </c>
      <c r="B8" s="298">
        <f>JUN!C41</f>
        <v>0</v>
      </c>
      <c r="C8" s="298">
        <f>JUN!D41</f>
        <v>0</v>
      </c>
      <c r="D8" s="298">
        <f>JUN!E41</f>
        <v>0</v>
      </c>
      <c r="E8" s="298">
        <f>JUN!F41</f>
        <v>0</v>
      </c>
      <c r="F8" s="298">
        <f>JUN!G41</f>
        <v>0</v>
      </c>
      <c r="G8" s="298">
        <f>JUN!H41</f>
        <v>0</v>
      </c>
      <c r="H8" s="298">
        <f>JUN!I41</f>
        <v>0</v>
      </c>
      <c r="I8" s="298">
        <f>JUN!J41</f>
        <v>0</v>
      </c>
      <c r="J8" s="298">
        <f>JUN!K41</f>
        <v>0</v>
      </c>
      <c r="K8" s="298">
        <f>JUN!L41</f>
        <v>0</v>
      </c>
      <c r="L8" s="298">
        <f>JUN!M41</f>
        <v>0</v>
      </c>
      <c r="M8" s="298">
        <f>JUN!N41</f>
        <v>0</v>
      </c>
      <c r="N8" s="298">
        <f>JUN!O41</f>
        <v>0</v>
      </c>
      <c r="O8" s="298">
        <f>JUN!P41</f>
        <v>0</v>
      </c>
      <c r="P8" s="298">
        <f>JUN!Q41</f>
        <v>0</v>
      </c>
      <c r="Q8" s="298">
        <f>JUN!R41</f>
        <v>0</v>
      </c>
      <c r="R8" s="298">
        <f>JUN!S41</f>
        <v>0</v>
      </c>
      <c r="S8" s="298">
        <f>JUN!T41</f>
        <v>0</v>
      </c>
      <c r="T8" s="298">
        <f>JUN!U41</f>
        <v>0</v>
      </c>
      <c r="U8" s="298">
        <f>JUN!V41</f>
        <v>0</v>
      </c>
      <c r="V8" s="298">
        <f>JUN!W41</f>
        <v>0</v>
      </c>
      <c r="W8" s="298">
        <f>JUN!X41</f>
        <v>0</v>
      </c>
      <c r="X8" s="298">
        <f>JUN!Y41</f>
        <v>0</v>
      </c>
      <c r="Y8" s="298">
        <f>JUN!Z41</f>
        <v>0</v>
      </c>
      <c r="Z8" s="298">
        <f>JUN!AA41</f>
        <v>0</v>
      </c>
      <c r="AA8" s="298">
        <f>JUN!AB41</f>
        <v>0</v>
      </c>
      <c r="AB8" s="298">
        <f>JUN!AC41</f>
        <v>0</v>
      </c>
      <c r="AC8" s="298">
        <f>JUN!AD41</f>
        <v>0</v>
      </c>
    </row>
    <row r="9" spans="1:30">
      <c r="A9" t="s">
        <v>183</v>
      </c>
      <c r="B9" s="298">
        <f>JUL!C42</f>
        <v>0</v>
      </c>
      <c r="C9" s="298">
        <f>JUL!D42</f>
        <v>0</v>
      </c>
      <c r="D9" s="298">
        <f>JUL!E42</f>
        <v>0</v>
      </c>
      <c r="E9" s="298">
        <f>JUL!F42</f>
        <v>0</v>
      </c>
      <c r="F9" s="298">
        <f>JUL!G42</f>
        <v>0</v>
      </c>
      <c r="G9" s="298">
        <f>JUL!H42</f>
        <v>0</v>
      </c>
      <c r="H9" s="298">
        <f>JUL!I42</f>
        <v>0</v>
      </c>
      <c r="I9" s="298">
        <f>JUL!J42</f>
        <v>0</v>
      </c>
      <c r="J9" s="298">
        <f>JUL!K42</f>
        <v>0</v>
      </c>
      <c r="K9" s="298">
        <f>JUL!L42</f>
        <v>0</v>
      </c>
      <c r="L9" s="298">
        <f>JUL!M42</f>
        <v>0</v>
      </c>
      <c r="M9" s="298">
        <f>JUL!N42</f>
        <v>0</v>
      </c>
      <c r="N9" s="298">
        <f>JUL!O42</f>
        <v>0</v>
      </c>
      <c r="O9" s="298">
        <f>JUL!P42</f>
        <v>0</v>
      </c>
      <c r="P9" s="298">
        <f>JUL!Q42</f>
        <v>0</v>
      </c>
      <c r="Q9" s="298">
        <f>JUL!R42</f>
        <v>0</v>
      </c>
      <c r="R9" s="298">
        <f>JUL!S42</f>
        <v>0</v>
      </c>
      <c r="S9" s="298">
        <f>JUL!T42</f>
        <v>0</v>
      </c>
      <c r="T9" s="298">
        <f>JUL!U42</f>
        <v>0</v>
      </c>
      <c r="U9" s="298">
        <f>JUL!V42</f>
        <v>0</v>
      </c>
      <c r="V9" s="298">
        <f>JUL!W42</f>
        <v>0</v>
      </c>
      <c r="W9" s="298">
        <f>JUL!X42</f>
        <v>0</v>
      </c>
      <c r="X9" s="298">
        <f>JUL!Y42</f>
        <v>0</v>
      </c>
      <c r="Y9" s="298">
        <f>JUL!Z42</f>
        <v>0</v>
      </c>
      <c r="Z9" s="298">
        <f>JUL!AA42</f>
        <v>0</v>
      </c>
      <c r="AA9" s="298">
        <f>JUL!AB42</f>
        <v>0</v>
      </c>
      <c r="AB9" s="298">
        <f>JUL!AC42</f>
        <v>0</v>
      </c>
      <c r="AC9" s="298">
        <f>JUL!AD42</f>
        <v>0</v>
      </c>
    </row>
    <row r="10" spans="1:30">
      <c r="A10" t="s">
        <v>184</v>
      </c>
      <c r="B10" s="298">
        <f>AGO!C41</f>
        <v>0</v>
      </c>
      <c r="C10" s="298">
        <f>AGO!D41</f>
        <v>0</v>
      </c>
      <c r="D10" s="298">
        <f>AGO!E41</f>
        <v>0</v>
      </c>
      <c r="E10" s="298">
        <f>AGO!F41</f>
        <v>0</v>
      </c>
      <c r="F10" s="298">
        <f>AGO!G41</f>
        <v>0</v>
      </c>
      <c r="G10" s="298">
        <f>AGO!H41</f>
        <v>0</v>
      </c>
      <c r="H10" s="298">
        <f>AGO!I41</f>
        <v>0</v>
      </c>
      <c r="I10" s="298">
        <f>AGO!J41</f>
        <v>0</v>
      </c>
      <c r="J10" s="298">
        <f>AGO!K41</f>
        <v>0</v>
      </c>
      <c r="K10" s="298">
        <f>AGO!L41</f>
        <v>0</v>
      </c>
      <c r="L10" s="298">
        <f>AGO!M41</f>
        <v>0</v>
      </c>
      <c r="M10" s="298">
        <f>AGO!N41</f>
        <v>0</v>
      </c>
      <c r="N10" s="298">
        <f>AGO!O41</f>
        <v>0</v>
      </c>
      <c r="O10" s="298">
        <f>AGO!P41</f>
        <v>0</v>
      </c>
      <c r="P10" s="298">
        <f>AGO!Q41</f>
        <v>0</v>
      </c>
      <c r="Q10" s="298">
        <f>AGO!R41</f>
        <v>0</v>
      </c>
      <c r="R10" s="298">
        <f>AGO!S41</f>
        <v>0</v>
      </c>
      <c r="S10" s="298">
        <f>AGO!T41</f>
        <v>0</v>
      </c>
      <c r="T10" s="298">
        <f>AGO!U41</f>
        <v>0</v>
      </c>
      <c r="U10" s="298">
        <f>AGO!V41</f>
        <v>0</v>
      </c>
      <c r="V10" s="298">
        <f>AGO!W41</f>
        <v>0</v>
      </c>
      <c r="W10" s="298">
        <f>AGO!X41</f>
        <v>0</v>
      </c>
      <c r="X10" s="298">
        <f>AGO!Y41</f>
        <v>0</v>
      </c>
      <c r="Y10" s="298">
        <f>AGO!Z41</f>
        <v>0</v>
      </c>
      <c r="Z10" s="298">
        <f>AGO!AA41</f>
        <v>0</v>
      </c>
      <c r="AA10" s="298">
        <f>AGO!AB41</f>
        <v>0</v>
      </c>
      <c r="AB10" s="298">
        <f>AGO!AC41</f>
        <v>0</v>
      </c>
      <c r="AC10" s="298">
        <f>AGO!AD41</f>
        <v>0</v>
      </c>
    </row>
    <row r="11" spans="1:30">
      <c r="A11" t="s">
        <v>185</v>
      </c>
      <c r="B11" s="298">
        <f>SEP!C42</f>
        <v>0</v>
      </c>
      <c r="C11" s="298">
        <f>SEP!D42</f>
        <v>0</v>
      </c>
      <c r="D11" s="298">
        <f>SEP!E42</f>
        <v>0</v>
      </c>
      <c r="E11" s="298">
        <f>SEP!F42</f>
        <v>0</v>
      </c>
      <c r="F11" s="298">
        <f>SEP!G42</f>
        <v>0</v>
      </c>
      <c r="G11" s="298">
        <f>SEP!H42</f>
        <v>0</v>
      </c>
      <c r="H11" s="298">
        <f>SEP!I42</f>
        <v>0</v>
      </c>
      <c r="I11" s="298">
        <f>SEP!J42</f>
        <v>0</v>
      </c>
      <c r="J11" s="298">
        <f>SEP!K42</f>
        <v>0</v>
      </c>
      <c r="K11" s="298">
        <f>SEP!L42</f>
        <v>0</v>
      </c>
      <c r="L11" s="298">
        <f>SEP!M42</f>
        <v>0</v>
      </c>
      <c r="M11" s="298">
        <f>SEP!N42</f>
        <v>0</v>
      </c>
      <c r="N11" s="298">
        <f>SEP!O42</f>
        <v>0</v>
      </c>
      <c r="O11" s="298">
        <f>SEP!P42</f>
        <v>0</v>
      </c>
      <c r="P11" s="298">
        <f>SEP!Q42</f>
        <v>0</v>
      </c>
      <c r="Q11" s="298">
        <f>SEP!R42</f>
        <v>0</v>
      </c>
      <c r="R11" s="298">
        <f>SEP!S42</f>
        <v>0</v>
      </c>
      <c r="S11" s="298">
        <f>SEP!T42</f>
        <v>0</v>
      </c>
      <c r="T11" s="298">
        <f>SEP!U42</f>
        <v>0</v>
      </c>
      <c r="U11" s="298">
        <f>SEP!V42</f>
        <v>0</v>
      </c>
      <c r="V11" s="298">
        <f>SEP!W42</f>
        <v>0</v>
      </c>
      <c r="W11" s="298">
        <f>SEP!X42</f>
        <v>0</v>
      </c>
      <c r="X11" s="298">
        <f>SEP!Y42</f>
        <v>0</v>
      </c>
      <c r="Y11" s="298">
        <f>SEP!Z42</f>
        <v>0</v>
      </c>
      <c r="Z11" s="298">
        <f>SEP!AA42</f>
        <v>0</v>
      </c>
      <c r="AA11" s="298">
        <f>SEP!AB42</f>
        <v>0</v>
      </c>
      <c r="AB11" s="298">
        <f>SEP!AC42</f>
        <v>0</v>
      </c>
      <c r="AC11" s="298">
        <f>SEP!AD42</f>
        <v>0</v>
      </c>
    </row>
    <row r="12" spans="1:30">
      <c r="A12" t="s">
        <v>186</v>
      </c>
      <c r="B12" s="298">
        <f>OCT!C42</f>
        <v>0</v>
      </c>
      <c r="C12" s="298">
        <f>OCT!D42</f>
        <v>0</v>
      </c>
      <c r="D12" s="298">
        <f>OCT!E42</f>
        <v>0</v>
      </c>
      <c r="E12" s="298">
        <f>OCT!F42</f>
        <v>0</v>
      </c>
      <c r="F12" s="298">
        <f>OCT!G42</f>
        <v>0</v>
      </c>
      <c r="G12" s="298">
        <f>OCT!H42</f>
        <v>0</v>
      </c>
      <c r="H12" s="298">
        <f>OCT!I42</f>
        <v>0</v>
      </c>
      <c r="I12" s="298">
        <f>OCT!J42</f>
        <v>0</v>
      </c>
      <c r="J12" s="298">
        <f>OCT!K42</f>
        <v>0</v>
      </c>
      <c r="K12" s="298">
        <f>OCT!L42</f>
        <v>0</v>
      </c>
      <c r="L12" s="298">
        <f>OCT!M42</f>
        <v>0</v>
      </c>
      <c r="M12" s="298">
        <f>OCT!N42</f>
        <v>0</v>
      </c>
      <c r="N12" s="298">
        <f>OCT!O42</f>
        <v>0</v>
      </c>
      <c r="O12" s="298">
        <f>OCT!P42</f>
        <v>0</v>
      </c>
      <c r="P12" s="298">
        <f>OCT!Q42</f>
        <v>0</v>
      </c>
      <c r="Q12" s="298">
        <f>OCT!R42</f>
        <v>0</v>
      </c>
      <c r="R12" s="298">
        <f>OCT!S42</f>
        <v>0</v>
      </c>
      <c r="S12" s="298">
        <f>OCT!T42</f>
        <v>0</v>
      </c>
      <c r="T12" s="298">
        <f>OCT!U42</f>
        <v>0</v>
      </c>
      <c r="U12" s="298">
        <f>OCT!V42</f>
        <v>0</v>
      </c>
      <c r="V12" s="298">
        <f>OCT!W42</f>
        <v>0</v>
      </c>
      <c r="W12" s="298">
        <f>OCT!X42</f>
        <v>0</v>
      </c>
      <c r="X12" s="298">
        <f>OCT!Y42</f>
        <v>0</v>
      </c>
      <c r="Y12" s="298">
        <f>OCT!Z42</f>
        <v>0</v>
      </c>
      <c r="Z12" s="298">
        <f>OCT!AA42</f>
        <v>0</v>
      </c>
      <c r="AA12" s="298">
        <f>OCT!AB42</f>
        <v>0</v>
      </c>
      <c r="AB12" s="298">
        <f>OCT!AC42</f>
        <v>0</v>
      </c>
      <c r="AC12" s="298">
        <f>OCT!AD42</f>
        <v>0</v>
      </c>
    </row>
    <row r="13" spans="1:30">
      <c r="A13" t="s">
        <v>187</v>
      </c>
      <c r="B13" s="298">
        <f>NOV!C41</f>
        <v>0</v>
      </c>
      <c r="C13" s="298">
        <f>NOV!D41</f>
        <v>0</v>
      </c>
      <c r="D13" s="298">
        <f>NOV!E41</f>
        <v>0</v>
      </c>
      <c r="E13" s="298">
        <f>NOV!F41</f>
        <v>0</v>
      </c>
      <c r="F13" s="298">
        <f>NOV!G41</f>
        <v>0</v>
      </c>
      <c r="G13" s="298">
        <f>NOV!H41</f>
        <v>0</v>
      </c>
      <c r="H13" s="298">
        <f>NOV!I41</f>
        <v>0</v>
      </c>
      <c r="I13" s="298">
        <f>NOV!J41</f>
        <v>0</v>
      </c>
      <c r="J13" s="298">
        <f>NOV!K41</f>
        <v>0</v>
      </c>
      <c r="K13" s="298">
        <f>NOV!L41</f>
        <v>0</v>
      </c>
      <c r="L13" s="298">
        <f>NOV!M41</f>
        <v>0</v>
      </c>
      <c r="M13" s="298">
        <f>NOV!N41</f>
        <v>0</v>
      </c>
      <c r="N13" s="298">
        <f>NOV!O41</f>
        <v>0</v>
      </c>
      <c r="O13" s="298">
        <f>NOV!P41</f>
        <v>0</v>
      </c>
      <c r="P13" s="298">
        <f>NOV!Q41</f>
        <v>0</v>
      </c>
      <c r="Q13" s="298">
        <f>NOV!R41</f>
        <v>0</v>
      </c>
      <c r="R13" s="298">
        <f>NOV!S41</f>
        <v>0</v>
      </c>
      <c r="S13" s="298">
        <f>NOV!T41</f>
        <v>0</v>
      </c>
      <c r="T13" s="298">
        <f>NOV!U41</f>
        <v>0</v>
      </c>
      <c r="U13" s="298">
        <f>NOV!V41</f>
        <v>0</v>
      </c>
      <c r="V13" s="298">
        <f>NOV!W41</f>
        <v>0</v>
      </c>
      <c r="W13" s="298">
        <f>NOV!X41</f>
        <v>0</v>
      </c>
      <c r="X13" s="298">
        <f>NOV!Y41</f>
        <v>0</v>
      </c>
      <c r="Y13" s="298">
        <f>NOV!Z41</f>
        <v>0</v>
      </c>
      <c r="Z13" s="298">
        <f>NOV!AA41</f>
        <v>0</v>
      </c>
      <c r="AA13" s="298">
        <f>NOV!AB41</f>
        <v>0</v>
      </c>
      <c r="AB13" s="298">
        <f>NOV!AC41</f>
        <v>0</v>
      </c>
      <c r="AC13" s="298">
        <f>NOV!AD41</f>
        <v>0</v>
      </c>
      <c r="AD13" s="298"/>
    </row>
    <row r="14" spans="1:30" customHeight="1" ht="13.9">
      <c r="A14" s="315" t="s">
        <v>188</v>
      </c>
      <c r="B14" s="298">
        <f>DIC!C42</f>
        <v>0</v>
      </c>
      <c r="C14" s="298">
        <f>DIC!D42</f>
        <v>0</v>
      </c>
      <c r="D14" s="298">
        <f>DIC!E42</f>
        <v>0</v>
      </c>
      <c r="E14" s="298">
        <f>DIC!F42</f>
        <v>0</v>
      </c>
      <c r="F14" s="298">
        <f>DIC!G42</f>
        <v>0</v>
      </c>
      <c r="G14" s="298">
        <f>DIC!H42</f>
        <v>0</v>
      </c>
      <c r="H14" s="298">
        <f>DIC!I42</f>
        <v>0</v>
      </c>
      <c r="I14" s="298">
        <f>DIC!J42</f>
        <v>0</v>
      </c>
      <c r="J14" s="298">
        <f>DIC!K42</f>
        <v>0</v>
      </c>
      <c r="K14" s="298">
        <f>DIC!L42</f>
        <v>0</v>
      </c>
      <c r="L14" s="298">
        <f>DIC!M42</f>
        <v>0</v>
      </c>
      <c r="M14" s="298">
        <f>DIC!N42</f>
        <v>0</v>
      </c>
      <c r="N14" s="298">
        <f>DIC!O42</f>
        <v>0</v>
      </c>
      <c r="O14" s="298">
        <f>DIC!P42</f>
        <v>0</v>
      </c>
      <c r="P14" s="298">
        <f>DIC!Q42</f>
        <v>0</v>
      </c>
      <c r="Q14" s="298">
        <f>DIC!R42</f>
        <v>0</v>
      </c>
      <c r="R14" s="298">
        <f>DIC!S42</f>
        <v>0</v>
      </c>
      <c r="S14" s="298">
        <f>DIC!T42</f>
        <v>0</v>
      </c>
      <c r="T14" s="298">
        <f>DIC!U42</f>
        <v>0</v>
      </c>
      <c r="U14" s="298">
        <f>DIC!V42</f>
        <v>0</v>
      </c>
      <c r="V14" s="298">
        <f>DIC!W42</f>
        <v>0</v>
      </c>
      <c r="W14" s="298">
        <f>DIC!X42</f>
        <v>0</v>
      </c>
      <c r="X14" s="298">
        <f>DIC!Y42</f>
        <v>0</v>
      </c>
      <c r="Y14" s="298">
        <f>DIC!Z42</f>
        <v>0</v>
      </c>
      <c r="Z14" s="298">
        <f>DIC!AA42</f>
        <v>0</v>
      </c>
      <c r="AA14" s="298">
        <f>DIC!AB42</f>
        <v>0</v>
      </c>
      <c r="AB14" s="298">
        <f>DIC!AC42</f>
        <v>0</v>
      </c>
      <c r="AC14" s="298">
        <f>DIC!AD42</f>
        <v>0</v>
      </c>
    </row>
    <row r="15" spans="1:30" customHeight="1" ht="24.75">
      <c r="A15" s="316" t="s">
        <v>189</v>
      </c>
      <c r="B15" s="299">
        <f>SUM(B3:B14)</f>
        <v>20298</v>
      </c>
      <c r="C15" s="299">
        <f>SUM(C3:C14)</f>
        <v>2790</v>
      </c>
      <c r="D15" s="299">
        <f>SUM(D3:D14)</f>
        <v>199</v>
      </c>
      <c r="E15" s="299">
        <f>SUM(E3:E14)</f>
        <v>2123</v>
      </c>
      <c r="F15" s="299">
        <f>SUM(F3:F14)</f>
        <v>1380</v>
      </c>
      <c r="G15" s="299">
        <f>SUM(G3:G14)</f>
        <v>1268</v>
      </c>
      <c r="H15" s="299">
        <f>SUM(H3:H14)</f>
        <v>9480</v>
      </c>
      <c r="I15" s="299">
        <f>SUM(I3:I14)</f>
        <v>280</v>
      </c>
      <c r="J15" s="299">
        <f>SUM(J3:J14)</f>
        <v>746</v>
      </c>
      <c r="K15" s="299">
        <f>SUM(K3:K14)</f>
        <v>0</v>
      </c>
      <c r="L15" s="299">
        <f>SUM(L3:L14)</f>
        <v>0</v>
      </c>
      <c r="M15" s="299">
        <f>SUM(M3:M14)</f>
        <v>0</v>
      </c>
      <c r="N15" s="299">
        <f>SUM(N3:N14)</f>
        <v>0</v>
      </c>
      <c r="O15" s="299">
        <f>SUM(O3:O14)</f>
        <v>0</v>
      </c>
      <c r="P15" s="299">
        <f>SUM(P3:P14)</f>
        <v>265</v>
      </c>
      <c r="Q15" s="299">
        <f>SUM(Q3:Q14)</f>
        <v>1363522</v>
      </c>
      <c r="R15" s="299">
        <f>SUM(R3:R14)</f>
        <v>313346</v>
      </c>
      <c r="S15" s="299">
        <f>SUM(S3:S14)</f>
        <v>65400</v>
      </c>
      <c r="T15" s="299">
        <f>SUM(T3:T14)</f>
        <v>675</v>
      </c>
      <c r="U15" s="299">
        <f>SUM(U3:U14)</f>
        <v>0</v>
      </c>
      <c r="V15" s="299">
        <f>SUM(V3:V14)</f>
        <v>0</v>
      </c>
      <c r="W15" s="299">
        <f>SUM(W3:W14)</f>
        <v>15</v>
      </c>
      <c r="X15" s="299">
        <f>SUM(X3:X14)</f>
        <v>172</v>
      </c>
      <c r="Y15" s="299">
        <f>SUM(Y3:Y14)</f>
        <v>378</v>
      </c>
      <c r="Z15" s="299">
        <f>SUM(Z3:Z14)</f>
        <v>6472</v>
      </c>
      <c r="AA15" s="299">
        <f>SUM(AA3:AA14)</f>
        <v>14999</v>
      </c>
      <c r="AB15" s="299">
        <f>SUM(AB3:AB14)</f>
        <v>4094</v>
      </c>
      <c r="AC15" s="300">
        <f>SUM(AC3:AC14)</f>
        <v>4324.96799999999985</v>
      </c>
    </row>
    <row r="16" spans="1:30">
      <c r="AB16" s="301" t="s">
        <v>68</v>
      </c>
      <c r="AC16" s="302">
        <f>AC15/10</f>
        <v>432.49680000000001</v>
      </c>
    </row>
    <row r="18" spans="1:30">
      <c r="Y18" t="s">
        <v>190</v>
      </c>
    </row>
    <row r="23" spans="1:30" customHeight="1" ht="14.45">
      <c r="Z23" s="303" t="s">
        <v>157</v>
      </c>
      <c r="AA23" s="304" t="e">
        <f>#REF!</f>
        <v>#REF!</v>
      </c>
      <c r="AB23" s="305" t="e">
        <f>AA23/AA27</f>
        <v>#REF!</v>
      </c>
    </row>
    <row r="24" spans="1:30" customHeight="1" ht="14.45">
      <c r="Z24" s="306" t="s">
        <v>191</v>
      </c>
      <c r="AA24" s="307" t="e">
        <f>#REF!</f>
        <v>#REF!</v>
      </c>
      <c r="AB24" s="308" t="e">
        <f>AA24/AA27</f>
        <v>#REF!</v>
      </c>
    </row>
    <row r="25" spans="1:30" customHeight="1" ht="14.45">
      <c r="Z25" s="306" t="s">
        <v>94</v>
      </c>
      <c r="AA25" s="307" t="e">
        <f>#REF!</f>
        <v>#REF!</v>
      </c>
      <c r="AB25" s="308" t="e">
        <f>AA25/AA27</f>
        <v>#REF!</v>
      </c>
    </row>
    <row r="26" spans="1:30" customHeight="1" ht="15">
      <c r="Z26" s="309" t="s">
        <v>192</v>
      </c>
      <c r="AA26" s="310" t="e">
        <f>#REF!</f>
        <v>#REF!</v>
      </c>
      <c r="AB26" s="311" t="e">
        <f>AA26/AA27</f>
        <v>#REF!</v>
      </c>
    </row>
    <row r="27" spans="1:30" customHeight="1" ht="15">
      <c r="Z27" s="312" t="s">
        <v>193</v>
      </c>
      <c r="AA27" s="388" t="e">
        <f>SUM(AA23:AA26)</f>
        <v>#REF!</v>
      </c>
      <c r="AB27" s="313" t="e">
        <f>SUM(AB23:AB26)</f>
        <v>#REF!</v>
      </c>
    </row>
    <row r="29" spans="1:30">
      <c r="V29" s="317" t="s">
        <v>194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103"/>
  <sheetViews>
    <sheetView tabSelected="0" workbookViewId="0" showGridLines="true" showRowColHeaders="1">
      <selection activeCell="A1" sqref="A1"/>
    </sheetView>
  </sheetViews>
  <sheetFormatPr defaultRowHeight="14.4" defaultColWidth="14.42578125" outlineLevelRow="0" outlineLevelCol="0"/>
  <cols>
    <col min="1" max="1" width="11.7109375" customWidth="true" style="1"/>
    <col min="2" max="2" width="9.5703125" customWidth="true" style="1"/>
    <col min="3" max="3" width="10.28515625" customWidth="true" style="1"/>
    <col min="4" max="4" width="10.5703125" customWidth="true" style="1"/>
    <col min="5" max="5" width="6.42578125" customWidth="true" style="1"/>
    <col min="6" max="6" width="9" customWidth="true" style="1"/>
    <col min="7" max="7" width="6.7109375" customWidth="true" style="1"/>
    <col min="8" max="8" width="7.42578125" customWidth="true" style="1"/>
    <col min="9" max="9" width="6.7109375" customWidth="true" style="1"/>
    <col min="10" max="10" width="7.42578125" customWidth="true" style="1"/>
    <col min="11" max="11" width="6.42578125" customWidth="true" style="1"/>
    <col min="12" max="12" width="7.42578125" customWidth="true" style="1"/>
    <col min="13" max="13" width="10.5703125" customWidth="true" style="1"/>
    <col min="14" max="14" width="6.7109375" customWidth="true" style="1"/>
    <col min="15" max="15" width="6.7109375" customWidth="true" style="1"/>
    <col min="16" max="16" width="6.7109375" customWidth="true" style="1"/>
    <col min="17" max="17" width="6.7109375" customWidth="true" style="1"/>
    <col min="18" max="18" width="7.5703125" customWidth="true" style="1"/>
    <col min="19" max="19" width="9.5703125" customWidth="true" style="1"/>
    <col min="20" max="20" width="7.42578125" customWidth="true" style="1"/>
    <col min="21" max="21" width="7.5703125" customWidth="true" style="1"/>
    <col min="22" max="22" width="8.28515625" customWidth="true" style="1"/>
    <col min="23" max="23" width="7" customWidth="true" style="1"/>
    <col min="24" max="24" width="7.5703125" customWidth="true" style="1"/>
    <col min="25" max="25" width="7.5703125" customWidth="true" style="1"/>
    <col min="26" max="26" width="6.7109375" customWidth="true" style="1"/>
    <col min="27" max="27" width="7.5703125" customWidth="true" style="1"/>
    <col min="28" max="28" width="7.5703125" customWidth="true" style="1"/>
    <col min="29" max="29" width="10.5703125" customWidth="true" style="1"/>
    <col min="30" max="30" width="10.5703125" customWidth="true" style="1"/>
    <col min="31" max="31" width="10.28515625" customWidth="true" style="1"/>
    <col min="32" max="32" width="10.28515625" customWidth="true" style="1"/>
    <col min="33" max="33" width="11.7109375" customWidth="true" style="1"/>
    <col min="34" max="34" width="11.7109375" customWidth="true" style="1"/>
    <col min="35" max="35" width="9.5703125" customWidth="true" style="1"/>
    <col min="36" max="36" width="9.42578125" customWidth="true" style="1"/>
    <col min="37" max="37" width="7.42578125" customWidth="true" style="1"/>
    <col min="38" max="38" width="7.5703125" customWidth="true" style="1"/>
    <col min="39" max="39" width="10.5703125" customWidth="true" style="1"/>
    <col min="40" max="40" width="10.5703125" customWidth="true" style="1"/>
    <col min="41" max="41" width="10.5703125" customWidth="true" style="1"/>
    <col min="42" max="42" width="9" customWidth="true" style="1"/>
    <col min="43" max="43" width="11.7109375" customWidth="true" style="1"/>
    <col min="44" max="44" width="11.7109375" customWidth="true" style="1"/>
    <col min="45" max="45" width="8.28515625" customWidth="true" style="1"/>
    <col min="46" max="46" width="8.28515625" customWidth="true" style="1"/>
    <col min="47" max="47" width="5.5703125" customWidth="true" style="1"/>
    <col min="48" max="48" width="12" customWidth="true" style="1"/>
    <col min="49" max="49" width="12" customWidth="true" style="1"/>
    <col min="50" max="50" width="12" customWidth="true" style="1"/>
    <col min="51" max="51" width="14.42578125" style="1"/>
  </cols>
  <sheetData>
    <row r="1" spans="1:51" customHeight="1" ht="17.45">
      <c r="B1" s="698" t="s">
        <v>0</v>
      </c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2"/>
      <c r="T1" s="2"/>
      <c r="U1" s="2"/>
      <c r="V1" s="2"/>
      <c r="W1" s="2"/>
      <c r="X1" s="2"/>
      <c r="Y1" s="2"/>
      <c r="AC1" s="699" t="s">
        <v>1</v>
      </c>
      <c r="AD1" s="699"/>
      <c r="AE1" s="699"/>
      <c r="AF1" s="699"/>
      <c r="AG1" s="699"/>
      <c r="AH1" s="699"/>
      <c r="AI1" s="700" t="s">
        <v>2</v>
      </c>
      <c r="AJ1" s="700"/>
      <c r="AK1" s="700"/>
      <c r="AL1" s="700"/>
      <c r="AM1" s="700"/>
      <c r="AN1" s="700"/>
      <c r="AO1" s="700"/>
      <c r="AP1" s="700"/>
      <c r="AQ1" s="700"/>
      <c r="AR1" s="700"/>
      <c r="AS1" s="700"/>
    </row>
    <row r="2" spans="1:51" customHeight="1" ht="13.9">
      <c r="B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R2" s="4"/>
      <c r="S2" s="4"/>
      <c r="T2" s="4"/>
      <c r="U2" s="4"/>
      <c r="V2" s="5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34" t="s">
        <v>10</v>
      </c>
      <c r="AJ2" s="734"/>
      <c r="AK2" s="734"/>
      <c r="AM2" s="735" t="s">
        <v>195</v>
      </c>
      <c r="AN2" s="735"/>
      <c r="AO2" s="735"/>
      <c r="AP2" s="735"/>
      <c r="AQ2" s="7" t="s">
        <v>12</v>
      </c>
      <c r="AR2" s="735" t="s">
        <v>13</v>
      </c>
      <c r="AS2" s="735"/>
      <c r="AT2" s="735"/>
      <c r="AU2" s="735"/>
      <c r="AV2" s="735"/>
      <c r="AW2" s="735"/>
    </row>
    <row r="3" spans="1:51" customHeight="1" ht="40.9" s="40" customFormat="1">
      <c r="A3" s="8" t="s">
        <v>14</v>
      </c>
      <c r="B3" s="9" t="s">
        <v>15</v>
      </c>
      <c r="C3" s="10" t="s">
        <v>196</v>
      </c>
      <c r="D3" s="11" t="s">
        <v>197</v>
      </c>
      <c r="E3" s="12" t="s">
        <v>198</v>
      </c>
      <c r="F3" s="13" t="s">
        <v>199</v>
      </c>
      <c r="G3" s="14" t="s">
        <v>200</v>
      </c>
      <c r="H3" s="15" t="s">
        <v>201</v>
      </c>
      <c r="I3" s="16" t="s">
        <v>202</v>
      </c>
      <c r="J3" s="16" t="s">
        <v>203</v>
      </c>
      <c r="K3" s="17" t="s">
        <v>204</v>
      </c>
      <c r="L3" s="16" t="s">
        <v>205</v>
      </c>
      <c r="M3" s="16" t="s">
        <v>206</v>
      </c>
      <c r="N3" s="18" t="s">
        <v>207</v>
      </c>
      <c r="O3" s="19" t="s">
        <v>208</v>
      </c>
      <c r="P3" s="20" t="s">
        <v>209</v>
      </c>
      <c r="Q3" s="21" t="s">
        <v>35</v>
      </c>
      <c r="R3" s="22" t="s">
        <v>36</v>
      </c>
      <c r="S3" s="23" t="s">
        <v>37</v>
      </c>
      <c r="T3" s="23" t="s">
        <v>38</v>
      </c>
      <c r="U3" s="24" t="s">
        <v>39</v>
      </c>
      <c r="V3" s="25" t="s">
        <v>40</v>
      </c>
      <c r="W3" s="25" t="s">
        <v>41</v>
      </c>
      <c r="X3" s="26" t="s">
        <v>42</v>
      </c>
      <c r="Y3" s="27" t="s">
        <v>43</v>
      </c>
      <c r="Z3" s="27" t="s">
        <v>44</v>
      </c>
      <c r="AA3" s="28" t="s">
        <v>45</v>
      </c>
      <c r="AB3" s="29" t="s">
        <v>46</v>
      </c>
      <c r="AC3" s="30" t="str">
        <f>S3</f>
        <v>Germen 
25</v>
      </c>
      <c r="AD3" s="31" t="s">
        <v>47</v>
      </c>
      <c r="AE3" s="30" t="str">
        <f>V3</f>
        <v>Salvado 
25</v>
      </c>
      <c r="AF3" s="32" t="str">
        <f>W3</f>
        <v>Mogolla 
40</v>
      </c>
      <c r="AG3" s="32" t="str">
        <f>X3</f>
        <v>Segunda  
50</v>
      </c>
      <c r="AH3" s="33" t="str">
        <f>B3</f>
        <v>Fecha</v>
      </c>
      <c r="AI3" s="34" t="s">
        <v>48</v>
      </c>
      <c r="AJ3" s="35" t="s">
        <v>49</v>
      </c>
      <c r="AK3" s="35" t="s">
        <v>50</v>
      </c>
      <c r="AL3" s="36" t="s">
        <v>51</v>
      </c>
      <c r="AM3" s="37" t="s">
        <v>52</v>
      </c>
      <c r="AN3" s="37" t="s">
        <v>53</v>
      </c>
      <c r="AO3" s="37" t="s">
        <v>54</v>
      </c>
      <c r="AP3" s="37" t="s">
        <v>55</v>
      </c>
      <c r="AQ3" s="36" t="s">
        <v>56</v>
      </c>
      <c r="AR3" s="38" t="s">
        <v>57</v>
      </c>
      <c r="AS3" s="38" t="s">
        <v>58</v>
      </c>
      <c r="AT3" s="38" t="s">
        <v>59</v>
      </c>
      <c r="AU3" s="38" t="s">
        <v>60</v>
      </c>
      <c r="AV3" s="39" t="s">
        <v>61</v>
      </c>
      <c r="AW3" s="39" t="s">
        <v>62</v>
      </c>
    </row>
    <row r="4" spans="1:51" customHeight="1" ht="13.9">
      <c r="A4" s="41"/>
      <c r="B4" s="42"/>
      <c r="C4" s="43"/>
      <c r="D4" s="44"/>
      <c r="E4" s="45"/>
      <c r="F4" s="46"/>
      <c r="G4" s="47"/>
      <c r="H4" s="44"/>
      <c r="I4" s="48"/>
      <c r="J4" s="48"/>
      <c r="K4" s="44"/>
      <c r="L4" s="49"/>
      <c r="M4" s="49"/>
      <c r="N4" s="50"/>
      <c r="O4" s="46"/>
      <c r="P4" s="48"/>
      <c r="Q4" s="51"/>
      <c r="R4" s="48"/>
      <c r="S4" s="52"/>
      <c r="T4" s="52"/>
      <c r="U4" s="53"/>
      <c r="V4" s="53"/>
      <c r="W4" s="53"/>
      <c r="X4" s="54"/>
      <c r="Y4" s="55" t="str">
        <f>IF(B4="","",(((C4+E4+G4+K4+L4+M4+N4+O4)*50))+((D4+H4)*12.5)+(((F4+I4+J4+P4)*25)+(S4*25)+(T4*25)+(U4*25)+(V4*25)+(W4*40)+(X4*50)))</f>
        <v/>
      </c>
      <c r="Z4" s="55" t="str">
        <f>IF(B4="","",C4+E4+G4+K4+L4+M4+N4+O4+((D4+H4)/4)+((F4+I4+J4+P4)/2))</f>
        <v/>
      </c>
      <c r="AA4" s="56" t="str">
        <f>IF(B4="","",((Z4*50)/Y4))</f>
        <v/>
      </c>
      <c r="AB4" s="57" t="str">
        <f>IF(B4="","",((U4)*25)/Y4)</f>
        <v/>
      </c>
      <c r="AC4" s="57" t="str">
        <f>IF(B4="","",(S4*25)/Y4)</f>
        <v/>
      </c>
      <c r="AD4" s="57" t="str">
        <f>IF(B4="","",(T4*25)/Y4)</f>
        <v/>
      </c>
      <c r="AE4" s="57" t="str">
        <f>IF(B4="","",(V4*25)/Y4)</f>
        <v/>
      </c>
      <c r="AF4" s="58" t="str">
        <f>IF(B4="","",(W4*40)/Y4)</f>
        <v/>
      </c>
      <c r="AG4" s="58" t="str">
        <f>IF(B4="","",(X4*50)/Y4)</f>
        <v/>
      </c>
      <c r="AH4" s="59" t="str">
        <f>IF(B4="","",B4)</f>
        <v/>
      </c>
      <c r="AI4" s="60"/>
      <c r="AJ4" s="61"/>
      <c r="AK4" s="62"/>
      <c r="AL4" s="63" t="str">
        <f>IF(AI4="","",AI4/AJ4)</f>
        <v/>
      </c>
      <c r="AM4" s="64" t="str">
        <f>IF(AI4="","",(Y4/AI4)/1000)</f>
        <v/>
      </c>
      <c r="AN4" s="64" t="str">
        <f>IF(AI4="","",AM4*24)</f>
        <v/>
      </c>
      <c r="AO4" s="65" t="str">
        <f>IF(AI4="","",(Y4/1000)*100%/AN4)</f>
        <v/>
      </c>
      <c r="AP4" s="64" t="str">
        <f>IF(AI4="","",(Z4/AI4))</f>
        <v/>
      </c>
      <c r="AQ4" s="66" t="str">
        <f>IF(AI4="","",(Y4/AJ4)/1000)</f>
        <v/>
      </c>
      <c r="AR4" s="223"/>
      <c r="AS4" s="224"/>
      <c r="AT4" s="224"/>
      <c r="AU4" s="225"/>
      <c r="AV4" s="225"/>
      <c r="AW4" s="67"/>
    </row>
    <row r="5" spans="1:51">
      <c r="A5" s="41" t="str">
        <f>IF(B5="","",1+A4)</f>
        <v/>
      </c>
      <c r="B5" s="68"/>
      <c r="C5" s="69"/>
      <c r="D5" s="70"/>
      <c r="E5" s="71"/>
      <c r="F5" s="72"/>
      <c r="G5" s="73"/>
      <c r="H5" s="74"/>
      <c r="I5" s="75"/>
      <c r="J5" s="75"/>
      <c r="K5" s="70"/>
      <c r="L5" s="76"/>
      <c r="M5" s="76"/>
      <c r="N5" s="77"/>
      <c r="O5" s="72"/>
      <c r="P5" s="75"/>
      <c r="Q5" s="71"/>
      <c r="R5" s="75"/>
      <c r="S5" s="78"/>
      <c r="T5" s="78"/>
      <c r="U5" s="79"/>
      <c r="V5" s="79"/>
      <c r="W5" s="79"/>
      <c r="X5" s="80"/>
      <c r="Y5" s="55" t="str">
        <f>IF(B5="","",(((C5+E5+G5+K5+L5+M5+N5+O5)*50))+((D5+H5)*12.5)+(((F5+I5+J5+P5)*25)+(S5*25)+(T5*25)+(U5*25)+(V5*25)+(W5*40)+(X5*50)))</f>
        <v/>
      </c>
      <c r="Z5" s="55" t="str">
        <f>IF(B5="","",C5+E5+G5+K5+L5+M5+N5+O5+((D5+H5)/4)+((F5+I5+J5+P5)/2))</f>
        <v/>
      </c>
      <c r="AA5" s="56" t="str">
        <f>IF(B5="","",((Z5*50)/Y5))</f>
        <v/>
      </c>
      <c r="AB5" s="57" t="str">
        <f>IF(B5="","",((U5)*25)/Y5)</f>
        <v/>
      </c>
      <c r="AC5" s="57" t="str">
        <f>IF(B5="","",(S5*25)/Y5)</f>
        <v/>
      </c>
      <c r="AD5" s="57" t="str">
        <f>IF(B5="","",(T5*25)/Y5)</f>
        <v/>
      </c>
      <c r="AE5" s="57" t="str">
        <f>IF(B5="","",(V5*25)/Y5)</f>
        <v/>
      </c>
      <c r="AF5" s="58" t="str">
        <f>IF(B5="","",(W5*40)/Y5)</f>
        <v/>
      </c>
      <c r="AG5" s="58" t="str">
        <f>IF(B5="","",(X5*50)/Y5)</f>
        <v/>
      </c>
      <c r="AH5" s="59" t="str">
        <f>IF(B5="","",B5)</f>
        <v/>
      </c>
      <c r="AI5" s="81"/>
      <c r="AJ5" s="82"/>
      <c r="AK5" s="83"/>
      <c r="AL5" s="63" t="str">
        <f>IF(AI5="","",AI5/AJ5)</f>
        <v/>
      </c>
      <c r="AM5" s="64" t="str">
        <f>IF(AI5="","",(Y5/AI5)/1000)</f>
        <v/>
      </c>
      <c r="AN5" s="64" t="str">
        <f>IF(AI5="","",AM5*24)</f>
        <v/>
      </c>
      <c r="AO5" s="65" t="str">
        <f>IF(AI5="","",(Y5/1000)*100%/AN5)</f>
        <v/>
      </c>
      <c r="AP5" s="64" t="str">
        <f>IF(AI5="","",(Z5/AI5))</f>
        <v/>
      </c>
      <c r="AQ5" s="66" t="str">
        <f>IF(AI5="","",(Y5/AJ5)/1000)</f>
        <v/>
      </c>
      <c r="AR5" s="91"/>
      <c r="AS5" s="92"/>
      <c r="AT5" s="92"/>
      <c r="AU5" s="93"/>
      <c r="AV5" s="93"/>
      <c r="AW5" s="84"/>
    </row>
    <row r="6" spans="1:51">
      <c r="A6" s="41" t="str">
        <f>IF(B6="","",1+A5)</f>
        <v/>
      </c>
      <c r="B6" s="68"/>
      <c r="C6" s="69"/>
      <c r="D6" s="70"/>
      <c r="E6" s="71"/>
      <c r="F6" s="72"/>
      <c r="G6" s="73"/>
      <c r="H6" s="70"/>
      <c r="I6" s="75"/>
      <c r="J6" s="75"/>
      <c r="K6" s="70"/>
      <c r="L6" s="76"/>
      <c r="M6" s="76"/>
      <c r="N6" s="77"/>
      <c r="O6" s="72"/>
      <c r="P6" s="75"/>
      <c r="Q6" s="71"/>
      <c r="R6" s="75"/>
      <c r="S6" s="78"/>
      <c r="T6" s="78"/>
      <c r="U6" s="79"/>
      <c r="V6" s="79"/>
      <c r="W6" s="79"/>
      <c r="X6" s="85"/>
      <c r="Y6" s="55" t="str">
        <f>IF(B6="","",(((C6+E6+G6+K6+L6+M6+N6+O6)*50))+((D6+H6)*12.5)+(((F6+I6+J6+P6)*25)+(S6*25)+(T6*25)+(U6*25)+(V6*25)+(W6*40)+(X6*50)))</f>
        <v/>
      </c>
      <c r="Z6" s="55" t="str">
        <f>IF(B6="","",C6+E6+G6+K6+L6+M6+N6+O6+((D6+H6)/4)+((F6+I6+J6+P6)/2))</f>
        <v/>
      </c>
      <c r="AA6" s="56" t="str">
        <f>IF(B6="","",((Z6*50)/Y6))</f>
        <v/>
      </c>
      <c r="AB6" s="57" t="str">
        <f>IF(B6="","",((U6)*25)/Y6)</f>
        <v/>
      </c>
      <c r="AC6" s="57" t="str">
        <f>IF(B6="","",(S6*25)/Y6)</f>
        <v/>
      </c>
      <c r="AD6" s="57" t="str">
        <f>IF(B6="","",(T6*25)/Y6)</f>
        <v/>
      </c>
      <c r="AE6" s="57" t="str">
        <f>IF(B6="","",(V6*25)/Y6)</f>
        <v/>
      </c>
      <c r="AF6" s="58" t="str">
        <f>IF(B6="","",(W6*40)/Y6)</f>
        <v/>
      </c>
      <c r="AG6" s="58" t="str">
        <f>IF(B6="","",(X6*50)/Y6)</f>
        <v/>
      </c>
      <c r="AH6" s="59" t="str">
        <f>IF(B6="","",B6)</f>
        <v/>
      </c>
      <c r="AI6" s="81"/>
      <c r="AJ6" s="82"/>
      <c r="AK6" s="83"/>
      <c r="AL6" s="63" t="str">
        <f>IF(AI6="","",AI6/AJ6)</f>
        <v/>
      </c>
      <c r="AM6" s="64" t="str">
        <f>IF(AI6="","",(Y6/AI6)/1000)</f>
        <v/>
      </c>
      <c r="AN6" s="64" t="str">
        <f>IF(AI6="","",AM6*24)</f>
        <v/>
      </c>
      <c r="AO6" s="65" t="str">
        <f>IF(AI6="","",(Y6/1000)*100%/AN6)</f>
        <v/>
      </c>
      <c r="AP6" s="64" t="str">
        <f>IF(AI6="","",(Z6/AI6))</f>
        <v/>
      </c>
      <c r="AQ6" s="66" t="str">
        <f>IF(AI6="","",(Y6/AJ6)/1000)</f>
        <v/>
      </c>
      <c r="AR6" s="91"/>
      <c r="AS6" s="92"/>
      <c r="AT6" s="92"/>
      <c r="AU6" s="93"/>
      <c r="AV6" s="93"/>
      <c r="AW6" s="84"/>
    </row>
    <row r="7" spans="1:51">
      <c r="A7" s="41" t="str">
        <f>IF(B7="","",1+A6)</f>
        <v/>
      </c>
      <c r="B7" s="68"/>
      <c r="C7" s="69"/>
      <c r="D7" s="70"/>
      <c r="E7" s="71"/>
      <c r="F7" s="72"/>
      <c r="G7" s="73"/>
      <c r="H7" s="70"/>
      <c r="I7" s="75"/>
      <c r="J7" s="75"/>
      <c r="K7" s="70"/>
      <c r="L7" s="76"/>
      <c r="M7" s="76"/>
      <c r="N7" s="77"/>
      <c r="O7" s="72"/>
      <c r="P7" s="75"/>
      <c r="Q7" s="71"/>
      <c r="R7" s="75"/>
      <c r="S7" s="78"/>
      <c r="T7" s="78"/>
      <c r="U7" s="79"/>
      <c r="V7" s="79"/>
      <c r="W7" s="79"/>
      <c r="X7" s="85"/>
      <c r="Y7" s="55" t="str">
        <f>IF(B7="","",(((C7+E7+G7+K7+L7+M7+N7+O7)*50))+((D7+H7)*12.5)+(((F7+I7+J7+P7)*25)+(S7*25)+(T7*25)+(U7*25)+(V7*25)+(W7*40)+(X7*50)))</f>
        <v/>
      </c>
      <c r="Z7" s="55" t="str">
        <f>IF(B7="","",C7+E7+G7+K7+L7+M7+N7+O7+((D7+H7)/4)+((F7+I7+J7+P7)/2))</f>
        <v/>
      </c>
      <c r="AA7" s="56" t="str">
        <f>IF(B7="","",((Z7*50)/Y7))</f>
        <v/>
      </c>
      <c r="AB7" s="57" t="str">
        <f>IF(B7="","",((U7)*25)/Y7)</f>
        <v/>
      </c>
      <c r="AC7" s="57" t="str">
        <f>IF(B7="","",(S7*25)/Y7)</f>
        <v/>
      </c>
      <c r="AD7" s="57" t="str">
        <f>IF(B7="","",(T7*25)/Y7)</f>
        <v/>
      </c>
      <c r="AE7" s="57" t="str">
        <f>IF(B7="","",(V7*25)/Y7)</f>
        <v/>
      </c>
      <c r="AF7" s="58" t="str">
        <f>IF(B7="","",(W7*40)/Y7)</f>
        <v/>
      </c>
      <c r="AG7" s="58" t="str">
        <f>IF(B7="","",(X7*50)/Y7)</f>
        <v/>
      </c>
      <c r="AH7" s="59" t="str">
        <f>IF(B7="","",B7)</f>
        <v/>
      </c>
      <c r="AI7" s="81"/>
      <c r="AJ7" s="82"/>
      <c r="AK7" s="86"/>
      <c r="AL7" s="63" t="str">
        <f>IF(AI7="","",AI7/AJ7)</f>
        <v/>
      </c>
      <c r="AM7" s="64" t="str">
        <f>IF(AI7="","",(Y7/AI7)/1000)</f>
        <v/>
      </c>
      <c r="AN7" s="64" t="str">
        <f>IF(AI7="","",AM7*24)</f>
        <v/>
      </c>
      <c r="AO7" s="65" t="str">
        <f>IF(AI7="","",(Y7/1000)*100%/AN7)</f>
        <v/>
      </c>
      <c r="AP7" s="64" t="str">
        <f>IF(AI7="","",(Z7/AI7))</f>
        <v/>
      </c>
      <c r="AQ7" s="66" t="str">
        <f>IF(AI7="","",(Y7/AJ7)/1000)</f>
        <v/>
      </c>
      <c r="AR7" s="91"/>
      <c r="AS7" s="92"/>
      <c r="AT7" s="92"/>
      <c r="AU7" s="93"/>
      <c r="AV7" s="93"/>
      <c r="AW7" s="84"/>
    </row>
    <row r="8" spans="1:51">
      <c r="A8" s="41" t="str">
        <f>IF(B8="","",1+A7)</f>
        <v/>
      </c>
      <c r="B8" s="68"/>
      <c r="C8" s="69"/>
      <c r="D8" s="70"/>
      <c r="E8" s="71"/>
      <c r="F8" s="72"/>
      <c r="G8" s="73"/>
      <c r="H8" s="70"/>
      <c r="I8" s="75"/>
      <c r="J8" s="75"/>
      <c r="K8" s="70"/>
      <c r="L8" s="76"/>
      <c r="M8" s="76"/>
      <c r="N8" s="77"/>
      <c r="O8" s="72"/>
      <c r="P8" s="75"/>
      <c r="Q8" s="71"/>
      <c r="R8" s="75"/>
      <c r="S8" s="78"/>
      <c r="T8" s="78"/>
      <c r="U8" s="79"/>
      <c r="V8" s="79"/>
      <c r="W8" s="79"/>
      <c r="X8" s="85"/>
      <c r="Y8" s="55" t="str">
        <f>IF(B8="","",(((C8+E8+G8+K8+L8+M8+N8+O8)*50))+((D8+H8)*12.5)+(((F8+I8+J8+P8)*25)+(S8*25)+(T8*25)+(U8*25)+(V8*25)+(W8*40)+(X8*50)))</f>
        <v/>
      </c>
      <c r="Z8" s="55" t="str">
        <f>IF(B8="","",C8+E8+G8+K8+L8+M8+N8+O8+((D8+H8)/4)+((F8+I8+J8+P8)/2))</f>
        <v/>
      </c>
      <c r="AA8" s="56" t="str">
        <f>IF(B8="","",((Z8*50)/Y8))</f>
        <v/>
      </c>
      <c r="AB8" s="57" t="str">
        <f>IF(B8="","",((U8)*25)/Y8)</f>
        <v/>
      </c>
      <c r="AC8" s="57" t="str">
        <f>IF(B8="","",(S8*25)/Y8)</f>
        <v/>
      </c>
      <c r="AD8" s="57" t="str">
        <f>IF(B8="","",(T8*25)/Y8)</f>
        <v/>
      </c>
      <c r="AE8" s="57" t="str">
        <f>IF(B8="","",(V8*25)/Y8)</f>
        <v/>
      </c>
      <c r="AF8" s="58" t="str">
        <f>IF(B8="","",(W8*40)/Y8)</f>
        <v/>
      </c>
      <c r="AG8" s="58" t="str">
        <f>IF(B8="","",(X8*50)/Y8)</f>
        <v/>
      </c>
      <c r="AH8" s="59" t="str">
        <f>IF(B8="","",B8)</f>
        <v/>
      </c>
      <c r="AI8" s="81"/>
      <c r="AJ8" s="87"/>
      <c r="AK8" s="83"/>
      <c r="AL8" s="63" t="str">
        <f>IF(AI8="","",AI8/AJ8)</f>
        <v/>
      </c>
      <c r="AM8" s="64" t="str">
        <f>IF(AI8="","",(Y8/AI8)/1000)</f>
        <v/>
      </c>
      <c r="AN8" s="64" t="str">
        <f>IF(AI8="","",AM8*24)</f>
        <v/>
      </c>
      <c r="AO8" s="65" t="str">
        <f>IF(AI8="","",(Y8/1000)*100%/AN8)</f>
        <v/>
      </c>
      <c r="AP8" s="64" t="str">
        <f>IF(AI8="","",(Z8/AI8))</f>
        <v/>
      </c>
      <c r="AQ8" s="66" t="str">
        <f>IF(AI8="","",(Y8/AJ8)/1000)</f>
        <v/>
      </c>
      <c r="AR8" s="91"/>
      <c r="AS8" s="92"/>
      <c r="AT8" s="92"/>
      <c r="AU8" s="93"/>
      <c r="AV8" s="93"/>
      <c r="AW8" s="84"/>
    </row>
    <row r="9" spans="1:51">
      <c r="A9" s="41" t="str">
        <f>IF(B9="","",1+A8)</f>
        <v/>
      </c>
      <c r="B9" s="88"/>
      <c r="C9" s="69"/>
      <c r="D9" s="70"/>
      <c r="E9" s="71"/>
      <c r="F9" s="72"/>
      <c r="G9" s="73"/>
      <c r="H9" s="70"/>
      <c r="I9" s="75"/>
      <c r="J9" s="75"/>
      <c r="K9" s="70"/>
      <c r="L9" s="76"/>
      <c r="M9" s="76"/>
      <c r="N9" s="77"/>
      <c r="O9" s="72"/>
      <c r="P9" s="75"/>
      <c r="Q9" s="71"/>
      <c r="R9" s="75"/>
      <c r="S9" s="78"/>
      <c r="T9" s="78"/>
      <c r="U9" s="79"/>
      <c r="V9" s="79"/>
      <c r="W9" s="79"/>
      <c r="X9" s="85"/>
      <c r="Y9" s="55" t="str">
        <f>IF(B9="","",(((C9+E9+G9+K9+L9+M9+N9+O9)*50))+((D9+H9)*12.5)+(((F9+I9+J9+P9)*25)+(S9*25)+(T9*25)+(U9*25)+(V9*25)+(W9*40)+(X9*50)))</f>
        <v/>
      </c>
      <c r="Z9" s="55" t="str">
        <f>IF(B9="","",C9+E9+G9+K9+L9+M9+N9+O9+((D9+H9)/4)+((F9+I9+J9+P9)/2))</f>
        <v/>
      </c>
      <c r="AA9" s="56" t="str">
        <f>IF(B9="","",((Z9*50)/Y9))</f>
        <v/>
      </c>
      <c r="AB9" s="57" t="str">
        <f>IF(B9="","",((U9)*25)/Y9)</f>
        <v/>
      </c>
      <c r="AC9" s="57" t="str">
        <f>IF(B9="","",(S9*25)/Y9)</f>
        <v/>
      </c>
      <c r="AD9" s="57" t="str">
        <f>IF(B9="","",(T9*25)/Y9)</f>
        <v/>
      </c>
      <c r="AE9" s="57" t="str">
        <f>IF(B9="","",(V9*25)/Y9)</f>
        <v/>
      </c>
      <c r="AF9" s="58" t="str">
        <f>IF(B9="","",(W9*40)/Y9)</f>
        <v/>
      </c>
      <c r="AG9" s="58" t="str">
        <f>IF(B9="","",(X9*50)/Y9)</f>
        <v/>
      </c>
      <c r="AH9" s="59" t="str">
        <f>IF(B9="","",B9)</f>
        <v/>
      </c>
      <c r="AI9" s="81"/>
      <c r="AJ9" s="82"/>
      <c r="AK9" s="83"/>
      <c r="AL9" s="63" t="str">
        <f>IF(AI9="","",AI9/AJ9)</f>
        <v/>
      </c>
      <c r="AM9" s="64" t="str">
        <f>IF(AI9="","",(Y9/AI9)/1000)</f>
        <v/>
      </c>
      <c r="AN9" s="64" t="str">
        <f>IF(AI9="","",AM9*24)</f>
        <v/>
      </c>
      <c r="AO9" s="65" t="str">
        <f>IF(AI9="","",(Y9/1000)*100%/AN9)</f>
        <v/>
      </c>
      <c r="AP9" s="64" t="str">
        <f>IF(AI9="","",(Z9/AI9))</f>
        <v/>
      </c>
      <c r="AQ9" s="66" t="str">
        <f>IF(AI9="","",(Y9/AJ9)/1000)</f>
        <v/>
      </c>
      <c r="AR9" s="91"/>
      <c r="AS9" s="92"/>
      <c r="AT9" s="92"/>
      <c r="AU9" s="93"/>
      <c r="AV9" s="93"/>
      <c r="AW9" s="84"/>
    </row>
    <row r="10" spans="1:51">
      <c r="A10" s="41" t="str">
        <f>IF(B10="","",1+A9)</f>
        <v/>
      </c>
      <c r="B10" s="68"/>
      <c r="C10" s="69"/>
      <c r="D10" s="70"/>
      <c r="E10" s="71"/>
      <c r="F10" s="72"/>
      <c r="G10" s="73"/>
      <c r="H10" s="70"/>
      <c r="I10" s="75"/>
      <c r="J10" s="75"/>
      <c r="K10" s="70"/>
      <c r="L10" s="76"/>
      <c r="M10" s="76"/>
      <c r="N10" s="77"/>
      <c r="O10" s="72"/>
      <c r="P10" s="75"/>
      <c r="Q10" s="71"/>
      <c r="R10" s="75"/>
      <c r="S10" s="78"/>
      <c r="T10" s="78"/>
      <c r="U10" s="79"/>
      <c r="V10" s="79"/>
      <c r="W10" s="79"/>
      <c r="X10" s="85"/>
      <c r="Y10" s="55" t="str">
        <f>IF(B10="","",(((C10+E10+G10+K10+L10+M10+N10+O10)*50))+((D10+H10)*12.5)+(((F10+I10+J10+P10)*25)+(S10*25)+(T10*25)+(U10*25)+(V10*25)+(W10*40)+(X10*50)))</f>
        <v/>
      </c>
      <c r="Z10" s="55" t="str">
        <f>IF(B10="","",C10+E10+G10+K10+L10+M10+N10+O10+((D10+H10)/4)+((F10+I10+J10+P10)/2))</f>
        <v/>
      </c>
      <c r="AA10" s="56" t="str">
        <f>IF(B10="","",((Z10*50)/Y10))</f>
        <v/>
      </c>
      <c r="AB10" s="57" t="str">
        <f>IF(B10="","",((U10)*25)/Y10)</f>
        <v/>
      </c>
      <c r="AC10" s="57" t="str">
        <f>IF(B10="","",(S10*25)/Y10)</f>
        <v/>
      </c>
      <c r="AD10" s="57" t="str">
        <f>IF(B10="","",(T10*25)/Y10)</f>
        <v/>
      </c>
      <c r="AE10" s="57" t="str">
        <f>IF(B10="","",(V10*25)/Y10)</f>
        <v/>
      </c>
      <c r="AF10" s="58" t="str">
        <f>IF(B10="","",(W10*40)/Y10)</f>
        <v/>
      </c>
      <c r="AG10" s="58" t="str">
        <f>IF(B10="","",(X10*50)/Y10)</f>
        <v/>
      </c>
      <c r="AH10" s="59" t="str">
        <f>IF(B10="","",B10)</f>
        <v/>
      </c>
      <c r="AI10" s="81"/>
      <c r="AJ10" s="82"/>
      <c r="AK10" s="83"/>
      <c r="AL10" s="63" t="str">
        <f>IF(AI10="","",AI10/AJ10)</f>
        <v/>
      </c>
      <c r="AM10" s="64" t="str">
        <f>IF(AI10="","",(Y10/AI10)/1000)</f>
        <v/>
      </c>
      <c r="AN10" s="64" t="str">
        <f>IF(AI10="","",AM10*24)</f>
        <v/>
      </c>
      <c r="AO10" s="65" t="str">
        <f>IF(AI10="","",(Y10/1000)*100%/AN10)</f>
        <v/>
      </c>
      <c r="AP10" s="64" t="str">
        <f>IF(AI10="","",(Z10/AI10))</f>
        <v/>
      </c>
      <c r="AQ10" s="66" t="str">
        <f>IF(AI10="","",(Y10/AJ10)/1000)</f>
        <v/>
      </c>
      <c r="AR10" s="91"/>
      <c r="AS10" s="92"/>
      <c r="AT10" s="92"/>
      <c r="AU10" s="93"/>
      <c r="AV10" s="93"/>
      <c r="AW10" s="84"/>
    </row>
    <row r="11" spans="1:51">
      <c r="A11" s="41" t="str">
        <f>IF(B11="","",1+A10)</f>
        <v/>
      </c>
      <c r="B11" s="68"/>
      <c r="C11" s="69"/>
      <c r="D11" s="70"/>
      <c r="E11" s="71"/>
      <c r="F11" s="72"/>
      <c r="G11" s="73"/>
      <c r="H11" s="70"/>
      <c r="I11" s="75"/>
      <c r="J11" s="75"/>
      <c r="K11" s="70"/>
      <c r="L11" s="76"/>
      <c r="M11" s="76"/>
      <c r="N11" s="77"/>
      <c r="O11" s="72"/>
      <c r="P11" s="75"/>
      <c r="Q11" s="71"/>
      <c r="R11" s="75"/>
      <c r="S11" s="78"/>
      <c r="T11" s="78"/>
      <c r="U11" s="79"/>
      <c r="V11" s="79"/>
      <c r="W11" s="79"/>
      <c r="X11" s="85"/>
      <c r="Y11" s="55" t="str">
        <f>IF(B11="","",(((C11+E11+G11+K11+L11+M11+N11+O11)*50))+((D11+H11)*12.5)+(((F11+I11+J11+P11)*25)+(S11*25)+(T11*25)+(U11*25)+(V11*25)+(W11*40)+(X11*50)))</f>
        <v/>
      </c>
      <c r="Z11" s="55" t="str">
        <f>IF(B11="","",C11+E11+G11+K11+L11+M11+N11+O11+((D11+H11)/4)+((F11+I11+J11+P11)/2))</f>
        <v/>
      </c>
      <c r="AA11" s="56" t="str">
        <f>IF(B11="","",((Z11*50)/Y11))</f>
        <v/>
      </c>
      <c r="AB11" s="57" t="str">
        <f>IF(B11="","",((U11)*25)/Y11)</f>
        <v/>
      </c>
      <c r="AC11" s="57" t="str">
        <f>IF(B11="","",(S11*25)/Y11)</f>
        <v/>
      </c>
      <c r="AD11" s="57" t="str">
        <f>IF(B11="","",(T11*25)/Y11)</f>
        <v/>
      </c>
      <c r="AE11" s="57" t="str">
        <f>IF(B11="","",(V11*25)/Y11)</f>
        <v/>
      </c>
      <c r="AF11" s="58" t="str">
        <f>IF(B11="","",(W11*40)/Y11)</f>
        <v/>
      </c>
      <c r="AG11" s="58" t="str">
        <f>IF(B11="","",(X11*50)/Y11)</f>
        <v/>
      </c>
      <c r="AH11" s="59" t="str">
        <f>IF(B11="","",B11)</f>
        <v/>
      </c>
      <c r="AI11" s="89"/>
      <c r="AJ11" s="90"/>
      <c r="AK11" s="83"/>
      <c r="AL11" s="63" t="str">
        <f>IF(AI11="","",AI11/AJ11)</f>
        <v/>
      </c>
      <c r="AM11" s="64" t="str">
        <f>IF(AI11="","",(Y11/AI11)/1000)</f>
        <v/>
      </c>
      <c r="AN11" s="64" t="str">
        <f>IF(AI11="","",AM11*24)</f>
        <v/>
      </c>
      <c r="AO11" s="65" t="str">
        <f>IF(AI11="","",(Y11/1000)*100%/AN11)</f>
        <v/>
      </c>
      <c r="AP11" s="64" t="str">
        <f>IF(AI11="","",(Z11/AI11))</f>
        <v/>
      </c>
      <c r="AQ11" s="66" t="str">
        <f>IF(AI11="","",(Y11/AJ11)/1000)</f>
        <v/>
      </c>
      <c r="AR11" s="91"/>
      <c r="AS11" s="92"/>
      <c r="AT11" s="92"/>
      <c r="AU11" s="93"/>
      <c r="AV11" s="93"/>
      <c r="AW11" s="84"/>
    </row>
    <row r="12" spans="1:51">
      <c r="A12" s="41" t="str">
        <f>IF(B12="","",1+A11)</f>
        <v/>
      </c>
      <c r="B12" s="68"/>
      <c r="C12" s="69"/>
      <c r="D12" s="70"/>
      <c r="E12" s="71"/>
      <c r="F12" s="72"/>
      <c r="G12" s="73"/>
      <c r="H12" s="70"/>
      <c r="I12" s="75"/>
      <c r="J12" s="75"/>
      <c r="K12" s="70"/>
      <c r="L12" s="76"/>
      <c r="M12" s="76"/>
      <c r="N12" s="77"/>
      <c r="O12" s="72"/>
      <c r="P12" s="75"/>
      <c r="Q12" s="71"/>
      <c r="R12" s="75"/>
      <c r="S12" s="78"/>
      <c r="T12" s="78"/>
      <c r="U12" s="79"/>
      <c r="V12" s="79"/>
      <c r="W12" s="79"/>
      <c r="X12" s="85"/>
      <c r="Y12" s="55" t="str">
        <f>IF(B12="","",(((C12+E12+G12+K12+L12+M12+N12+O12)*50))+((D12+H12)*12.5)+(((F12+I12+J12+P12)*25)+(S12*25)+(T12*25)+(U12*25)+(V12*25)+(W12*40)+(X12*50)))</f>
        <v/>
      </c>
      <c r="Z12" s="55" t="str">
        <f>IF(B12="","",C12+E12+G12+K12+L12+M12+N12+O12+((D12+H12)/4)+((F12+I12+J12+P12)/2))</f>
        <v/>
      </c>
      <c r="AA12" s="56" t="str">
        <f>IF(B12="","",((Z12*50)/Y12))</f>
        <v/>
      </c>
      <c r="AB12" s="57" t="str">
        <f>IF(B12="","",((U12)*25)/Y12)</f>
        <v/>
      </c>
      <c r="AC12" s="57" t="str">
        <f>IF(B12="","",(S12*25)/Y12)</f>
        <v/>
      </c>
      <c r="AD12" s="57" t="str">
        <f>IF(B12="","",(T12*25)/Y12)</f>
        <v/>
      </c>
      <c r="AE12" s="57" t="str">
        <f>IF(B12="","",(V12*25)/Y12)</f>
        <v/>
      </c>
      <c r="AF12" s="58" t="str">
        <f>IF(B12="","",(W12*40)/Y12)</f>
        <v/>
      </c>
      <c r="AG12" s="58" t="str">
        <f>IF(B12="","",(X12*50)/Y12)</f>
        <v/>
      </c>
      <c r="AH12" s="59" t="str">
        <f>IF(B12="","",B12)</f>
        <v/>
      </c>
      <c r="AI12" s="81"/>
      <c r="AJ12" s="94"/>
      <c r="AK12" s="83"/>
      <c r="AL12" s="63" t="str">
        <f>IF(AI12="","",AI12/AJ12)</f>
        <v/>
      </c>
      <c r="AM12" s="64" t="str">
        <f>IF(AI12="","",(Y12/AI12)/1000)</f>
        <v/>
      </c>
      <c r="AN12" s="64" t="str">
        <f>IF(AI12="","",AM12*24)</f>
        <v/>
      </c>
      <c r="AO12" s="65" t="str">
        <f>IF(AI12="","",(Y12/1000)*100%/AN12)</f>
        <v/>
      </c>
      <c r="AP12" s="64" t="str">
        <f>IF(AI12="","",(Z12/AI12))</f>
        <v/>
      </c>
      <c r="AQ12" s="66" t="str">
        <f>IF(AI12="","",(Y12/AJ12)/1000)</f>
        <v/>
      </c>
      <c r="AR12" s="91"/>
      <c r="AS12" s="92"/>
      <c r="AT12" s="92"/>
      <c r="AU12" s="93"/>
      <c r="AV12" s="93"/>
      <c r="AW12" s="84"/>
    </row>
    <row r="13" spans="1:51">
      <c r="A13" s="41" t="str">
        <f>IF(B13="","",1+A12)</f>
        <v/>
      </c>
      <c r="B13" s="68"/>
      <c r="C13" s="69"/>
      <c r="D13" s="70"/>
      <c r="E13" s="71"/>
      <c r="F13" s="72"/>
      <c r="G13" s="73"/>
      <c r="H13" s="70"/>
      <c r="I13" s="75"/>
      <c r="J13" s="75"/>
      <c r="K13" s="70"/>
      <c r="L13" s="76"/>
      <c r="M13" s="76"/>
      <c r="N13" s="77"/>
      <c r="O13" s="72"/>
      <c r="P13" s="75"/>
      <c r="Q13" s="71"/>
      <c r="R13" s="75"/>
      <c r="S13" s="78"/>
      <c r="T13" s="78"/>
      <c r="U13" s="79"/>
      <c r="V13" s="79"/>
      <c r="W13" s="79"/>
      <c r="X13" s="85"/>
      <c r="Y13" s="55" t="str">
        <f>IF(B13="","",(((C13+E13+G13+K13+L13+M13+N13+O13)*50))+((D13+H13)*12.5)+(((F13+I13+J13+P13)*25)+(S13*25)+(T13*25)+(U13*25)+(V13*25)+(W13*40)+(X13*50)))</f>
        <v/>
      </c>
      <c r="Z13" s="55" t="str">
        <f>IF(B13="","",C13+E13+G13+K13+L13+M13+N13+O13+((D13+H13)/4)+((F13+I13+J13+P13)/2))</f>
        <v/>
      </c>
      <c r="AA13" s="56" t="str">
        <f>IF(B13="","",((Z13*50)/Y13))</f>
        <v/>
      </c>
      <c r="AB13" s="57" t="str">
        <f>IF(B13="","",((U13)*25)/Y13)</f>
        <v/>
      </c>
      <c r="AC13" s="57" t="str">
        <f>IF(B13="","",(S13*25)/Y13)</f>
        <v/>
      </c>
      <c r="AD13" s="57" t="str">
        <f>IF(B13="","",(T13*25)/Y13)</f>
        <v/>
      </c>
      <c r="AE13" s="57" t="str">
        <f>IF(B13="","",(V13*25)/Y13)</f>
        <v/>
      </c>
      <c r="AF13" s="58" t="str">
        <f>IF(B13="","",(W13*40)/Y13)</f>
        <v/>
      </c>
      <c r="AG13" s="58" t="str">
        <f>IF(B13="","",(X13*50)/Y13)</f>
        <v/>
      </c>
      <c r="AH13" s="59" t="str">
        <f>IF(B13="","",B13)</f>
        <v/>
      </c>
      <c r="AI13" s="81"/>
      <c r="AJ13" s="94"/>
      <c r="AK13" s="83"/>
      <c r="AL13" s="63" t="str">
        <f>IF(AI13="","",AI13/AJ13)</f>
        <v/>
      </c>
      <c r="AM13" s="64" t="str">
        <f>IF(AI13="","",(Y13/AI13)/1000)</f>
        <v/>
      </c>
      <c r="AN13" s="64" t="str">
        <f>IF(AI13="","",AM13*24)</f>
        <v/>
      </c>
      <c r="AO13" s="65" t="str">
        <f>IF(AI13="","",(Y13/1000)*100%/AN13)</f>
        <v/>
      </c>
      <c r="AP13" s="64" t="str">
        <f>IF(AI13="","",(Z13/AI13))</f>
        <v/>
      </c>
      <c r="AQ13" s="66" t="str">
        <f>IF(AI13="","",(Y13/AJ13)/1000)</f>
        <v/>
      </c>
      <c r="AR13" s="91"/>
      <c r="AS13" s="92"/>
      <c r="AT13" s="92"/>
      <c r="AU13" s="93"/>
      <c r="AV13" s="93"/>
      <c r="AW13" s="84"/>
    </row>
    <row r="14" spans="1:51">
      <c r="A14" s="41" t="str">
        <f>IF(B14="","",1+A13)</f>
        <v/>
      </c>
      <c r="B14" s="68"/>
      <c r="C14" s="69"/>
      <c r="D14" s="70"/>
      <c r="E14" s="71"/>
      <c r="F14" s="72"/>
      <c r="G14" s="73"/>
      <c r="H14" s="70"/>
      <c r="I14" s="75"/>
      <c r="J14" s="75"/>
      <c r="K14" s="70"/>
      <c r="L14" s="76"/>
      <c r="M14" s="76"/>
      <c r="N14" s="77"/>
      <c r="O14" s="72"/>
      <c r="P14" s="75"/>
      <c r="Q14" s="71"/>
      <c r="R14" s="75"/>
      <c r="S14" s="78"/>
      <c r="T14" s="78"/>
      <c r="U14" s="79"/>
      <c r="V14" s="79"/>
      <c r="W14" s="79"/>
      <c r="X14" s="85"/>
      <c r="Y14" s="55" t="str">
        <f>IF(B14="","",(((C14+E14+G14+K14+L14+M14+N14+O14)*50))+((D14+H14)*12.5)+(((F14+I14+J14+P14)*25)+(S14*25)+(T14*25)+(U14*25)+(V14*25)+(W14*40)+(X14*50)))</f>
        <v/>
      </c>
      <c r="Z14" s="55" t="str">
        <f>IF(B14="","",C14+E14+G14+K14+L14+M14+N14+O14+((D14+H14)/4)+((F14+I14+J14+P14)/2))</f>
        <v/>
      </c>
      <c r="AA14" s="56" t="str">
        <f>IF(B14="","",((Z14*50)/Y14))</f>
        <v/>
      </c>
      <c r="AB14" s="57" t="str">
        <f>IF(B14="","",((U14)*25)/Y14)</f>
        <v/>
      </c>
      <c r="AC14" s="57" t="str">
        <f>IF(B14="","",(S14*25)/Y14)</f>
        <v/>
      </c>
      <c r="AD14" s="57" t="str">
        <f>IF(B14="","",(T14*25)/Y14)</f>
        <v/>
      </c>
      <c r="AE14" s="57" t="str">
        <f>IF(B14="","",(V14*25)/Y14)</f>
        <v/>
      </c>
      <c r="AF14" s="58" t="str">
        <f>IF(B14="","",(W14*40)/Y14)</f>
        <v/>
      </c>
      <c r="AG14" s="58" t="str">
        <f>IF(B14="","",(X14*50)/Y14)</f>
        <v/>
      </c>
      <c r="AH14" s="59" t="str">
        <f>IF(B14="","",B14)</f>
        <v/>
      </c>
      <c r="AI14" s="81"/>
      <c r="AJ14" s="94"/>
      <c r="AK14" s="83"/>
      <c r="AL14" s="63" t="str">
        <f>IF(AI14="","",AI14/AJ14)</f>
        <v/>
      </c>
      <c r="AM14" s="64" t="str">
        <f>IF(AI14="","",(Y14/AI14)/1000)</f>
        <v/>
      </c>
      <c r="AN14" s="64" t="str">
        <f>IF(AI14="","",AM14*24)</f>
        <v/>
      </c>
      <c r="AO14" s="65" t="str">
        <f>IF(AI14="","",(Y14/1000)*100%/AN14)</f>
        <v/>
      </c>
      <c r="AP14" s="64" t="str">
        <f>IF(AI14="","",(Z14/AI14))</f>
        <v/>
      </c>
      <c r="AQ14" s="66" t="str">
        <f>IF(AI14="","",(Y14/AJ14)/1000)</f>
        <v/>
      </c>
      <c r="AR14" s="91"/>
      <c r="AS14" s="92"/>
      <c r="AT14" s="92"/>
      <c r="AU14" s="93"/>
      <c r="AV14" s="93"/>
      <c r="AW14" s="84"/>
    </row>
    <row r="15" spans="1:51">
      <c r="A15" s="41" t="str">
        <f>IF(B15="","",1+A14)</f>
        <v/>
      </c>
      <c r="B15" s="68"/>
      <c r="C15" s="69"/>
      <c r="D15" s="70"/>
      <c r="E15" s="71"/>
      <c r="F15" s="72"/>
      <c r="G15" s="73"/>
      <c r="H15" s="70"/>
      <c r="I15" s="75"/>
      <c r="J15" s="75"/>
      <c r="K15" s="70"/>
      <c r="L15" s="76"/>
      <c r="M15" s="76"/>
      <c r="N15" s="77"/>
      <c r="O15" s="72"/>
      <c r="P15" s="75"/>
      <c r="Q15" s="71"/>
      <c r="R15" s="75"/>
      <c r="S15" s="78"/>
      <c r="T15" s="78"/>
      <c r="U15" s="79"/>
      <c r="V15" s="79"/>
      <c r="W15" s="79"/>
      <c r="X15" s="85"/>
      <c r="Y15" s="55" t="str">
        <f>IF(B15="","",(((C15+E15+G15+K15+L15+M15+N15+O15)*50))+((D15+H15)*12.5)+(((F15+I15+J15+P15)*25)+(S15*25)+(T15*25)+(U15*25)+(V15*25)+(W15*40)+(X15*50)))</f>
        <v/>
      </c>
      <c r="Z15" s="55" t="str">
        <f>IF(B15="","",C15+E15+G15+K15+L15+M15+N15+O15+((D15+H15)/4)+((F15+I15+J15+P15)/2))</f>
        <v/>
      </c>
      <c r="AA15" s="56" t="str">
        <f>IF(B15="","",((Z15*50)/Y15))</f>
        <v/>
      </c>
      <c r="AB15" s="57" t="str">
        <f>IF(B15="","",((U15)*25)/Y15)</f>
        <v/>
      </c>
      <c r="AC15" s="57" t="str">
        <f>IF(B15="","",(S15*25)/Y15)</f>
        <v/>
      </c>
      <c r="AD15" s="57" t="str">
        <f>IF(B15="","",(T15*25)/Y15)</f>
        <v/>
      </c>
      <c r="AE15" s="57" t="str">
        <f>IF(B15="","",(V15*25)/Y15)</f>
        <v/>
      </c>
      <c r="AF15" s="58" t="str">
        <f>IF(B15="","",(W15*40)/Y15)</f>
        <v/>
      </c>
      <c r="AG15" s="58" t="str">
        <f>IF(B15="","",(X15*50)/Y15)</f>
        <v/>
      </c>
      <c r="AH15" s="59" t="str">
        <f>IF(B15="","",B15)</f>
        <v/>
      </c>
      <c r="AI15" s="81"/>
      <c r="AJ15" s="94"/>
      <c r="AK15" s="83"/>
      <c r="AL15" s="63" t="str">
        <f>IF(AI15="","",AI15/AJ15)</f>
        <v/>
      </c>
      <c r="AM15" s="64" t="str">
        <f>IF(AI15="","",(Y15/AI15)/1000)</f>
        <v/>
      </c>
      <c r="AN15" s="64" t="str">
        <f>IF(AI15="","",AM15*24)</f>
        <v/>
      </c>
      <c r="AO15" s="65" t="str">
        <f>IF(AI15="","",(Y15/1000)*100%/AN15)</f>
        <v/>
      </c>
      <c r="AP15" s="64" t="str">
        <f>IF(AI15="","",(Z15/AI15))</f>
        <v/>
      </c>
      <c r="AQ15" s="66" t="str">
        <f>IF(AI15="","",(Y15/AJ15)/1000)</f>
        <v/>
      </c>
      <c r="AR15" s="91"/>
      <c r="AS15" s="92"/>
      <c r="AT15" s="92"/>
      <c r="AU15" s="93"/>
      <c r="AV15" s="93"/>
      <c r="AW15" s="84"/>
    </row>
    <row r="16" spans="1:51">
      <c r="A16" s="41" t="str">
        <f>IF(B16="","",1+A15)</f>
        <v/>
      </c>
      <c r="B16" s="68"/>
      <c r="C16" s="69"/>
      <c r="D16" s="70"/>
      <c r="E16" s="71"/>
      <c r="F16" s="72"/>
      <c r="G16" s="73"/>
      <c r="H16" s="70"/>
      <c r="I16" s="75"/>
      <c r="J16" s="75"/>
      <c r="K16" s="70"/>
      <c r="L16" s="76"/>
      <c r="M16" s="76"/>
      <c r="N16" s="77"/>
      <c r="O16" s="72"/>
      <c r="P16" s="75"/>
      <c r="Q16" s="71"/>
      <c r="R16" s="75"/>
      <c r="S16" s="78"/>
      <c r="T16" s="78"/>
      <c r="U16" s="79"/>
      <c r="V16" s="79"/>
      <c r="W16" s="79"/>
      <c r="X16" s="85"/>
      <c r="Y16" s="55" t="str">
        <f>IF(B16="","",(((C16+E16+G16+K16+L16+M16+N16+O16)*50))+((D16+H16)*12.5)+(((F16+I16+J16+P16)*25)+(S16*25)+(T16*25)+(U16*25)+(V16*25)+(W16*40)+(X16*50)))</f>
        <v/>
      </c>
      <c r="Z16" s="55" t="str">
        <f>IF(B16="","",C16+E16+G16+K16+L16+M16+N16+O16+((D16+H16)/4)+((F16+I16+J16+P16)/2))</f>
        <v/>
      </c>
      <c r="AA16" s="56" t="str">
        <f>IF(B16="","",((Z16*50)/Y16))</f>
        <v/>
      </c>
      <c r="AB16" s="57" t="str">
        <f>IF(B16="","",((U16)*25)/Y16)</f>
        <v/>
      </c>
      <c r="AC16" s="57" t="str">
        <f>IF(B16="","",(S16*25)/Y16)</f>
        <v/>
      </c>
      <c r="AD16" s="57" t="str">
        <f>IF(B16="","",(T16*25)/Y16)</f>
        <v/>
      </c>
      <c r="AE16" s="57" t="str">
        <f>IF(B16="","",(V16*25)/Y16)</f>
        <v/>
      </c>
      <c r="AF16" s="58" t="str">
        <f>IF(B16="","",(W16*40)/Y16)</f>
        <v/>
      </c>
      <c r="AG16" s="58" t="str">
        <f>IF(B16="","",(X16*50)/Y16)</f>
        <v/>
      </c>
      <c r="AH16" s="59" t="str">
        <f>IF(B16="","",B16)</f>
        <v/>
      </c>
      <c r="AI16" s="81"/>
      <c r="AJ16" s="94"/>
      <c r="AK16" s="83"/>
      <c r="AL16" s="63" t="str">
        <f>IF(AI16="","",AI16/AJ16)</f>
        <v/>
      </c>
      <c r="AM16" s="64" t="str">
        <f>IF(AI16="","",(Y16/AI16)/1000)</f>
        <v/>
      </c>
      <c r="AN16" s="64" t="str">
        <f>IF(AI16="","",AM16*24)</f>
        <v/>
      </c>
      <c r="AO16" s="65" t="str">
        <f>IF(AI16="","",(Y16/1000)*100%/AN16)</f>
        <v/>
      </c>
      <c r="AP16" s="64" t="str">
        <f>IF(AI16="","",(Z16/AI16))</f>
        <v/>
      </c>
      <c r="AQ16" s="66" t="str">
        <f>IF(AI16="","",(Y16/AJ16)/1000)</f>
        <v/>
      </c>
      <c r="AR16" s="91"/>
      <c r="AS16" s="92"/>
      <c r="AT16" s="92"/>
      <c r="AU16" s="93"/>
      <c r="AV16" s="93"/>
      <c r="AW16" s="84"/>
    </row>
    <row r="17" spans="1:51">
      <c r="A17" s="41" t="str">
        <f>IF(B17="","",1+A16)</f>
        <v/>
      </c>
      <c r="B17" s="68"/>
      <c r="C17" s="69"/>
      <c r="D17" s="70"/>
      <c r="E17" s="71"/>
      <c r="F17" s="72"/>
      <c r="G17" s="73"/>
      <c r="H17" s="70"/>
      <c r="I17" s="75"/>
      <c r="J17" s="75"/>
      <c r="K17" s="70"/>
      <c r="L17" s="76"/>
      <c r="M17" s="76"/>
      <c r="N17" s="77"/>
      <c r="O17" s="72"/>
      <c r="P17" s="75"/>
      <c r="Q17" s="71"/>
      <c r="R17" s="75"/>
      <c r="S17" s="78"/>
      <c r="T17" s="78"/>
      <c r="U17" s="79"/>
      <c r="V17" s="79"/>
      <c r="W17" s="79"/>
      <c r="X17" s="85"/>
      <c r="Y17" s="55" t="str">
        <f>IF(B17="","",(((C17+E17+G17+K17+L17+M17+N17+O17)*50))+((D17+H17)*12.5)+(((F17+I17+J17+P17)*25)+(S17*25)+(T17*25)+(U17*25)+(V17*25)+(W17*40)+(X17*50)))</f>
        <v/>
      </c>
      <c r="Z17" s="55" t="str">
        <f>IF(B17="","",C17+E17+G17+K17+L17+M17+N17+O17+((D17+H17)/4)+((F17+I17+J17+P17)/2))</f>
        <v/>
      </c>
      <c r="AA17" s="56" t="str">
        <f>IF(B17="","",((Z17*50)/Y17))</f>
        <v/>
      </c>
      <c r="AB17" s="57" t="str">
        <f>IF(B17="","",((U17)*25)/Y17)</f>
        <v/>
      </c>
      <c r="AC17" s="57" t="str">
        <f>IF(B17="","",(S17*25)/Y17)</f>
        <v/>
      </c>
      <c r="AD17" s="57" t="str">
        <f>IF(B17="","",(T17*25)/Y17)</f>
        <v/>
      </c>
      <c r="AE17" s="57" t="str">
        <f>IF(B17="","",(V17*25)/Y17)</f>
        <v/>
      </c>
      <c r="AF17" s="58" t="str">
        <f>IF(B17="","",(W17*40)/Y17)</f>
        <v/>
      </c>
      <c r="AG17" s="58" t="str">
        <f>IF(B17="","",(X17*50)/Y17)</f>
        <v/>
      </c>
      <c r="AH17" s="59" t="str">
        <f>IF(B17="","",B17)</f>
        <v/>
      </c>
      <c r="AI17" s="81"/>
      <c r="AJ17" s="94"/>
      <c r="AK17" s="83"/>
      <c r="AL17" s="63" t="str">
        <f>IF(AI17="","",AI17/AJ17)</f>
        <v/>
      </c>
      <c r="AM17" s="64" t="str">
        <f>IF(AI17="","",(Y17/AI17)/1000)</f>
        <v/>
      </c>
      <c r="AN17" s="64" t="str">
        <f>IF(AI17="","",AM17*24)</f>
        <v/>
      </c>
      <c r="AO17" s="65" t="str">
        <f>IF(AI17="","",(Y17/1000)*100%/AN17)</f>
        <v/>
      </c>
      <c r="AP17" s="64" t="str">
        <f>IF(AI17="","",(Z17/AI17))</f>
        <v/>
      </c>
      <c r="AQ17" s="66" t="str">
        <f>IF(AI17="","",(Y17/AJ17)/1000)</f>
        <v/>
      </c>
      <c r="AR17" s="91"/>
      <c r="AS17" s="92"/>
      <c r="AT17" s="92"/>
      <c r="AU17" s="93"/>
      <c r="AV17" s="93"/>
      <c r="AW17" s="84"/>
    </row>
    <row r="18" spans="1:51">
      <c r="A18" s="41" t="str">
        <f>IF(B18="","",1+A17)</f>
        <v/>
      </c>
      <c r="B18" s="68"/>
      <c r="C18" s="69"/>
      <c r="D18" s="70"/>
      <c r="E18" s="71"/>
      <c r="F18" s="72"/>
      <c r="G18" s="73"/>
      <c r="H18" s="70"/>
      <c r="I18" s="75"/>
      <c r="J18" s="75"/>
      <c r="K18" s="70"/>
      <c r="L18" s="76"/>
      <c r="M18" s="76"/>
      <c r="N18" s="77"/>
      <c r="O18" s="72"/>
      <c r="P18" s="75"/>
      <c r="Q18" s="71"/>
      <c r="R18" s="75"/>
      <c r="S18" s="78"/>
      <c r="T18" s="78"/>
      <c r="U18" s="79"/>
      <c r="V18" s="79"/>
      <c r="W18" s="79"/>
      <c r="X18" s="85"/>
      <c r="Y18" s="55" t="str">
        <f>IF(B18="","",(((C18+E18+G18+K18+L18+M18+N18+O18)*50))+((D18+H18)*12.5)+(((F18+I18+J18+P18)*25)+(S18*25)+(T18*25)+(U18*25)+(V18*25)+(W18*40)+(X18*50)))</f>
        <v/>
      </c>
      <c r="Z18" s="55" t="str">
        <f>IF(B18="","",C18+E18+G18+K18+L18+M18+N18+O18+((D18+H18)/4)+((F18+I18+J18+P18)/2))</f>
        <v/>
      </c>
      <c r="AA18" s="56" t="str">
        <f>IF(B18="","",((Z18*50)/Y18))</f>
        <v/>
      </c>
      <c r="AB18" s="57" t="str">
        <f>IF(B18="","",((U18)*25)/Y18)</f>
        <v/>
      </c>
      <c r="AC18" s="57" t="str">
        <f>IF(B18="","",(S18*25)/Y18)</f>
        <v/>
      </c>
      <c r="AD18" s="57" t="str">
        <f>IF(B18="","",(T18*25)/Y18)</f>
        <v/>
      </c>
      <c r="AE18" s="57" t="str">
        <f>IF(B18="","",(V18*25)/Y18)</f>
        <v/>
      </c>
      <c r="AF18" s="58" t="str">
        <f>IF(B18="","",(W18*40)/Y18)</f>
        <v/>
      </c>
      <c r="AG18" s="58" t="str">
        <f>IF(B18="","",(X18*50)/Y18)</f>
        <v/>
      </c>
      <c r="AH18" s="59" t="str">
        <f>IF(B18="","",B18)</f>
        <v/>
      </c>
      <c r="AI18" s="81"/>
      <c r="AJ18" s="94"/>
      <c r="AK18" s="83"/>
      <c r="AL18" s="63" t="str">
        <f>IF(AI18="","",AI18/AJ18)</f>
        <v/>
      </c>
      <c r="AM18" s="64" t="str">
        <f>IF(AI18="","",(Y18/AI18)/1000)</f>
        <v/>
      </c>
      <c r="AN18" s="64" t="str">
        <f>IF(AI18="","",AM18*24)</f>
        <v/>
      </c>
      <c r="AO18" s="65" t="str">
        <f>IF(AI18="","",(Y18/1000)*100%/AN18)</f>
        <v/>
      </c>
      <c r="AP18" s="64" t="str">
        <f>IF(AI18="","",(Z18/AI18))</f>
        <v/>
      </c>
      <c r="AQ18" s="66" t="str">
        <f>IF(AI18="","",(Y18/AJ18)/1000)</f>
        <v/>
      </c>
      <c r="AR18" s="91"/>
      <c r="AS18" s="92"/>
      <c r="AT18" s="92"/>
      <c r="AU18" s="93"/>
      <c r="AV18" s="93"/>
      <c r="AW18" s="84"/>
    </row>
    <row r="19" spans="1:51">
      <c r="A19" s="41" t="str">
        <f>IF(B19="","",1+A18)</f>
        <v/>
      </c>
      <c r="B19" s="68"/>
      <c r="C19" s="69"/>
      <c r="D19" s="70"/>
      <c r="E19" s="71"/>
      <c r="F19" s="72"/>
      <c r="G19" s="73"/>
      <c r="H19" s="70"/>
      <c r="I19" s="75"/>
      <c r="J19" s="75"/>
      <c r="K19" s="70"/>
      <c r="L19" s="76"/>
      <c r="M19" s="76"/>
      <c r="N19" s="77"/>
      <c r="O19" s="72"/>
      <c r="P19" s="75"/>
      <c r="Q19" s="71"/>
      <c r="R19" s="75"/>
      <c r="S19" s="78"/>
      <c r="T19" s="78"/>
      <c r="U19" s="79"/>
      <c r="V19" s="79"/>
      <c r="W19" s="79"/>
      <c r="X19" s="85"/>
      <c r="Y19" s="55" t="str">
        <f>IF(B19="","",(((C19+E19+G19+K19+L19+M19+N19+O19)*50))+((D19+H19)*12.5)+(((F19+I19+J19+P19)*25)+(S19*25)+(T19*25)+(U19*25)+(V19*25)+(W19*40)+(X19*50)))</f>
        <v/>
      </c>
      <c r="Z19" s="55" t="str">
        <f>IF(B19="","",C19+E19+G19+K19+L19+M19+N19+O19+((D19+H19)/4)+((F19+I19+J19+P19)/2))</f>
        <v/>
      </c>
      <c r="AA19" s="56" t="str">
        <f>IF(B19="","",((Z19*50)/Y19))</f>
        <v/>
      </c>
      <c r="AB19" s="57" t="str">
        <f>IF(B19="","",((U19)*25)/Y19)</f>
        <v/>
      </c>
      <c r="AC19" s="57" t="str">
        <f>IF(B19="","",(S19*25)/Y19)</f>
        <v/>
      </c>
      <c r="AD19" s="57" t="str">
        <f>IF(B19="","",(T19*25)/Y19)</f>
        <v/>
      </c>
      <c r="AE19" s="57" t="str">
        <f>IF(B19="","",(V19*25)/Y19)</f>
        <v/>
      </c>
      <c r="AF19" s="58" t="str">
        <f>IF(B19="","",(W19*40)/Y19)</f>
        <v/>
      </c>
      <c r="AG19" s="58" t="str">
        <f>IF(B19="","",(X19*50)/Y19)</f>
        <v/>
      </c>
      <c r="AH19" s="59" t="str">
        <f>IF(B19="","",B19)</f>
        <v/>
      </c>
      <c r="AI19" s="81"/>
      <c r="AJ19" s="94"/>
      <c r="AK19" s="83"/>
      <c r="AL19" s="63" t="str">
        <f>IF(AI19="","",AI19/AJ19)</f>
        <v/>
      </c>
      <c r="AM19" s="64" t="str">
        <f>IF(AI19="","",(Y19/AI19)/1000)</f>
        <v/>
      </c>
      <c r="AN19" s="64" t="str">
        <f>IF(AI19="","",AM19*24)</f>
        <v/>
      </c>
      <c r="AO19" s="65" t="str">
        <f>IF(AI19="","",(Y19/1000)*100%/AN19)</f>
        <v/>
      </c>
      <c r="AP19" s="64" t="str">
        <f>IF(AI19="","",(Z19/AI19))</f>
        <v/>
      </c>
      <c r="AQ19" s="66" t="str">
        <f>IF(AI19="","",(Y19/AJ19)/1000)</f>
        <v/>
      </c>
      <c r="AR19" s="91"/>
      <c r="AS19" s="92"/>
      <c r="AT19" s="92"/>
      <c r="AU19" s="93"/>
      <c r="AV19" s="93"/>
      <c r="AW19" s="84"/>
    </row>
    <row r="20" spans="1:51">
      <c r="A20" s="41" t="str">
        <f>IF(B20="","",1+A19)</f>
        <v/>
      </c>
      <c r="B20" s="68"/>
      <c r="C20" s="69"/>
      <c r="D20" s="70"/>
      <c r="E20" s="71"/>
      <c r="F20" s="72"/>
      <c r="G20" s="73"/>
      <c r="H20" s="70"/>
      <c r="I20" s="75"/>
      <c r="J20" s="75"/>
      <c r="K20" s="70"/>
      <c r="L20" s="76"/>
      <c r="M20" s="76"/>
      <c r="N20" s="77"/>
      <c r="O20" s="72"/>
      <c r="P20" s="75"/>
      <c r="Q20" s="71"/>
      <c r="R20" s="75"/>
      <c r="S20" s="78"/>
      <c r="T20" s="78"/>
      <c r="U20" s="79"/>
      <c r="V20" s="79"/>
      <c r="W20" s="79"/>
      <c r="X20" s="85"/>
      <c r="Y20" s="55" t="str">
        <f>IF(B20="","",(((C20+E20+G20+K20+L20+M20+N20+O20)*50))+((D20+H20)*12.5)+(((F20+I20+J20+P20)*25)+(S20*25)+(T20*25)+(U20*25)+(V20*25)+(W20*40)+(X20*50)))</f>
        <v/>
      </c>
      <c r="Z20" s="55" t="str">
        <f>IF(B20="","",C20+E20+G20+K20+L20+M20+N20+O20+((D20+H20)/4)+((F20+I20+J20+P20)/2))</f>
        <v/>
      </c>
      <c r="AA20" s="56" t="str">
        <f>IF(B20="","",((Z20*50)/Y20))</f>
        <v/>
      </c>
      <c r="AB20" s="57" t="str">
        <f>IF(B20="","",((U20)*25)/Y20)</f>
        <v/>
      </c>
      <c r="AC20" s="57" t="str">
        <f>IF(B20="","",(S20*25)/Y20)</f>
        <v/>
      </c>
      <c r="AD20" s="57" t="str">
        <f>IF(B20="","",(T20*25)/Y20)</f>
        <v/>
      </c>
      <c r="AE20" s="57" t="str">
        <f>IF(B20="","",(V20*25)/Y20)</f>
        <v/>
      </c>
      <c r="AF20" s="58" t="str">
        <f>IF(B20="","",(W20*40)/Y20)</f>
        <v/>
      </c>
      <c r="AG20" s="58" t="str">
        <f>IF(B20="","",(X20*50)/Y20)</f>
        <v/>
      </c>
      <c r="AH20" s="59" t="str">
        <f>IF(B20="","",B20)</f>
        <v/>
      </c>
      <c r="AI20" s="81"/>
      <c r="AJ20" s="94"/>
      <c r="AK20" s="83"/>
      <c r="AL20" s="63" t="str">
        <f>IF(AI20="","",AI20/AJ20)</f>
        <v/>
      </c>
      <c r="AM20" s="64" t="str">
        <f>IF(AI20="","",(Y20/AI20)/1000)</f>
        <v/>
      </c>
      <c r="AN20" s="64" t="str">
        <f>IF(AI20="","",AM20*24)</f>
        <v/>
      </c>
      <c r="AO20" s="65" t="str">
        <f>IF(AI20="","",(Y20/1000)*100%/AN20)</f>
        <v/>
      </c>
      <c r="AP20" s="64" t="str">
        <f>IF(AI20="","",(Z20/AI20))</f>
        <v/>
      </c>
      <c r="AQ20" s="66" t="str">
        <f>IF(AI20="","",(Y20/AJ20)/1000)</f>
        <v/>
      </c>
      <c r="AR20" s="91"/>
      <c r="AS20" s="92"/>
      <c r="AT20" s="92"/>
      <c r="AU20" s="93"/>
      <c r="AV20" s="93"/>
      <c r="AW20" s="84"/>
    </row>
    <row r="21" spans="1:51">
      <c r="A21" s="41" t="str">
        <f>IF(B21="","",1+A20)</f>
        <v/>
      </c>
      <c r="B21" s="68"/>
      <c r="C21" s="69"/>
      <c r="D21" s="70"/>
      <c r="E21" s="71"/>
      <c r="F21" s="72"/>
      <c r="G21" s="73"/>
      <c r="H21" s="70"/>
      <c r="I21" s="75"/>
      <c r="J21" s="75"/>
      <c r="K21" s="70"/>
      <c r="L21" s="76"/>
      <c r="M21" s="76"/>
      <c r="N21" s="77"/>
      <c r="O21" s="72"/>
      <c r="P21" s="75"/>
      <c r="Q21" s="71"/>
      <c r="R21" s="75"/>
      <c r="S21" s="78"/>
      <c r="T21" s="78"/>
      <c r="U21" s="79"/>
      <c r="V21" s="79"/>
      <c r="W21" s="79"/>
      <c r="X21" s="85"/>
      <c r="Y21" s="55" t="str">
        <f>IF(B21="","",(((C21+E21+G21+K21+L21+M21+N21+O21)*50))+((D21+H21)*12.5)+(((F21+I21+J21+P21)*25)+(S21*25)+(T21*25)+(U21*25)+(V21*25)+(W21*40)+(X21*50)))</f>
        <v/>
      </c>
      <c r="Z21" s="55" t="str">
        <f>IF(B21="","",C21+E21+G21+K21+L21+M21+N21+O21+((D21+H21)/4)+((F21+I21+J21+P21)/2))</f>
        <v/>
      </c>
      <c r="AA21" s="56" t="str">
        <f>IF(B21="","",((Z21*50)/Y21))</f>
        <v/>
      </c>
      <c r="AB21" s="57" t="str">
        <f>IF(B21="","",((U21)*25)/Y21)</f>
        <v/>
      </c>
      <c r="AC21" s="57" t="str">
        <f>IF(B21="","",(S21*25)/Y21)</f>
        <v/>
      </c>
      <c r="AD21" s="57" t="str">
        <f>IF(B21="","",(T21*25)/Y21)</f>
        <v/>
      </c>
      <c r="AE21" s="57" t="str">
        <f>IF(B21="","",(V21*25)/Y21)</f>
        <v/>
      </c>
      <c r="AF21" s="58" t="str">
        <f>IF(B21="","",(W21*40)/Y21)</f>
        <v/>
      </c>
      <c r="AG21" s="58" t="str">
        <f>IF(B21="","",(X21*50)/Y21)</f>
        <v/>
      </c>
      <c r="AH21" s="59" t="str">
        <f>IF(B21="","",B21)</f>
        <v/>
      </c>
      <c r="AI21" s="81"/>
      <c r="AJ21" s="94"/>
      <c r="AK21" s="83"/>
      <c r="AL21" s="63" t="str">
        <f>IF(AI21="","",AI21/AJ21)</f>
        <v/>
      </c>
      <c r="AM21" s="64" t="str">
        <f>IF(AI21="","",(Y21/AI21)/1000)</f>
        <v/>
      </c>
      <c r="AN21" s="64" t="str">
        <f>IF(AI21="","",AM21*24)</f>
        <v/>
      </c>
      <c r="AO21" s="65" t="str">
        <f>IF(AI21="","",(Y21/1000)*100%/AN21)</f>
        <v/>
      </c>
      <c r="AP21" s="64" t="str">
        <f>IF(AI21="","",(Z21/AI21))</f>
        <v/>
      </c>
      <c r="AQ21" s="66" t="str">
        <f>IF(AI21="","",(Y21/AJ21)/1000)</f>
        <v/>
      </c>
      <c r="AR21" s="91"/>
      <c r="AS21" s="92"/>
      <c r="AT21" s="92"/>
      <c r="AU21" s="93"/>
      <c r="AV21" s="93"/>
      <c r="AW21" s="84"/>
    </row>
    <row r="22" spans="1:51">
      <c r="A22" s="41" t="str">
        <f>IF(B22="","",1+A21)</f>
        <v/>
      </c>
      <c r="B22" s="68"/>
      <c r="C22" s="69"/>
      <c r="D22" s="70"/>
      <c r="E22" s="71"/>
      <c r="F22" s="72"/>
      <c r="G22" s="73"/>
      <c r="H22" s="70"/>
      <c r="I22" s="75"/>
      <c r="J22" s="75"/>
      <c r="K22" s="70"/>
      <c r="L22" s="76"/>
      <c r="M22" s="76"/>
      <c r="N22" s="77"/>
      <c r="O22" s="72"/>
      <c r="P22" s="75"/>
      <c r="Q22" s="71"/>
      <c r="R22" s="75"/>
      <c r="S22" s="78"/>
      <c r="T22" s="78"/>
      <c r="U22" s="79"/>
      <c r="V22" s="79"/>
      <c r="W22" s="79"/>
      <c r="X22" s="85"/>
      <c r="Y22" s="55" t="str">
        <f>IF(B22="","",(((C22+E22+G22+K22+L22+M22+N22+O22)*50))+((D22+H22)*12.5)+(((F22+I22+J22+P22)*25)+(S22*25)+(T22*25)+(U22*25)+(V22*25)+(W22*40)+(X22*50)))</f>
        <v/>
      </c>
      <c r="Z22" s="55" t="str">
        <f>IF(B22="","",C22+E22+G22+K22+L22+M22+N22+O22+((D22+H22)/4)+((F22+I22+J22+P22)/2))</f>
        <v/>
      </c>
      <c r="AA22" s="56" t="str">
        <f>IF(B22="","",((Z22*50)/Y22))</f>
        <v/>
      </c>
      <c r="AB22" s="57" t="str">
        <f>IF(B22="","",((U22)*25)/Y22)</f>
        <v/>
      </c>
      <c r="AC22" s="57" t="str">
        <f>IF(B22="","",(S22*25)/Y22)</f>
        <v/>
      </c>
      <c r="AD22" s="57" t="str">
        <f>IF(B22="","",(T22*25)/Y22)</f>
        <v/>
      </c>
      <c r="AE22" s="57" t="str">
        <f>IF(B22="","",(V22*25)/Y22)</f>
        <v/>
      </c>
      <c r="AF22" s="58" t="str">
        <f>IF(B22="","",(W22*40)/Y22)</f>
        <v/>
      </c>
      <c r="AG22" s="58" t="str">
        <f>IF(B22="","",(X22*50)/Y22)</f>
        <v/>
      </c>
      <c r="AH22" s="59" t="str">
        <f>IF(B22="","",B22)</f>
        <v/>
      </c>
      <c r="AI22" s="81"/>
      <c r="AJ22" s="94"/>
      <c r="AK22" s="83"/>
      <c r="AL22" s="63" t="str">
        <f>IF(AI22="","",AI22/AJ22)</f>
        <v/>
      </c>
      <c r="AM22" s="64" t="str">
        <f>IF(AI22="","",(Y22/AI22)/1000)</f>
        <v/>
      </c>
      <c r="AN22" s="64" t="str">
        <f>IF(AI22="","",AM22*24)</f>
        <v/>
      </c>
      <c r="AO22" s="65" t="str">
        <f>IF(AI22="","",(Y22/1000)*100%/AN22)</f>
        <v/>
      </c>
      <c r="AP22" s="64" t="str">
        <f>IF(AI22="","",(Z22/AI22))</f>
        <v/>
      </c>
      <c r="AQ22" s="66" t="str">
        <f>IF(AI22="","",(Y22/AJ22)/1000)</f>
        <v/>
      </c>
      <c r="AR22" s="91"/>
      <c r="AS22" s="92"/>
      <c r="AT22" s="92"/>
      <c r="AU22" s="93"/>
      <c r="AV22" s="93"/>
      <c r="AW22" s="84"/>
    </row>
    <row r="23" spans="1:51">
      <c r="A23" s="41" t="str">
        <f>IF(B23="","",1+A22)</f>
        <v/>
      </c>
      <c r="B23" s="68"/>
      <c r="C23" s="69"/>
      <c r="D23" s="70"/>
      <c r="E23" s="71"/>
      <c r="F23" s="72"/>
      <c r="G23" s="73"/>
      <c r="H23" s="70"/>
      <c r="I23" s="75"/>
      <c r="J23" s="75"/>
      <c r="K23" s="70"/>
      <c r="L23" s="76"/>
      <c r="M23" s="76"/>
      <c r="N23" s="77"/>
      <c r="O23" s="72"/>
      <c r="P23" s="75"/>
      <c r="Q23" s="71"/>
      <c r="R23" s="75"/>
      <c r="S23" s="78"/>
      <c r="T23" s="78"/>
      <c r="U23" s="79"/>
      <c r="V23" s="79"/>
      <c r="W23" s="79"/>
      <c r="X23" s="85"/>
      <c r="Y23" s="55" t="str">
        <f>IF(B23="","",(((C23+E23+G23+K23+L23+M23+N23+O23)*50))+((D23+H23)*12.5)+(((F23+I23+J23+P23)*25)+(S23*25)+(T23*25)+(U23*25)+(V23*25)+(W23*40)+(X23*50)))</f>
        <v/>
      </c>
      <c r="Z23" s="55" t="str">
        <f>IF(B23="","",C23+E23+G23+K23+L23+M23+N23+O23+((D23+H23)/4)+((F23+I23+J23+P23)/2))</f>
        <v/>
      </c>
      <c r="AA23" s="56" t="str">
        <f>IF(B23="","",((Z23*50)/Y23))</f>
        <v/>
      </c>
      <c r="AB23" s="57" t="str">
        <f>IF(B23="","",((U23)*25)/Y23)</f>
        <v/>
      </c>
      <c r="AC23" s="57" t="str">
        <f>IF(B23="","",(S23*25)/Y23)</f>
        <v/>
      </c>
      <c r="AD23" s="57" t="str">
        <f>IF(B23="","",(T23*25)/Y23)</f>
        <v/>
      </c>
      <c r="AE23" s="57" t="str">
        <f>IF(B23="","",(V23*25)/Y23)</f>
        <v/>
      </c>
      <c r="AF23" s="58" t="str">
        <f>IF(B23="","",(W23*40)/Y23)</f>
        <v/>
      </c>
      <c r="AG23" s="58" t="str">
        <f>IF(B23="","",(X23*50)/Y23)</f>
        <v/>
      </c>
      <c r="AH23" s="59" t="str">
        <f>IF(B23="","",B23)</f>
        <v/>
      </c>
      <c r="AI23" s="81"/>
      <c r="AJ23" s="94"/>
      <c r="AK23" s="83"/>
      <c r="AL23" s="63" t="str">
        <f>IF(AI23="","",AI23/AJ23)</f>
        <v/>
      </c>
      <c r="AM23" s="64" t="str">
        <f>IF(AI23="","",(Y23/AI23)/1000)</f>
        <v/>
      </c>
      <c r="AN23" s="64" t="str">
        <f>IF(AI23="","",AM23*24)</f>
        <v/>
      </c>
      <c r="AO23" s="65" t="str">
        <f>IF(AI23="","",(Y23/1000)*100%/AN23)</f>
        <v/>
      </c>
      <c r="AP23" s="64" t="str">
        <f>IF(AI23="","",(Z23/AI23))</f>
        <v/>
      </c>
      <c r="AQ23" s="66" t="str">
        <f>IF(AI23="","",(Y23/AJ23)/1000)</f>
        <v/>
      </c>
      <c r="AR23" s="91"/>
      <c r="AS23" s="92"/>
      <c r="AT23" s="92"/>
      <c r="AU23" s="93"/>
      <c r="AV23" s="93"/>
      <c r="AW23" s="84"/>
    </row>
    <row r="24" spans="1:51">
      <c r="A24" s="41" t="str">
        <f>IF(B24="","",1+A23)</f>
        <v/>
      </c>
      <c r="B24" s="68"/>
      <c r="C24" s="69"/>
      <c r="D24" s="70"/>
      <c r="E24" s="71"/>
      <c r="F24" s="72"/>
      <c r="G24" s="73"/>
      <c r="H24" s="70"/>
      <c r="I24" s="75"/>
      <c r="J24" s="75"/>
      <c r="K24" s="70"/>
      <c r="L24" s="76"/>
      <c r="M24" s="76"/>
      <c r="N24" s="77"/>
      <c r="O24" s="72"/>
      <c r="P24" s="75"/>
      <c r="Q24" s="71"/>
      <c r="R24" s="75"/>
      <c r="S24" s="78"/>
      <c r="T24" s="78"/>
      <c r="U24" s="79"/>
      <c r="V24" s="79"/>
      <c r="W24" s="79"/>
      <c r="X24" s="85"/>
      <c r="Y24" s="55" t="str">
        <f>IF(B24="","",(((C24+E24+G24+K24+L24+M24+N24+O24)*50))+((D24+H24)*12.5)+(((F24+I24+J24+P24)*25)+(S24*25)+(T24*25)+(U24*25)+(V24*25)+(W24*40)+(X24*50)))</f>
        <v/>
      </c>
      <c r="Z24" s="55" t="str">
        <f>IF(B24="","",C24+E24+G24+K24+L24+M24+N24+O24+((D24+H24)/4)+((F24+I24+J24+P24)/2))</f>
        <v/>
      </c>
      <c r="AA24" s="56" t="str">
        <f>IF(B24="","",((Z24*50)/Y24))</f>
        <v/>
      </c>
      <c r="AB24" s="57" t="str">
        <f>IF(B24="","",((U24)*25)/Y24)</f>
        <v/>
      </c>
      <c r="AC24" s="57" t="str">
        <f>IF(B24="","",(S24*25)/Y24)</f>
        <v/>
      </c>
      <c r="AD24" s="57" t="str">
        <f>IF(B24="","",(T24*25)/Y24)</f>
        <v/>
      </c>
      <c r="AE24" s="57" t="str">
        <f>IF(B24="","",(V24*25)/Y24)</f>
        <v/>
      </c>
      <c r="AF24" s="58" t="str">
        <f>IF(B24="","",(W24*40)/Y24)</f>
        <v/>
      </c>
      <c r="AG24" s="58" t="str">
        <f>IF(B24="","",(X24*50)/Y24)</f>
        <v/>
      </c>
      <c r="AH24" s="59" t="str">
        <f>IF(B24="","",B24)</f>
        <v/>
      </c>
      <c r="AI24" s="81"/>
      <c r="AJ24" s="94"/>
      <c r="AK24" s="83"/>
      <c r="AL24" s="63" t="str">
        <f>IF(AI24="","",AI24/AJ24)</f>
        <v/>
      </c>
      <c r="AM24" s="64" t="str">
        <f>IF(AI24="","",(Y24/AI24)/1000)</f>
        <v/>
      </c>
      <c r="AN24" s="64" t="str">
        <f>IF(AI24="","",AM24*24)</f>
        <v/>
      </c>
      <c r="AO24" s="65" t="str">
        <f>IF(AI24="","",(Y24/1000)*100%/AN24)</f>
        <v/>
      </c>
      <c r="AP24" s="64" t="str">
        <f>IF(AI24="","",(Z24/AI24))</f>
        <v/>
      </c>
      <c r="AQ24" s="66" t="str">
        <f>IF(AI24="","",(Y24/AJ24)/1000)</f>
        <v/>
      </c>
      <c r="AR24" s="91"/>
      <c r="AS24" s="92"/>
      <c r="AT24" s="92"/>
      <c r="AU24" s="93"/>
      <c r="AV24" s="93"/>
      <c r="AW24" s="84"/>
    </row>
    <row r="25" spans="1:51">
      <c r="A25" s="41" t="str">
        <f>IF(B25="","",1+A24)</f>
        <v/>
      </c>
      <c r="B25" s="68"/>
      <c r="C25" s="69"/>
      <c r="D25" s="70"/>
      <c r="E25" s="71"/>
      <c r="F25" s="72"/>
      <c r="G25" s="73"/>
      <c r="H25" s="70"/>
      <c r="I25" s="75"/>
      <c r="J25" s="75"/>
      <c r="K25" s="70"/>
      <c r="L25" s="76"/>
      <c r="M25" s="76"/>
      <c r="N25" s="77"/>
      <c r="O25" s="72"/>
      <c r="P25" s="75"/>
      <c r="Q25" s="71"/>
      <c r="R25" s="75"/>
      <c r="S25" s="78"/>
      <c r="T25" s="78"/>
      <c r="U25" s="79"/>
      <c r="V25" s="79"/>
      <c r="W25" s="79"/>
      <c r="X25" s="85"/>
      <c r="Y25" s="55" t="str">
        <f>IF(B25="","",(((C25+E25+G25+K25+L25+M25+N25+O25)*50))+((D25+H25)*12.5)+(((F25+I25+J25+P25)*25)+(S25*25)+(T25*25)+(U25*25)+(V25*25)+(W25*40)+(X25*50)))</f>
        <v/>
      </c>
      <c r="Z25" s="55" t="str">
        <f>IF(B25="","",C25+E25+G25+K25+L25+M25+N25+O25+((D25+H25)/4)+((F25+I25+J25+P25)/2))</f>
        <v/>
      </c>
      <c r="AA25" s="56" t="str">
        <f>IF(B25="","",((Z25*50)/Y25))</f>
        <v/>
      </c>
      <c r="AB25" s="57" t="str">
        <f>IF(B25="","",((U25)*25)/Y25)</f>
        <v/>
      </c>
      <c r="AC25" s="57" t="str">
        <f>IF(B25="","",(S25*25)/Y25)</f>
        <v/>
      </c>
      <c r="AD25" s="57" t="str">
        <f>IF(B25="","",(T25*25)/Y25)</f>
        <v/>
      </c>
      <c r="AE25" s="57" t="str">
        <f>IF(B25="","",(V25*25)/Y25)</f>
        <v/>
      </c>
      <c r="AF25" s="58" t="str">
        <f>IF(B25="","",(W25*40)/Y25)</f>
        <v/>
      </c>
      <c r="AG25" s="58" t="str">
        <f>IF(B25="","",(X25*50)/Y25)</f>
        <v/>
      </c>
      <c r="AH25" s="59" t="str">
        <f>IF(B25="","",B25)</f>
        <v/>
      </c>
      <c r="AI25" s="81"/>
      <c r="AJ25" s="94"/>
      <c r="AK25" s="83"/>
      <c r="AL25" s="63" t="str">
        <f>IF(AI25="","",AI25/AJ25)</f>
        <v/>
      </c>
      <c r="AM25" s="64" t="str">
        <f>IF(AI25="","",(Y25/AI25)/1000)</f>
        <v/>
      </c>
      <c r="AN25" s="64" t="str">
        <f>IF(AI25="","",AM25*24)</f>
        <v/>
      </c>
      <c r="AO25" s="65" t="str">
        <f>IF(AI25="","",(Y25/1000)*100%/AN25)</f>
        <v/>
      </c>
      <c r="AP25" s="64" t="str">
        <f>IF(AI25="","",(Z25/AI25))</f>
        <v/>
      </c>
      <c r="AQ25" s="66" t="str">
        <f>IF(AI25="","",(Y25/AJ25)/1000)</f>
        <v/>
      </c>
      <c r="AR25" s="91"/>
      <c r="AS25" s="92"/>
      <c r="AT25" s="92"/>
      <c r="AU25" s="93"/>
      <c r="AV25" s="93"/>
      <c r="AW25" s="84"/>
    </row>
    <row r="26" spans="1:51">
      <c r="A26" s="41" t="str">
        <f>IF(B26="","",1+A25)</f>
        <v/>
      </c>
      <c r="B26" s="68"/>
      <c r="C26" s="69"/>
      <c r="D26" s="70"/>
      <c r="E26" s="71"/>
      <c r="F26" s="72"/>
      <c r="G26" s="73"/>
      <c r="H26" s="70"/>
      <c r="I26" s="75"/>
      <c r="J26" s="75"/>
      <c r="K26" s="70"/>
      <c r="L26" s="76"/>
      <c r="M26" s="76"/>
      <c r="N26" s="77"/>
      <c r="O26" s="72"/>
      <c r="P26" s="75"/>
      <c r="Q26" s="71"/>
      <c r="R26" s="75"/>
      <c r="S26" s="78"/>
      <c r="T26" s="78"/>
      <c r="U26" s="79"/>
      <c r="V26" s="79"/>
      <c r="W26" s="79"/>
      <c r="X26" s="85"/>
      <c r="Y26" s="55" t="str">
        <f>IF(B26="","",(((C26+E26+G26+K26+L26+M26+N26+O26)*50))+((D26+H26)*12.5)+(((F26+I26+J26+P26)*25)+(S26*25)+(T26*25)+(U26*25)+(V26*25)+(W26*40)+(X26*50)))</f>
        <v/>
      </c>
      <c r="Z26" s="55" t="str">
        <f>IF(B26="","",C26+E26+G26+K26+L26+M26+N26+O26+((D26+H26)/4)+((F26+I26+J26+P26)/2))</f>
        <v/>
      </c>
      <c r="AA26" s="56" t="str">
        <f>IF(B26="","",((Z26*50)/Y26))</f>
        <v/>
      </c>
      <c r="AB26" s="57" t="str">
        <f>IF(B26="","",((U26)*25)/Y26)</f>
        <v/>
      </c>
      <c r="AC26" s="57" t="str">
        <f>IF(B26="","",(S26*25)/Y26)</f>
        <v/>
      </c>
      <c r="AD26" s="57" t="str">
        <f>IF(B26="","",(T26*25)/Y26)</f>
        <v/>
      </c>
      <c r="AE26" s="57" t="str">
        <f>IF(B26="","",(V26*25)/Y26)</f>
        <v/>
      </c>
      <c r="AF26" s="58" t="str">
        <f>IF(B26="","",(W26*40)/Y26)</f>
        <v/>
      </c>
      <c r="AG26" s="58" t="str">
        <f>IF(B26="","",(X26*50)/Y26)</f>
        <v/>
      </c>
      <c r="AH26" s="59" t="str">
        <f>IF(B26="","",B26)</f>
        <v/>
      </c>
      <c r="AI26" s="81"/>
      <c r="AJ26" s="94"/>
      <c r="AK26" s="83"/>
      <c r="AL26" s="63" t="str">
        <f>IF(AI26="","",AI26/AJ26)</f>
        <v/>
      </c>
      <c r="AM26" s="64" t="str">
        <f>IF(AI26="","",(Y26/AI26)/1000)</f>
        <v/>
      </c>
      <c r="AN26" s="64" t="str">
        <f>IF(AI26="","",AM26*24)</f>
        <v/>
      </c>
      <c r="AO26" s="65" t="str">
        <f>IF(AI26="","",(Y26/1000)*100%/AN26)</f>
        <v/>
      </c>
      <c r="AP26" s="64" t="str">
        <f>IF(AI26="","",(Z26/AI26))</f>
        <v/>
      </c>
      <c r="AQ26" s="66" t="str">
        <f>IF(AI26="","",(Y26/AJ26)/1000)</f>
        <v/>
      </c>
      <c r="AR26" s="91"/>
      <c r="AS26" s="92"/>
      <c r="AT26" s="92"/>
      <c r="AU26" s="93"/>
      <c r="AV26" s="93"/>
      <c r="AW26" s="84"/>
    </row>
    <row r="27" spans="1:51">
      <c r="A27" s="41" t="str">
        <f>IF(B27="","",1+A26)</f>
        <v/>
      </c>
      <c r="B27" s="68"/>
      <c r="C27" s="69"/>
      <c r="D27" s="70"/>
      <c r="E27" s="71"/>
      <c r="F27" s="72"/>
      <c r="G27" s="73"/>
      <c r="H27" s="70"/>
      <c r="I27" s="75"/>
      <c r="J27" s="75"/>
      <c r="K27" s="70"/>
      <c r="L27" s="76"/>
      <c r="M27" s="76"/>
      <c r="N27" s="77"/>
      <c r="O27" s="72"/>
      <c r="P27" s="75"/>
      <c r="Q27" s="71"/>
      <c r="R27" s="75"/>
      <c r="S27" s="78"/>
      <c r="T27" s="78"/>
      <c r="U27" s="79"/>
      <c r="V27" s="79"/>
      <c r="W27" s="79"/>
      <c r="X27" s="85"/>
      <c r="Y27" s="55" t="str">
        <f>IF(B27="","",(((C27+E27+G27+K27+L27+M27+N27+O27)*50))+((D27+H27)*12.5)+(((F27+I27+J27+P27)*25)+(S27*25)+(T27*25)+(U27*25)+(V27*25)+(W27*40)+(X27*50)))</f>
        <v/>
      </c>
      <c r="Z27" s="55" t="str">
        <f>IF(B27="","",C27+E27+G27+K27+L27+M27+N27+O27+((D27+H27)/4)+((F27+I27+J27+P27)/2))</f>
        <v/>
      </c>
      <c r="AA27" s="56" t="str">
        <f>IF(B27="","",((Z27*50)/Y27))</f>
        <v/>
      </c>
      <c r="AB27" s="57" t="str">
        <f>IF(B27="","",((U27)*25)/Y27)</f>
        <v/>
      </c>
      <c r="AC27" s="57" t="str">
        <f>IF(B27="","",(S27*25)/Y27)</f>
        <v/>
      </c>
      <c r="AD27" s="57" t="str">
        <f>IF(B27="","",(T27*25)/Y27)</f>
        <v/>
      </c>
      <c r="AE27" s="57" t="str">
        <f>IF(B27="","",(V27*25)/Y27)</f>
        <v/>
      </c>
      <c r="AF27" s="58" t="str">
        <f>IF(B27="","",(W27*40)/Y27)</f>
        <v/>
      </c>
      <c r="AG27" s="58" t="str">
        <f>IF(B27="","",(X27*50)/Y27)</f>
        <v/>
      </c>
      <c r="AH27" s="59" t="str">
        <f>IF(B27="","",B27)</f>
        <v/>
      </c>
      <c r="AI27" s="81"/>
      <c r="AJ27" s="94"/>
      <c r="AK27" s="83"/>
      <c r="AL27" s="63" t="str">
        <f>IF(AI27="","",AI27/AJ27)</f>
        <v/>
      </c>
      <c r="AM27" s="64" t="str">
        <f>IF(AI27="","",(Y27/AI27)/1000)</f>
        <v/>
      </c>
      <c r="AN27" s="64" t="str">
        <f>IF(AI27="","",AM27*24)</f>
        <v/>
      </c>
      <c r="AO27" s="65" t="str">
        <f>IF(AI27="","",(Y27/1000)*100%/AN27)</f>
        <v/>
      </c>
      <c r="AP27" s="64" t="str">
        <f>IF(AI27="","",(Z27/AI27))</f>
        <v/>
      </c>
      <c r="AQ27" s="66" t="str">
        <f>IF(AI27="","",(Y27/AJ27)/1000)</f>
        <v/>
      </c>
      <c r="AR27" s="91"/>
      <c r="AS27" s="92"/>
      <c r="AT27" s="92"/>
      <c r="AU27" s="93"/>
      <c r="AV27" s="93"/>
      <c r="AW27" s="84"/>
    </row>
    <row r="28" spans="1:51">
      <c r="A28" s="41" t="str">
        <f>IF(B28="","",1+A27)</f>
        <v/>
      </c>
      <c r="B28" s="68"/>
      <c r="C28" s="69"/>
      <c r="D28" s="70"/>
      <c r="E28" s="71"/>
      <c r="F28" s="72"/>
      <c r="G28" s="73"/>
      <c r="H28" s="70"/>
      <c r="I28" s="75"/>
      <c r="J28" s="75"/>
      <c r="K28" s="70"/>
      <c r="L28" s="76"/>
      <c r="M28" s="76"/>
      <c r="N28" s="77"/>
      <c r="O28" s="72"/>
      <c r="P28" s="75"/>
      <c r="Q28" s="71"/>
      <c r="R28" s="75"/>
      <c r="S28" s="78"/>
      <c r="T28" s="78"/>
      <c r="U28" s="79"/>
      <c r="V28" s="79"/>
      <c r="W28" s="79"/>
      <c r="X28" s="85"/>
      <c r="Y28" s="55" t="str">
        <f>IF(B28="","",(((C28+E28+G28+K28+L28+M28+N28+O28)*50))+((D28+H28)*12.5)+(((F28+I28+J28+P28)*25)+(S28*25)+(T28*25)+(U28*25)+(V28*25)+(W28*40)+(X28*50)))</f>
        <v/>
      </c>
      <c r="Z28" s="55" t="str">
        <f>IF(B28="","",C28+E28+G28+K28+L28+M28+N28+O28+((D28+H28)/4)+((F28+I28+J28+P28)/2))</f>
        <v/>
      </c>
      <c r="AA28" s="56" t="str">
        <f>IF(B28="","",((Z28*50)/Y28))</f>
        <v/>
      </c>
      <c r="AB28" s="57" t="str">
        <f>IF(B28="","",((U28)*25)/Y28)</f>
        <v/>
      </c>
      <c r="AC28" s="57" t="str">
        <f>IF(B28="","",(S28*25)/Y28)</f>
        <v/>
      </c>
      <c r="AD28" s="57" t="str">
        <f>IF(B28="","",(T28*25)/Y28)</f>
        <v/>
      </c>
      <c r="AE28" s="57" t="str">
        <f>IF(B28="","",(V28*25)/Y28)</f>
        <v/>
      </c>
      <c r="AF28" s="58" t="str">
        <f>IF(B28="","",(W28*40)/Y28)</f>
        <v/>
      </c>
      <c r="AG28" s="58" t="str">
        <f>IF(B28="","",(X28*50)/Y28)</f>
        <v/>
      </c>
      <c r="AH28" s="59" t="str">
        <f>IF(B28="","",B28)</f>
        <v/>
      </c>
      <c r="AI28" s="81"/>
      <c r="AJ28" s="94"/>
      <c r="AK28" s="83"/>
      <c r="AL28" s="63" t="str">
        <f>IF(AI28="","",AI28/AJ28)</f>
        <v/>
      </c>
      <c r="AM28" s="64" t="str">
        <f>IF(AI28="","",(Y28/AI28)/1000)</f>
        <v/>
      </c>
      <c r="AN28" s="64" t="str">
        <f>IF(AI28="","",AM28*24)</f>
        <v/>
      </c>
      <c r="AO28" s="65" t="str">
        <f>IF(AI28="","",(Y28/1000)*100%/AN28)</f>
        <v/>
      </c>
      <c r="AP28" s="64" t="str">
        <f>IF(AI28="","",(Z28/AI28))</f>
        <v/>
      </c>
      <c r="AQ28" s="66" t="str">
        <f>IF(AI28="","",(Y28/AJ28)/1000)</f>
        <v/>
      </c>
      <c r="AR28" s="91"/>
      <c r="AS28" s="92"/>
      <c r="AT28" s="92"/>
      <c r="AU28" s="93"/>
      <c r="AV28" s="93"/>
      <c r="AW28" s="84"/>
    </row>
    <row r="29" spans="1:51" customHeight="1" ht="13.9">
      <c r="A29" s="41" t="str">
        <f>IF(B29="","",1+A28)</f>
        <v/>
      </c>
      <c r="B29" s="95"/>
      <c r="C29" s="96"/>
      <c r="D29" s="97"/>
      <c r="E29" s="98"/>
      <c r="F29" s="99"/>
      <c r="G29" s="100"/>
      <c r="H29" s="97"/>
      <c r="I29" s="101"/>
      <c r="J29" s="101"/>
      <c r="K29" s="97"/>
      <c r="L29" s="102"/>
      <c r="M29" s="102"/>
      <c r="N29" s="103"/>
      <c r="O29" s="99"/>
      <c r="P29" s="101"/>
      <c r="Q29" s="98"/>
      <c r="R29" s="101"/>
      <c r="S29" s="104"/>
      <c r="T29" s="104"/>
      <c r="U29" s="105"/>
      <c r="V29" s="105"/>
      <c r="W29" s="105"/>
      <c r="X29" s="106"/>
      <c r="Y29" s="55" t="str">
        <f>IF(B29="","",(((C29+E29+G29+K29+L29+M29+N29+O29)*50))+((D29+H29)*12.5)+(((F29+I29+J29+P29)*25)+(S29*25)+(T29*25)+(U29*25)+(V29*25)+(W29*40)+(X29*50)))</f>
        <v/>
      </c>
      <c r="Z29" s="55" t="str">
        <f>IF(B29="","",C29+E29+G29+K29+L29+M29+N29+O29+((D29+H29)/4)+((F29+I29+J29+P29)/2))</f>
        <v/>
      </c>
      <c r="AA29" s="56" t="str">
        <f>IF(B29="","",((Z29*50)/Y29))</f>
        <v/>
      </c>
      <c r="AB29" s="57" t="str">
        <f>IF(B29="","",((U29)*25)/Y29)</f>
        <v/>
      </c>
      <c r="AC29" s="57" t="str">
        <f>IF(B29="","",(S29*25)/Y29)</f>
        <v/>
      </c>
      <c r="AD29" s="57" t="str">
        <f>IF(B29="","",(T29*25)/Y29)</f>
        <v/>
      </c>
      <c r="AE29" s="57" t="str">
        <f>IF(B29="","",(V29*25)/Y29)</f>
        <v/>
      </c>
      <c r="AF29" s="58" t="str">
        <f>IF(B29="","",(W29*40)/Y29)</f>
        <v/>
      </c>
      <c r="AG29" s="58" t="str">
        <f>IF(B29="","",(X29*50)/Y29)</f>
        <v/>
      </c>
      <c r="AH29" s="59" t="str">
        <f>IF(B29="","",B29)</f>
        <v/>
      </c>
      <c r="AI29" s="107"/>
      <c r="AJ29" s="108"/>
      <c r="AK29" s="109"/>
      <c r="AL29" s="63" t="str">
        <f>IF(AI29="","",AI29/AJ29)</f>
        <v/>
      </c>
      <c r="AM29" s="64" t="str">
        <f>IF(AI29="","",(Y29/AI29)/1000)</f>
        <v/>
      </c>
      <c r="AN29" s="64" t="str">
        <f>IF(AI29="","",AM29*24)</f>
        <v/>
      </c>
      <c r="AO29" s="65" t="str">
        <f>IF(AI29="","",(Y29/1000)*100%/AN29)</f>
        <v/>
      </c>
      <c r="AP29" s="64" t="str">
        <f>IF(AI29="","",(Z29/AI29))</f>
        <v/>
      </c>
      <c r="AQ29" s="66" t="str">
        <f>IF(AI29="","",(Y29/AJ29)/1000)</f>
        <v/>
      </c>
      <c r="AR29" s="110"/>
      <c r="AS29" s="111"/>
      <c r="AT29" s="111"/>
      <c r="AU29" s="112"/>
      <c r="AV29" s="112"/>
      <c r="AW29" s="113"/>
    </row>
    <row r="30" spans="1:51" customHeight="1" ht="13.9">
      <c r="A30" s="114"/>
      <c r="B30" s="115" t="s">
        <v>67</v>
      </c>
      <c r="C30" s="116">
        <f>SUM(C4:C29)</f>
        <v>0</v>
      </c>
      <c r="D30" s="116">
        <f>SUM(D4:D29)</f>
        <v>0</v>
      </c>
      <c r="E30" s="116">
        <f>SUM(E4:E29)</f>
        <v>0</v>
      </c>
      <c r="F30" s="116">
        <f>SUM(F4:F29)</f>
        <v>0</v>
      </c>
      <c r="G30" s="116">
        <f>SUM(G4:G29)</f>
        <v>0</v>
      </c>
      <c r="H30" s="116">
        <f>SUM(H4:H29)</f>
        <v>0</v>
      </c>
      <c r="I30" s="116">
        <f>SUM(I4:I29)</f>
        <v>0</v>
      </c>
      <c r="J30" s="116">
        <f>SUM(J4:J29)</f>
        <v>0</v>
      </c>
      <c r="K30" s="116">
        <f>SUM(K4:K29)</f>
        <v>0</v>
      </c>
      <c r="L30" s="116">
        <f>SUM(L4:L29)</f>
        <v>0</v>
      </c>
      <c r="M30" s="116">
        <f>SUM(M4:M29)</f>
        <v>0</v>
      </c>
      <c r="N30" s="116">
        <f>SUM(N4:N29)</f>
        <v>0</v>
      </c>
      <c r="O30" s="116">
        <f>SUM(O4:O29)</f>
        <v>0</v>
      </c>
      <c r="P30" s="116">
        <f>SUM(P4:P29)</f>
        <v>0</v>
      </c>
      <c r="Q30" s="116">
        <f>SUM(Q4:Q29)</f>
        <v>0</v>
      </c>
      <c r="R30" s="116">
        <f>SUM(R4:R29)</f>
        <v>0</v>
      </c>
      <c r="S30" s="116">
        <f>SUM(S4:S29)</f>
        <v>0</v>
      </c>
      <c r="T30" s="116">
        <f>SUM(T4:T29)</f>
        <v>0</v>
      </c>
      <c r="U30" s="116">
        <f>SUM(U4:U29)</f>
        <v>0</v>
      </c>
      <c r="V30" s="116">
        <f>SUM(V4:V29)</f>
        <v>0</v>
      </c>
      <c r="W30" s="116">
        <f>SUM(W4:W29)</f>
        <v>0</v>
      </c>
      <c r="X30" s="116">
        <f>SUM(X4:X29)</f>
        <v>0</v>
      </c>
      <c r="Y30" s="117">
        <f>SUM(Y4:Y29)</f>
        <v>0</v>
      </c>
      <c r="Z30" s="118">
        <f>SUM(Z4:Z29)</f>
        <v>0</v>
      </c>
      <c r="AA30" s="119" t="str">
        <f>IF(Y33=0,"",(Z30*50)/Y30)</f>
        <v/>
      </c>
      <c r="AB30" s="120" t="str">
        <f>IF(Y33=0,"",(U30*50)/Y30)</f>
        <v/>
      </c>
      <c r="AC30" s="6" t="str">
        <f>IF(Y33=0,"",(S30*25)/Y30)</f>
        <v/>
      </c>
      <c r="AD30" s="119" t="str">
        <f>IF(Y33=0,"",(T30*25)/Y30)</f>
        <v/>
      </c>
      <c r="AE30" s="119" t="str">
        <f>IF(Y33=0,"",(V30*25)/Y30)</f>
        <v/>
      </c>
      <c r="AF30" s="119" t="str">
        <f>IF(Y33=0,"",(W30*40)/Y30)</f>
        <v/>
      </c>
      <c r="AG30" s="119" t="str">
        <f>IF(Y33=0,"",(X30*50)/Y30)</f>
        <v/>
      </c>
      <c r="AH30" s="115" t="s">
        <v>67</v>
      </c>
      <c r="AI30" s="121">
        <f>SUM(AI4:AI29)</f>
        <v>0</v>
      </c>
      <c r="AJ30" s="121">
        <f>SUM(AJ4:AJ29)</f>
        <v>0</v>
      </c>
      <c r="AK30" s="121">
        <f>SUM(AK4:AK29)</f>
        <v>0</v>
      </c>
      <c r="AL30" s="122" t="str">
        <f>IF(AI30=0,"",AI30/AJ30)</f>
        <v/>
      </c>
      <c r="AM30" s="122" t="str">
        <f>IF(AI30=0,"",(Y30/AI30)/1000)</f>
        <v/>
      </c>
      <c r="AN30" s="121" t="str">
        <f>IF(AI30=0,"",AM30*24)</f>
        <v/>
      </c>
      <c r="AO30" s="123" t="str">
        <f>IF(AI30=0,"",Y33/(AN30*30))</f>
        <v/>
      </c>
      <c r="AP30" s="121" t="str">
        <f>IF(AI30=0,"",(Z30/AI30))</f>
        <v/>
      </c>
      <c r="AQ30" s="122" t="str">
        <f>IF(AJ30=0,"",(Y30/AJ30)/1000)</f>
        <v/>
      </c>
      <c r="AR30" s="124">
        <f>SUM(AR4:AR29)/1000</f>
        <v>0</v>
      </c>
      <c r="AS30" s="124">
        <f>SUM(AS4:AS29)/1000</f>
        <v>0</v>
      </c>
      <c r="AT30" s="124">
        <f>SUM(AT4:AT29)/1000</f>
        <v>0</v>
      </c>
      <c r="AU30" s="124">
        <f>SUM(AU4:AU29)</f>
        <v>0</v>
      </c>
      <c r="AV30" s="124">
        <f>SUM(AV4:AV29)</f>
        <v>0</v>
      </c>
      <c r="AW30" s="124">
        <f>SUM(AW4:AW29)</f>
        <v>0</v>
      </c>
    </row>
    <row r="31" spans="1:51">
      <c r="B31" s="115" t="s">
        <v>68</v>
      </c>
      <c r="C31" s="116" t="str">
        <f>IF(C30=0,"",AVERAGE(C4:C29))</f>
        <v/>
      </c>
      <c r="D31" s="116" t="str">
        <f>IF(D30=0,"",AVERAGE(D4:D29))</f>
        <v/>
      </c>
      <c r="E31" s="116" t="str">
        <f>IF(L30=0,"",AVERAGE(L4:L29))</f>
        <v/>
      </c>
      <c r="F31" s="116" t="str">
        <f>IF(M30=0,"",AVERAGE(M4:M29))</f>
        <v/>
      </c>
      <c r="G31" s="116" t="str">
        <f>IF(O30=0,"",AVERAGE(O4:O29))</f>
        <v/>
      </c>
      <c r="H31" s="116" t="str">
        <f>IF(E30=0,"",AVERAGE(E4:E29))</f>
        <v/>
      </c>
      <c r="I31" s="116" t="str">
        <f>IF(G30=0,"",AVERAGE(G4:G29))</f>
        <v/>
      </c>
      <c r="J31" s="116" t="str">
        <f>IF(H30=0,"",AVERAGE(H4:H29))</f>
        <v/>
      </c>
      <c r="K31" s="116" t="str">
        <f>IF(F30=0,"",AVERAGE(F4:F29))</f>
        <v/>
      </c>
      <c r="L31" s="116" t="str">
        <f>IF(K30=0,"",AVERAGE(K4:K29))</f>
        <v/>
      </c>
      <c r="M31" s="116" t="str">
        <f>IF(I30=0,"",AVERAGE(I4:I29))</f>
        <v/>
      </c>
      <c r="N31" s="116" t="str">
        <f>IF(J30=0,"",AVERAGE(J4:J29))</f>
        <v/>
      </c>
      <c r="O31" s="116" t="str">
        <f>IF(P30=0,"",AVERAGE(P4:P29))</f>
        <v/>
      </c>
      <c r="P31" s="116"/>
      <c r="Q31" s="116" t="str">
        <f>IF(Q30=0,"",AVERAGE(Q4:Q29))</f>
        <v/>
      </c>
      <c r="R31" s="116" t="str">
        <f>IF(R30=0,"",AVERAGE(R4:R29))</f>
        <v/>
      </c>
      <c r="S31" s="116" t="str">
        <f>IF(S30=0,"",AVERAGE(S4:S29))</f>
        <v/>
      </c>
      <c r="T31" s="116"/>
      <c r="U31" s="116"/>
      <c r="V31" s="116" t="str">
        <f>IF(V30=0,"",AVERAGE(V4:V29))</f>
        <v/>
      </c>
      <c r="W31" s="116" t="str">
        <f>IF(W30=0,"",AVERAGE(W4:W29))</f>
        <v/>
      </c>
      <c r="X31" s="116">
        <f>SUM(X5:X30)</f>
        <v>0</v>
      </c>
      <c r="Z31" s="7"/>
      <c r="AB31" s="119"/>
      <c r="AE31" s="6"/>
      <c r="AF31" s="6"/>
      <c r="AG31" s="6"/>
      <c r="AH31" s="115" t="s">
        <v>68</v>
      </c>
      <c r="AI31" s="121" t="str">
        <f>IF(AI30=0,"",AVERAGE(AI4:AI29))</f>
        <v/>
      </c>
      <c r="AJ31" s="121" t="str">
        <f>IF(AJ30=0,"",AVERAGE(AJ4:AJ29))</f>
        <v/>
      </c>
      <c r="AK31" s="121" t="str">
        <f>IF(AK30=0,"",AVERAGE(AK4:AK29))</f>
        <v/>
      </c>
      <c r="AL31" s="122" t="str">
        <f>IF(AL30="","",AVERAGE(AL4:AL29))</f>
        <v/>
      </c>
      <c r="AM31" s="122" t="str">
        <f>IF(AM30="","",AVERAGE(AM4:AM29))</f>
        <v/>
      </c>
      <c r="AN31" s="121" t="str">
        <f>IF(AN30="","",AVERAGE(AN4:AN29))</f>
        <v/>
      </c>
      <c r="AO31" s="123" t="str">
        <f>IF(AO30="","",AVERAGE(AO4:AO29))</f>
        <v/>
      </c>
      <c r="AP31" s="121" t="str">
        <f>IF(AP30="","",AVERAGE(AP4:AP29))</f>
        <v/>
      </c>
      <c r="AQ31" s="122" t="str">
        <f>IF(AQ30="","",AVERAGE(AQ4:AQ29))</f>
        <v/>
      </c>
      <c r="AR31" s="122"/>
      <c r="AS31" s="122"/>
      <c r="AT31" s="122"/>
      <c r="AU31" s="122"/>
      <c r="AV31" s="122"/>
    </row>
    <row r="32" spans="1:51">
      <c r="B32" s="115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X32" s="125"/>
      <c r="Y32" s="697" t="s">
        <v>70</v>
      </c>
      <c r="Z32" s="697"/>
      <c r="AA32" s="6"/>
      <c r="AB32" s="119"/>
      <c r="AC32" s="6"/>
      <c r="AD32" s="6"/>
      <c r="AE32" s="6"/>
      <c r="AF32" s="6"/>
      <c r="AG32" s="6"/>
      <c r="AH32" s="6"/>
      <c r="AI32" s="121"/>
      <c r="AJ32" s="121"/>
      <c r="AK32" s="121"/>
      <c r="AL32" s="121"/>
      <c r="AM32" s="116"/>
      <c r="AN32" s="123"/>
      <c r="AO32" s="123"/>
      <c r="AP32" s="121"/>
    </row>
    <row r="33" spans="1:51">
      <c r="B33" s="115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25"/>
      <c r="Y33" s="126">
        <f>Y30/1000</f>
        <v>0</v>
      </c>
      <c r="Z33" s="697" t="s">
        <v>71</v>
      </c>
      <c r="AA33" s="697"/>
      <c r="AB33" s="119"/>
      <c r="AC33" s="127"/>
      <c r="AD33" s="127"/>
      <c r="AE33" s="6"/>
      <c r="AF33" s="6"/>
      <c r="AG33" s="6"/>
      <c r="AH33" s="6"/>
      <c r="AI33" s="121"/>
      <c r="AJ33" s="121"/>
      <c r="AK33" s="121"/>
      <c r="AL33" s="121"/>
      <c r="AM33" s="121"/>
      <c r="AN33" s="116"/>
      <c r="AO33" s="123"/>
      <c r="AP33" s="116"/>
      <c r="AQ33" s="121"/>
    </row>
    <row r="34" spans="1:51">
      <c r="B34" s="115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7"/>
      <c r="Z34" s="6"/>
      <c r="AA34" s="6"/>
      <c r="AB34" s="119"/>
      <c r="AC34" s="6"/>
      <c r="AD34" s="6"/>
      <c r="AE34" s="6"/>
      <c r="AF34" s="6"/>
      <c r="AG34" s="115"/>
      <c r="AH34" s="115"/>
      <c r="AI34" s="121"/>
      <c r="AJ34" s="121"/>
      <c r="AK34" s="121"/>
      <c r="AL34" s="116"/>
      <c r="AM34" s="123"/>
      <c r="AN34" s="116"/>
      <c r="AO34" s="128"/>
    </row>
    <row r="35" spans="1:51">
      <c r="B35" s="115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4"/>
      <c r="W35" s="7"/>
      <c r="X35" s="6"/>
      <c r="Y35" s="6"/>
      <c r="Z35" s="115"/>
      <c r="AA35" s="121"/>
      <c r="AB35" s="129"/>
      <c r="AC35" s="121"/>
      <c r="AD35" s="121"/>
      <c r="AE35" s="121"/>
      <c r="AF35" s="121"/>
      <c r="AG35" s="121"/>
      <c r="AH35" s="121"/>
      <c r="AI35" s="116"/>
      <c r="AJ35" s="121"/>
    </row>
    <row r="36" spans="1:51">
      <c r="A36" s="130" t="s">
        <v>72</v>
      </c>
      <c r="B36" s="68"/>
      <c r="C36" s="131"/>
      <c r="D36" s="75"/>
      <c r="E36" s="75"/>
      <c r="F36" s="75"/>
      <c r="G36" s="75"/>
      <c r="H36" s="75"/>
      <c r="I36" s="72"/>
      <c r="J36" s="71"/>
      <c r="K36" s="75"/>
      <c r="L36" s="75"/>
      <c r="M36" s="75"/>
      <c r="N36" s="75"/>
      <c r="O36" s="75"/>
      <c r="P36" s="75"/>
      <c r="Q36" s="71"/>
      <c r="R36" s="75"/>
      <c r="S36" s="79"/>
      <c r="T36" s="79"/>
      <c r="U36" s="132"/>
      <c r="V36" s="79"/>
      <c r="W36" s="79"/>
      <c r="X36" s="85"/>
      <c r="Y36" s="55" t="str">
        <f>IF(B36="","",(((C36+E36+G36+K36+L36+M36+N36+O36)*50))+((D36+H36)*12.5)+(((F36+I36+J36+P36)*25)+(S36*25)+(T36*25)+(U36*25)+(V36*25)+(W36*40)+(X36*50)))</f>
        <v/>
      </c>
      <c r="Z36" s="55">
        <f>U36</f>
        <v>0</v>
      </c>
      <c r="AA36" s="56" t="str">
        <f>IF(B36="","",((Z36*25)/Y36))</f>
        <v/>
      </c>
      <c r="AB36" s="57" t="str">
        <f>IF(B36="","",((U36)*25)/Y36)</f>
        <v/>
      </c>
      <c r="AC36" s="57" t="str">
        <f>IF(B36="","",(S36*25)/Y36)</f>
        <v/>
      </c>
      <c r="AD36" s="57" t="str">
        <f>IF(B36="","",(T36*25)/Y36)</f>
        <v/>
      </c>
      <c r="AE36" s="57" t="str">
        <f>IF(B36="","",(V36*25)/Y36)</f>
        <v/>
      </c>
      <c r="AF36" s="58" t="str">
        <f>IF(B36="","",(W36*40)/Y36)</f>
        <v/>
      </c>
      <c r="AG36" s="58" t="str">
        <f>IF(B36="","",(X36*50)/Y36)</f>
        <v/>
      </c>
      <c r="AH36" s="59" t="str">
        <f>IF(B36="","",B36)</f>
        <v/>
      </c>
      <c r="AI36" s="81"/>
      <c r="AJ36" s="94"/>
      <c r="AK36" s="83"/>
      <c r="AL36" s="63" t="str">
        <f>IF(AI36="","",AI36/AJ36)</f>
        <v/>
      </c>
      <c r="AM36" s="64" t="str">
        <f>IF(AI36="","",(Y36/AI36)/1000)</f>
        <v/>
      </c>
      <c r="AN36" s="64" t="str">
        <f>IF(AI36="","",AM36*24)</f>
        <v/>
      </c>
      <c r="AO36" s="65" t="str">
        <f>IF(AI36="","",(Y36/1000)*100%/AN36)</f>
        <v/>
      </c>
      <c r="AP36" s="64" t="str">
        <f>IF(AI36="","",(Z36/AI36))</f>
        <v/>
      </c>
      <c r="AQ36" s="66" t="str">
        <f>IF(AI36="","",(Y36/AJ36)/1000)</f>
        <v/>
      </c>
      <c r="AR36" s="91"/>
      <c r="AS36" s="92"/>
      <c r="AT36" s="92"/>
      <c r="AU36" s="93"/>
      <c r="AV36" s="93"/>
      <c r="AW36" s="84"/>
    </row>
    <row r="37" spans="1:51">
      <c r="A37" s="130" t="s">
        <v>210</v>
      </c>
      <c r="B37" s="68"/>
      <c r="C37" s="131"/>
      <c r="D37" s="75"/>
      <c r="E37" s="75"/>
      <c r="F37" s="75"/>
      <c r="G37" s="75"/>
      <c r="H37" s="75"/>
      <c r="I37" s="72"/>
      <c r="J37" s="71"/>
      <c r="K37" s="75"/>
      <c r="L37" s="75"/>
      <c r="M37" s="75"/>
      <c r="N37" s="75"/>
      <c r="O37" s="75"/>
      <c r="P37" s="75"/>
      <c r="Q37" s="71"/>
      <c r="R37" s="75"/>
      <c r="S37" s="79"/>
      <c r="T37" s="79"/>
      <c r="U37" s="79"/>
      <c r="V37" s="79"/>
      <c r="W37" s="79"/>
      <c r="X37" s="85"/>
      <c r="Y37" s="55" t="str">
        <f>IF(B37="","",(((C37+E37+G37+K37+L37+M37+N37+O37)*50))+((D37+H37)*12.5)+(((F37+I37+J37+P37)*25)+(S37*25)+(T37*25)+(U37*25)+(V37*25)+(W37*40)+(X37*50)))</f>
        <v/>
      </c>
      <c r="Z37" s="55" t="str">
        <f>IF(B37="","",C37+E37+G37+K37+L37+M37+N37+O37+((D37+H37)/4)+((F37+I37+J37+P37)/2))</f>
        <v/>
      </c>
      <c r="AA37" s="56" t="str">
        <f>IF(B37="","",((Z37*50)/Y37))</f>
        <v/>
      </c>
      <c r="AB37" s="57" t="str">
        <f>IF(B37="","",((U37)*25)/Y37)</f>
        <v/>
      </c>
      <c r="AC37" s="57" t="str">
        <f>IF(B37="","",(S37*25)/Y37)</f>
        <v/>
      </c>
      <c r="AD37" s="57" t="str">
        <f>IF(B37="","",(T37*25)/Y37)</f>
        <v/>
      </c>
      <c r="AE37" s="57" t="str">
        <f>IF(B37="","",(V37*25)/Y37)</f>
        <v/>
      </c>
      <c r="AF37" s="58" t="str">
        <f>IF(B37="","",(W37*40)/Y37)</f>
        <v/>
      </c>
      <c r="AG37" s="58" t="str">
        <f>IF(B37="","",(X37*50)/Y37)</f>
        <v/>
      </c>
      <c r="AH37" s="59" t="str">
        <f>IF(B37="","",B37)</f>
        <v/>
      </c>
      <c r="AI37" s="81"/>
      <c r="AJ37" s="94"/>
      <c r="AK37" s="83"/>
      <c r="AL37" s="63" t="str">
        <f>IF(AI37="","",AI37/AJ37)</f>
        <v/>
      </c>
      <c r="AM37" s="64" t="str">
        <f>IF(AI37="","",(Y37/AI37)/1000)</f>
        <v/>
      </c>
      <c r="AN37" s="64" t="str">
        <f>IF(AI37="","",AM37*24)</f>
        <v/>
      </c>
      <c r="AO37" s="65" t="str">
        <f>IF(AI37="","",(Y37/1000)*100%/AN37)</f>
        <v/>
      </c>
      <c r="AP37" s="64" t="str">
        <f>IF(AI37="","",(Z37/AI37))</f>
        <v/>
      </c>
      <c r="AQ37" s="66" t="str">
        <f>IF(AI37="","",(Y37/AJ37)/1000)</f>
        <v/>
      </c>
      <c r="AR37" s="91"/>
      <c r="AS37" s="92"/>
      <c r="AT37" s="92"/>
      <c r="AU37" s="93"/>
      <c r="AV37" s="93"/>
      <c r="AW37" s="84"/>
    </row>
    <row r="38" spans="1:51">
      <c r="A38" s="130" t="s">
        <v>74</v>
      </c>
      <c r="B38" s="68"/>
      <c r="C38" s="131"/>
      <c r="D38" s="75"/>
      <c r="E38" s="75"/>
      <c r="F38" s="75"/>
      <c r="G38" s="75"/>
      <c r="H38" s="75"/>
      <c r="I38" s="72"/>
      <c r="J38" s="71"/>
      <c r="K38" s="75"/>
      <c r="L38" s="75"/>
      <c r="M38" s="75"/>
      <c r="N38" s="75"/>
      <c r="O38" s="75"/>
      <c r="P38" s="75"/>
      <c r="Q38" s="71"/>
      <c r="R38" s="75"/>
      <c r="S38" s="79"/>
      <c r="T38" s="79"/>
      <c r="U38" s="79"/>
      <c r="V38" s="79"/>
      <c r="W38" s="79"/>
      <c r="X38" s="85"/>
      <c r="Y38" s="55" t="str">
        <f>IF(B38="","",(((C38+E38+G38+K38+L38+M38+N38+O38)*50))+((D38+H38)*12.5)+(((F38+I38+J38+P38)*25)+(S38*25)+(T38*25)+(U38*25)+(V38*25)+(W38*40)+(X38*50)))</f>
        <v/>
      </c>
      <c r="Z38" s="55" t="str">
        <f>IF(B38="","",C38+E38+G38+K38+L38+M38+N38+O38+((D38+H38)/4)+((F38+I38+J38+P38)/2))</f>
        <v/>
      </c>
      <c r="AA38" s="56" t="str">
        <f>IF(B38="","",((Z38*50)/Y38))</f>
        <v/>
      </c>
      <c r="AB38" s="57" t="str">
        <f>IF(B38="","",((U38)*25)/Y38)</f>
        <v/>
      </c>
      <c r="AC38" s="57" t="str">
        <f>IF(B38="","",(S38*25)/Y38)</f>
        <v/>
      </c>
      <c r="AD38" s="57" t="str">
        <f>IF(B38="","",(T38*25)/Y38)</f>
        <v/>
      </c>
      <c r="AE38" s="57" t="str">
        <f>IF(B38="","",(V38*25)/Y38)</f>
        <v/>
      </c>
      <c r="AF38" s="58" t="str">
        <f>IF(B38="","",(W38*40)/Y38)</f>
        <v/>
      </c>
      <c r="AG38" s="58" t="str">
        <f>IF(B38="","",(X38*50)/Y38)</f>
        <v/>
      </c>
      <c r="AH38" s="59" t="str">
        <f>IF(B38="","",B38)</f>
        <v/>
      </c>
      <c r="AI38" s="81"/>
      <c r="AJ38" s="94"/>
      <c r="AK38" s="83"/>
      <c r="AL38" s="63" t="str">
        <f>IF(AI38="","",AI38/AJ38)</f>
        <v/>
      </c>
      <c r="AM38" s="64" t="str">
        <f>IF(AI38="","",(Y38/AI38)/1000)</f>
        <v/>
      </c>
      <c r="AN38" s="64" t="str">
        <f>IF(AI38="","",AM38*24)</f>
        <v/>
      </c>
      <c r="AO38" s="65" t="str">
        <f>IF(AI38="","",(Y38/1000)*100%/AN38)</f>
        <v/>
      </c>
      <c r="AP38" s="64" t="str">
        <f>IF(AI38="","",(Z38/AI38))</f>
        <v/>
      </c>
      <c r="AQ38" s="66" t="str">
        <f>IF(AI38="","",(Y38/AJ38)/1000)</f>
        <v/>
      </c>
      <c r="AR38" s="91"/>
      <c r="AS38" s="92"/>
      <c r="AT38" s="92"/>
      <c r="AU38" s="93"/>
      <c r="AV38" s="93"/>
      <c r="AW38" s="84"/>
    </row>
    <row r="39" spans="1:51">
      <c r="A39" s="130"/>
      <c r="B39" s="68"/>
      <c r="C39" s="131"/>
      <c r="D39" s="75"/>
      <c r="E39" s="75"/>
      <c r="F39" s="75"/>
      <c r="G39" s="75"/>
      <c r="H39" s="75"/>
      <c r="I39" s="72"/>
      <c r="J39" s="71"/>
      <c r="K39" s="75"/>
      <c r="L39" s="75"/>
      <c r="M39" s="75"/>
      <c r="N39" s="75"/>
      <c r="O39" s="75"/>
      <c r="P39" s="75"/>
      <c r="Q39" s="71"/>
      <c r="R39" s="75"/>
      <c r="S39" s="79"/>
      <c r="T39" s="79"/>
      <c r="U39" s="79"/>
      <c r="V39" s="79"/>
      <c r="W39" s="79"/>
      <c r="X39" s="85"/>
      <c r="Y39" s="55" t="str">
        <f>IF(B39="","",(((C39+E39+G39+K39+L39+M39+N39+O39)*50))+((D39+H39)*12.5)+(((F39+I39+J39+P39)*25)+(S39*25)+(T39*25)+(U39*25)+(V39*25)+(W39*40)+(X39*50)))</f>
        <v/>
      </c>
      <c r="Z39" s="55" t="str">
        <f>IF(B39="","",C39+E39+G39+K39+L39+M39+N39+O39+((D39+H39)/4)+((F39+I39+J39+P39)/2))</f>
        <v/>
      </c>
      <c r="AA39" s="56" t="str">
        <f>IF(B39="","",((Z39*50)/Y39))</f>
        <v/>
      </c>
      <c r="AB39" s="57" t="str">
        <f>IF(B39="","",((U39)*25)/Y39)</f>
        <v/>
      </c>
      <c r="AC39" s="57" t="str">
        <f>IF(B39="","",(S39*25)/Y39)</f>
        <v/>
      </c>
      <c r="AD39" s="57" t="str">
        <f>IF(B39="","",(T39*25)/Y39)</f>
        <v/>
      </c>
      <c r="AE39" s="57" t="str">
        <f>IF(B39="","",(V39*25)/Y39)</f>
        <v/>
      </c>
      <c r="AF39" s="58" t="str">
        <f>IF(B39="","",(W39*40)/Y39)</f>
        <v/>
      </c>
      <c r="AG39" s="58" t="str">
        <f>IF(B39="","",(X39*50)/Y39)</f>
        <v/>
      </c>
      <c r="AH39" s="59" t="str">
        <f>IF(B39="","",B39)</f>
        <v/>
      </c>
      <c r="AI39" s="81"/>
      <c r="AJ39" s="94"/>
      <c r="AK39" s="83"/>
      <c r="AL39" s="63" t="str">
        <f>IF(AI39="","",AI39/AJ39)</f>
        <v/>
      </c>
      <c r="AM39" s="64" t="str">
        <f>IF(AI39="","",(Y39/AI39)/1000)</f>
        <v/>
      </c>
      <c r="AN39" s="64" t="str">
        <f>IF(AI39="","",AM39*24)</f>
        <v/>
      </c>
      <c r="AO39" s="65" t="str">
        <f>IF(AI39="","",(Y39/1000)*100%/AN39)</f>
        <v/>
      </c>
      <c r="AP39" s="64" t="str">
        <f>IF(AI39="","",(Z39/AI39))</f>
        <v/>
      </c>
      <c r="AQ39" s="66" t="str">
        <f>IF(AI39="","",(Y39/AJ39)/1000)</f>
        <v/>
      </c>
      <c r="AR39" s="91"/>
      <c r="AS39" s="92"/>
      <c r="AT39" s="92"/>
      <c r="AU39" s="93"/>
      <c r="AV39" s="93"/>
      <c r="AW39" s="84"/>
    </row>
    <row r="40" spans="1:51">
      <c r="B40" s="115"/>
      <c r="C40" s="116"/>
      <c r="D40" s="116"/>
      <c r="E40" s="116"/>
      <c r="F40" s="116"/>
      <c r="G40" s="116"/>
      <c r="H40" s="116"/>
      <c r="M40" s="116"/>
      <c r="N40" s="116"/>
      <c r="O40" s="116"/>
      <c r="P40" s="116"/>
      <c r="Q40" s="116"/>
      <c r="R40" s="7"/>
      <c r="S40" s="7"/>
      <c r="W40" s="6"/>
      <c r="X40" s="6"/>
      <c r="Y40" s="55"/>
      <c r="Z40" s="121"/>
      <c r="AA40" s="121"/>
      <c r="AB40" s="121"/>
      <c r="AC40" s="116"/>
      <c r="AD40" s="123"/>
      <c r="AE40" s="123"/>
      <c r="AF40" s="116"/>
      <c r="AG40" s="121"/>
    </row>
    <row r="41" spans="1:51">
      <c r="B41" s="115"/>
      <c r="C41" s="116"/>
      <c r="D41" s="116"/>
      <c r="E41" s="116"/>
      <c r="F41" s="116"/>
      <c r="G41" s="116"/>
      <c r="H41" s="116"/>
      <c r="I41" s="116"/>
      <c r="N41" s="116"/>
      <c r="O41" s="116"/>
      <c r="P41" s="116"/>
      <c r="Q41" s="116"/>
      <c r="R41" s="116"/>
      <c r="S41" s="7"/>
      <c r="T41" s="7"/>
      <c r="X41" s="6"/>
      <c r="Y41" s="6"/>
      <c r="Z41" s="121"/>
      <c r="AA41" s="121"/>
      <c r="AB41" s="121"/>
      <c r="AC41" s="121"/>
      <c r="AD41" s="116"/>
      <c r="AE41" s="123"/>
      <c r="AF41" s="123"/>
      <c r="AG41" s="116"/>
      <c r="AH41" s="121"/>
    </row>
    <row r="42" spans="1:51" customHeight="1" ht="13.9">
      <c r="B42" s="115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7"/>
      <c r="U42" s="7"/>
      <c r="Y42" s="6"/>
      <c r="Z42" s="6"/>
      <c r="AA42" s="121"/>
      <c r="AB42" s="121"/>
      <c r="AC42" s="121"/>
      <c r="AD42" s="121"/>
      <c r="AE42" s="116"/>
      <c r="AF42" s="123"/>
      <c r="AG42" s="123"/>
      <c r="AH42" s="116"/>
      <c r="AI42" s="121"/>
    </row>
    <row r="43" spans="1:51">
      <c r="A43" s="736" t="s">
        <v>76</v>
      </c>
      <c r="B43" s="737"/>
      <c r="C43" s="737"/>
      <c r="D43" s="738"/>
      <c r="F43" s="736" t="s">
        <v>78</v>
      </c>
      <c r="G43" s="737"/>
      <c r="H43" s="738"/>
      <c r="I43" s="133"/>
      <c r="J43" s="739" t="s">
        <v>104</v>
      </c>
      <c r="K43" s="740"/>
      <c r="L43" s="740"/>
      <c r="M43" s="134"/>
      <c r="N43" s="116"/>
      <c r="O43" s="135"/>
      <c r="P43" s="741" t="s">
        <v>211</v>
      </c>
      <c r="Q43" s="741"/>
      <c r="R43" s="227"/>
      <c r="S43" s="741" t="s">
        <v>82</v>
      </c>
      <c r="T43" s="741"/>
      <c r="U43" s="237"/>
      <c r="V43" s="740" t="s">
        <v>212</v>
      </c>
      <c r="W43" s="740"/>
      <c r="X43" s="134"/>
      <c r="Z43" s="6"/>
      <c r="AA43" s="6"/>
      <c r="AB43" s="121"/>
      <c r="AC43" s="121"/>
      <c r="AD43" s="121"/>
      <c r="AE43" s="121"/>
      <c r="AF43" s="116"/>
      <c r="AG43" s="123"/>
      <c r="AH43" s="123"/>
      <c r="AI43" s="116"/>
      <c r="AJ43" s="121"/>
    </row>
    <row r="44" spans="1:51" customHeight="1" ht="15">
      <c r="A44" s="742" t="s">
        <v>85</v>
      </c>
      <c r="B44" s="633"/>
      <c r="C44" s="55">
        <f>Y33</f>
        <v>0</v>
      </c>
      <c r="D44" s="136" t="s">
        <v>213</v>
      </c>
      <c r="E44" s="137"/>
      <c r="F44" s="632" t="s">
        <v>86</v>
      </c>
      <c r="G44" s="633"/>
      <c r="H44" s="138">
        <f>IF(G47="",0,G50/G47)</f>
        <v>0</v>
      </c>
      <c r="J44" s="742" t="s">
        <v>106</v>
      </c>
      <c r="K44" s="743"/>
      <c r="L44" s="139">
        <f>AS30</f>
        <v>0</v>
      </c>
      <c r="M44" s="136" t="s">
        <v>107</v>
      </c>
      <c r="N44" s="116"/>
      <c r="O44" s="140" t="str">
        <f>IF(D57="","",D57)</f>
        <v>CWRS</v>
      </c>
      <c r="P44" s="720">
        <f>(B59*E59)+(B60*E60)+(B61*E61)+(B62*E62)+(B63*E63)+(B64*E64)+(B66*E66)+(B67*E67)+(B68*E68)+(B69*E69)+(B70*E70)+(B71*E71)+(B72*E72)+(B73*E73)+(B75*E75)</f>
        <v>0</v>
      </c>
      <c r="Q44" s="720"/>
      <c r="R44" s="228">
        <f>IF($P$49=0,0,P44/$P$49)</f>
        <v>0</v>
      </c>
      <c r="S44" s="681"/>
      <c r="T44" s="681"/>
      <c r="U44" s="228">
        <f>IF($S$44="",0,S44/$S$49)</f>
        <v>0</v>
      </c>
      <c r="V44" s="720">
        <f>S44-P44</f>
        <v>0</v>
      </c>
      <c r="W44" s="720"/>
      <c r="X44" s="141">
        <f>IF($P$49=0,0,V44/$V$49)</f>
        <v>0</v>
      </c>
      <c r="Z44" s="6"/>
      <c r="AA44" s="6"/>
      <c r="AB44" s="121"/>
      <c r="AC44" s="121"/>
      <c r="AD44" s="121"/>
      <c r="AE44" s="121"/>
      <c r="AF44" s="116"/>
      <c r="AG44" s="123"/>
      <c r="AH44" s="123"/>
      <c r="AI44" s="116"/>
      <c r="AJ44" s="121"/>
    </row>
    <row r="45" spans="1:51" customHeight="1" ht="15">
      <c r="A45" s="632" t="s">
        <v>87</v>
      </c>
      <c r="B45" s="633"/>
      <c r="C45" s="142">
        <f>Z30</f>
        <v>0</v>
      </c>
      <c r="D45" s="136" t="s">
        <v>214</v>
      </c>
      <c r="E45" s="137"/>
      <c r="F45" s="632" t="s">
        <v>88</v>
      </c>
      <c r="G45" s="633"/>
      <c r="H45" s="143">
        <f>IF(G47="",0,G47/C44)</f>
        <v>0</v>
      </c>
      <c r="J45" s="632" t="s">
        <v>111</v>
      </c>
      <c r="K45" s="633"/>
      <c r="L45" s="139">
        <f>AT30</f>
        <v>0</v>
      </c>
      <c r="M45" s="136" t="s">
        <v>107</v>
      </c>
      <c r="N45" s="116"/>
      <c r="O45" s="140" t="str">
        <f>IF(F57="","",F57)</f>
        <v>CPS</v>
      </c>
      <c r="P45" s="720">
        <f>(B59*G59)+(B60*G60)+(B61*G61)+(B62*G62)+(B63*G63)+(B64*G64)+(B66*G66)+(B67*G67)+(B68*G68)+(B69*G69)+(B70*G70+(B71*G71)+(B72*G72)+(B73*G73)+(B75*G75))</f>
        <v>0</v>
      </c>
      <c r="Q45" s="720"/>
      <c r="R45" s="228">
        <f>IF($P$49=0,0,P45/$P$49)</f>
        <v>0</v>
      </c>
      <c r="S45" s="681"/>
      <c r="T45" s="681"/>
      <c r="U45" s="228">
        <f>IF($S$45="",0,S45/$S$49)</f>
        <v>0</v>
      </c>
      <c r="V45" s="720">
        <f>S45-P45</f>
        <v>0</v>
      </c>
      <c r="W45" s="720"/>
      <c r="X45" s="141">
        <f>IF($P$49=0,0,V45/$V$49)</f>
        <v>0</v>
      </c>
      <c r="Z45" s="6"/>
      <c r="AA45" s="6"/>
      <c r="AB45" s="121"/>
      <c r="AC45" s="121"/>
      <c r="AD45" s="121"/>
      <c r="AE45" s="121"/>
      <c r="AF45" s="116"/>
      <c r="AG45" s="123"/>
      <c r="AH45" s="123"/>
      <c r="AI45" s="116"/>
      <c r="AJ45" s="121"/>
    </row>
    <row r="46" spans="1:51" customHeight="1" ht="15">
      <c r="A46" s="742" t="s">
        <v>89</v>
      </c>
      <c r="B46" s="633"/>
      <c r="C46" s="142">
        <f>(C45*50)/1000</f>
        <v>0</v>
      </c>
      <c r="D46" s="136" t="s">
        <v>107</v>
      </c>
      <c r="E46" s="120"/>
      <c r="F46" s="632" t="s">
        <v>90</v>
      </c>
      <c r="G46" s="633"/>
      <c r="H46" s="143">
        <f>IF(G47="",0,G47/((C45*50)/1000))</f>
        <v>0</v>
      </c>
      <c r="J46" s="632" t="s">
        <v>92</v>
      </c>
      <c r="K46" s="633"/>
      <c r="L46" s="120" t="e">
        <f>L45/L44</f>
        <v>#DIV/0!</v>
      </c>
      <c r="M46" s="136"/>
      <c r="N46" s="116"/>
      <c r="O46" s="140" t="str">
        <f>IF(H57="","",H57)</f>
        <v>Pan</v>
      </c>
      <c r="P46" s="720">
        <f>(B59*I59)+(B60*I60)+(B61*I61)+(B62*I62)+(B63*I63)+(B64*I64)+(B66*I66)+(B67*I67)+(B68*I68)+(B69*I69)+(B70*I70)+(B71*I71)+(B72*I72)+(B73*I73)+(B75*I75)</f>
        <v>0</v>
      </c>
      <c r="Q46" s="720"/>
      <c r="R46" s="228">
        <f>IF($P$49=0,0,P46/$P$49)</f>
        <v>0</v>
      </c>
      <c r="S46" s="681"/>
      <c r="T46" s="681"/>
      <c r="U46" s="228">
        <f>IF($S$44="",0,S46/$S$49)</f>
        <v>0</v>
      </c>
      <c r="V46" s="720">
        <f>S46-P46</f>
        <v>0</v>
      </c>
      <c r="W46" s="720"/>
      <c r="X46" s="141">
        <f>IF($P$49=0,0,V46/$V$49)</f>
        <v>0</v>
      </c>
      <c r="Z46" s="6"/>
      <c r="AA46" s="6"/>
      <c r="AB46" s="121"/>
      <c r="AC46" s="121"/>
      <c r="AD46" s="121"/>
      <c r="AE46" s="121"/>
      <c r="AF46" s="116"/>
      <c r="AG46" s="123"/>
      <c r="AH46" s="123"/>
      <c r="AI46" s="116"/>
      <c r="AJ46" s="121"/>
    </row>
    <row r="47" spans="1:51" customHeight="1" ht="15">
      <c r="A47" s="632" t="s">
        <v>92</v>
      </c>
      <c r="B47" s="633"/>
      <c r="C47" s="119">
        <f>IF(AA30="",0,AA30)</f>
        <v>0</v>
      </c>
      <c r="D47" s="136"/>
      <c r="E47" s="144"/>
      <c r="F47" s="140" t="s">
        <v>93</v>
      </c>
      <c r="G47" s="744"/>
      <c r="H47" s="745"/>
      <c r="I47" s="145"/>
      <c r="J47" s="140"/>
      <c r="M47" s="136"/>
      <c r="N47" s="116"/>
      <c r="O47" s="140" t="str">
        <f>IF(J57="","",J57)</f>
        <v>SRW</v>
      </c>
      <c r="P47" s="720">
        <f>(B59*K59)+(B60*K60)+(B61*K61)+(B62*K62)+(B63*K63)+(B64*K64)+(B66*K66)+(B67*K67)+(B68*K68)+(B69*K69)+(B70*K70)+(B71*K71)+(B72*K72)+(B73*K73)+(B75*K75)</f>
        <v>0</v>
      </c>
      <c r="Q47" s="720"/>
      <c r="R47" s="228">
        <f>IF($P$49=0,0,P47/$P$49)</f>
        <v>0</v>
      </c>
      <c r="S47" s="681"/>
      <c r="T47" s="681"/>
      <c r="U47" s="228">
        <f>IF($S$44="",0,S47/$S$49)</f>
        <v>0</v>
      </c>
      <c r="V47" s="720">
        <f>S47-P47</f>
        <v>0</v>
      </c>
      <c r="W47" s="720"/>
      <c r="X47" s="141">
        <f>IF($P$49=0,0,V47/$V$49)</f>
        <v>0</v>
      </c>
      <c r="Z47" s="6"/>
      <c r="AA47" s="6"/>
      <c r="AB47" s="121"/>
      <c r="AC47" s="121"/>
      <c r="AD47" s="121"/>
      <c r="AE47" s="121"/>
      <c r="AF47" s="116"/>
      <c r="AG47" s="123"/>
      <c r="AH47" s="123"/>
      <c r="AI47" s="116"/>
      <c r="AJ47" s="121"/>
    </row>
    <row r="48" spans="1:51" customHeight="1" ht="15.6">
      <c r="A48" s="632" t="s">
        <v>95</v>
      </c>
      <c r="B48" s="633"/>
      <c r="C48" s="144">
        <f>AI30</f>
        <v>0</v>
      </c>
      <c r="D48" s="136" t="s">
        <v>215</v>
      </c>
      <c r="E48" s="146"/>
      <c r="F48" s="140" t="s">
        <v>96</v>
      </c>
      <c r="G48" s="744"/>
      <c r="H48" s="745"/>
      <c r="I48" s="145"/>
      <c r="J48" s="749" t="s">
        <v>155</v>
      </c>
      <c r="K48" s="750"/>
      <c r="L48" s="750"/>
      <c r="M48" s="751"/>
      <c r="N48" s="4"/>
      <c r="O48" s="140" t="s">
        <v>97</v>
      </c>
      <c r="P48" s="719">
        <f>IF(Y37="",0,Y37)</f>
        <v>0</v>
      </c>
      <c r="Q48" s="719"/>
      <c r="R48" s="228">
        <f>IF($P$49=0,0,P48/$P$49)</f>
        <v>0</v>
      </c>
      <c r="S48" s="692"/>
      <c r="T48" s="692"/>
      <c r="U48" s="228">
        <f>IF($S$44="",0,S48/$S$49)</f>
        <v>0</v>
      </c>
      <c r="V48" s="720">
        <f>S48-P48</f>
        <v>0</v>
      </c>
      <c r="W48" s="720"/>
      <c r="X48" s="141">
        <f>IF($P$49=0,0,V48/$V$49)</f>
        <v>0</v>
      </c>
      <c r="Y48" s="6"/>
      <c r="Z48" s="6"/>
      <c r="AA48" s="6"/>
      <c r="AC48" s="147"/>
      <c r="AD48" s="147"/>
      <c r="AE48" s="147"/>
      <c r="AF48" s="147"/>
      <c r="AG48" s="6"/>
      <c r="AH48" s="6"/>
      <c r="AI48" s="147"/>
      <c r="AJ48" s="147"/>
    </row>
    <row r="49" spans="1:51" customHeight="1" ht="16.15">
      <c r="A49" s="632" t="s">
        <v>98</v>
      </c>
      <c r="B49" s="633"/>
      <c r="C49" s="146">
        <f>IF(C44=0,0,AK30/AI30)</f>
        <v>0</v>
      </c>
      <c r="D49" s="136"/>
      <c r="E49" s="146"/>
      <c r="F49" s="148" t="s">
        <v>99</v>
      </c>
      <c r="G49" s="746"/>
      <c r="H49" s="747"/>
      <c r="I49" s="149"/>
      <c r="J49" s="632" t="s">
        <v>216</v>
      </c>
      <c r="K49" s="633"/>
      <c r="L49" s="746"/>
      <c r="M49" s="747"/>
      <c r="N49" s="133"/>
      <c r="O49" s="150"/>
      <c r="P49" s="748">
        <f>SUM(P44:P48)</f>
        <v>0</v>
      </c>
      <c r="Q49" s="748"/>
      <c r="R49" s="158"/>
      <c r="S49" s="748">
        <f>SUM(S44:S48)</f>
        <v>0</v>
      </c>
      <c r="T49" s="748"/>
      <c r="U49" s="238"/>
      <c r="V49" s="748">
        <f>SUM(V44:V48)</f>
        <v>0</v>
      </c>
      <c r="W49" s="748"/>
      <c r="X49" s="151"/>
      <c r="AA49" s="6"/>
      <c r="AC49" s="147"/>
      <c r="AD49" s="147"/>
      <c r="AE49" s="147"/>
      <c r="AF49" s="147"/>
      <c r="AG49" s="6"/>
      <c r="AH49" s="6"/>
      <c r="AI49" s="147"/>
      <c r="AJ49" s="147"/>
    </row>
    <row r="50" spans="1:51">
      <c r="A50" s="742" t="s">
        <v>100</v>
      </c>
      <c r="B50" s="743"/>
      <c r="C50" s="152" t="str">
        <f>AO31</f>
        <v/>
      </c>
      <c r="D50" s="136"/>
      <c r="E50" s="146"/>
      <c r="F50" s="140" t="s">
        <v>101</v>
      </c>
      <c r="G50" s="752"/>
      <c r="H50" s="753"/>
      <c r="I50" s="153"/>
      <c r="J50" s="632" t="s">
        <v>217</v>
      </c>
      <c r="K50" s="633"/>
      <c r="L50" s="746"/>
      <c r="M50" s="747"/>
      <c r="AA50" s="6"/>
      <c r="AC50" s="147"/>
      <c r="AD50" s="147"/>
      <c r="AE50" s="147"/>
      <c r="AF50" s="147"/>
      <c r="AG50" s="6"/>
      <c r="AH50" s="6"/>
      <c r="AI50" s="147"/>
      <c r="AJ50" s="147"/>
    </row>
    <row r="51" spans="1:51">
      <c r="A51" s="754" t="s">
        <v>102</v>
      </c>
      <c r="B51" s="755"/>
      <c r="C51" s="152" t="str">
        <f>+AO30</f>
        <v/>
      </c>
      <c r="D51" s="136"/>
      <c r="E51" s="137"/>
      <c r="F51" s="632" t="s">
        <v>103</v>
      </c>
      <c r="G51" s="633"/>
      <c r="H51" s="154"/>
      <c r="I51" s="155"/>
      <c r="J51" s="742" t="s">
        <v>218</v>
      </c>
      <c r="K51" s="633"/>
      <c r="L51" s="746"/>
      <c r="M51" s="747"/>
      <c r="N51" s="757" t="s">
        <v>57</v>
      </c>
      <c r="O51" s="757"/>
      <c r="P51" s="757"/>
      <c r="Q51" s="757"/>
      <c r="R51" s="757"/>
      <c r="AA51" s="6"/>
      <c r="AC51" s="147"/>
      <c r="AD51" s="147"/>
      <c r="AE51" s="147"/>
      <c r="AF51" s="147"/>
      <c r="AG51" s="6"/>
      <c r="AH51" s="6"/>
      <c r="AI51" s="147"/>
      <c r="AJ51" s="147"/>
    </row>
    <row r="52" spans="1:51">
      <c r="A52" s="632" t="s">
        <v>105</v>
      </c>
      <c r="B52" s="633"/>
      <c r="C52" s="137">
        <f>IF(AN30="",0,AN30)</f>
        <v>0</v>
      </c>
      <c r="D52" s="136" t="s">
        <v>219</v>
      </c>
      <c r="E52" s="137"/>
      <c r="F52" s="140"/>
      <c r="H52" s="136"/>
      <c r="J52" s="632" t="s">
        <v>220</v>
      </c>
      <c r="K52" s="633"/>
      <c r="L52" s="746"/>
      <c r="M52" s="747"/>
      <c r="N52" s="758" t="s">
        <v>221</v>
      </c>
      <c r="O52" s="758"/>
      <c r="P52" s="758"/>
      <c r="Q52" s="139">
        <f>AR30</f>
        <v>0</v>
      </c>
      <c r="R52" s="1" t="s">
        <v>107</v>
      </c>
      <c r="AA52" s="6"/>
      <c r="AC52" s="147"/>
      <c r="AD52" s="147"/>
      <c r="AE52" s="147"/>
      <c r="AF52" s="147"/>
      <c r="AG52" s="6"/>
      <c r="AH52" s="6"/>
      <c r="AI52" s="147"/>
      <c r="AJ52" s="147"/>
    </row>
    <row r="53" spans="1:51" customHeight="1" ht="13.9">
      <c r="A53" s="742" t="s">
        <v>108</v>
      </c>
      <c r="B53" s="633"/>
      <c r="C53" s="137">
        <f>IF(AP30="",0,AP30)</f>
        <v>0</v>
      </c>
      <c r="D53" s="136" t="s">
        <v>222</v>
      </c>
      <c r="E53" s="137"/>
      <c r="F53" s="148" t="s">
        <v>109</v>
      </c>
      <c r="H53" s="239" t="s">
        <v>110</v>
      </c>
      <c r="J53" s="632" t="s">
        <v>223</v>
      </c>
      <c r="K53" s="633"/>
      <c r="L53" s="746"/>
      <c r="M53" s="747"/>
      <c r="N53" s="758" t="s">
        <v>224</v>
      </c>
      <c r="O53" s="758"/>
      <c r="P53" s="758"/>
      <c r="Q53" s="139">
        <f>AU30</f>
        <v>0</v>
      </c>
      <c r="R53" s="156" t="s">
        <v>225</v>
      </c>
      <c r="V53" s="157"/>
      <c r="W53" s="157"/>
      <c r="X53" s="157"/>
      <c r="Y53" s="157"/>
      <c r="Z53" s="6"/>
      <c r="AC53" s="147"/>
      <c r="AD53" s="147"/>
      <c r="AE53" s="147"/>
      <c r="AF53" s="6"/>
      <c r="AG53" s="147"/>
      <c r="AH53" s="147"/>
      <c r="AI53" s="147"/>
    </row>
    <row r="54" spans="1:51" customHeight="1" ht="13.9">
      <c r="A54" s="759" t="s">
        <v>112</v>
      </c>
      <c r="B54" s="760"/>
      <c r="C54" s="158">
        <f>26-COUNTBLANK(A4:A29)</f>
        <v>0</v>
      </c>
      <c r="D54" s="151" t="s">
        <v>226</v>
      </c>
      <c r="F54" s="159"/>
      <c r="G54" s="158"/>
      <c r="H54" s="151"/>
      <c r="J54" s="159"/>
      <c r="K54" s="158"/>
      <c r="L54" s="158"/>
      <c r="M54" s="160"/>
      <c r="N54" s="145"/>
      <c r="O54" s="145"/>
      <c r="R54" s="4"/>
      <c r="V54" s="157"/>
      <c r="W54" s="157"/>
      <c r="X54" s="157"/>
      <c r="Y54" s="157"/>
      <c r="Z54" s="6"/>
      <c r="AC54" s="147"/>
      <c r="AD54" s="147"/>
      <c r="AE54" s="147"/>
      <c r="AF54" s="6"/>
      <c r="AG54" s="147"/>
      <c r="AH54" s="147"/>
      <c r="AI54" s="147"/>
    </row>
    <row r="55" spans="1:51" customHeight="1" ht="13.9">
      <c r="A55" s="161"/>
      <c r="B55" s="161"/>
      <c r="M55" s="4"/>
      <c r="N55" s="7" t="s">
        <v>115</v>
      </c>
      <c r="O55" s="162" t="s">
        <v>169</v>
      </c>
      <c r="P55" s="162" t="s">
        <v>227</v>
      </c>
      <c r="Q55" s="162" t="s">
        <v>117</v>
      </c>
      <c r="R55" s="162">
        <v>7200</v>
      </c>
      <c r="Y55" s="6"/>
      <c r="AB55" s="147"/>
      <c r="AC55" s="147"/>
      <c r="AD55" s="6"/>
      <c r="AE55" s="6"/>
      <c r="AF55" s="147"/>
      <c r="AG55" s="147"/>
      <c r="AH55" s="147"/>
    </row>
    <row r="56" spans="1:51" customHeight="1" ht="13.9">
      <c r="F56" s="163"/>
      <c r="G56" s="164"/>
      <c r="H56" s="164"/>
      <c r="I56" s="164"/>
      <c r="M56" s="165" t="str">
        <f>C59</f>
        <v>CMEX
 50</v>
      </c>
      <c r="N56" s="166"/>
      <c r="O56" s="167"/>
      <c r="P56" s="167"/>
      <c r="Q56" s="167"/>
      <c r="R56" s="168"/>
      <c r="S56" s="169"/>
      <c r="Y56" s="6"/>
      <c r="AB56" s="147"/>
      <c r="AC56" s="147"/>
      <c r="AD56" s="6"/>
      <c r="AE56" s="6"/>
      <c r="AF56" s="147"/>
      <c r="AG56" s="147"/>
      <c r="AH56" s="147"/>
    </row>
    <row r="57" spans="1:51" customHeight="1" ht="15.6">
      <c r="A57" s="170"/>
      <c r="C57" s="171"/>
      <c r="D57" s="761" t="s">
        <v>157</v>
      </c>
      <c r="E57" s="761"/>
      <c r="F57" s="761" t="s">
        <v>158</v>
      </c>
      <c r="G57" s="761"/>
      <c r="H57" s="761" t="s">
        <v>228</v>
      </c>
      <c r="I57" s="761"/>
      <c r="J57" s="761" t="s">
        <v>94</v>
      </c>
      <c r="K57" s="761"/>
      <c r="L57" s="4"/>
      <c r="M57" s="165" t="str">
        <f>C60</f>
        <v>CMEX 
12,5</v>
      </c>
      <c r="N57" s="172"/>
      <c r="O57" s="173"/>
      <c r="P57" s="173"/>
      <c r="Q57" s="173"/>
      <c r="R57" s="174"/>
      <c r="S57" s="169"/>
      <c r="Y57" s="6"/>
      <c r="Z57" s="6"/>
      <c r="AB57" s="147"/>
      <c r="AC57" s="147"/>
      <c r="AD57" s="147"/>
      <c r="AE57" s="147"/>
      <c r="AF57" s="6"/>
      <c r="AG57" s="6"/>
      <c r="AH57" s="147"/>
      <c r="AI57" s="147"/>
    </row>
    <row r="58" spans="1:51" customHeight="1" ht="14.45">
      <c r="A58" s="175" t="s">
        <v>45</v>
      </c>
      <c r="B58" s="7" t="s">
        <v>159</v>
      </c>
      <c r="C58" s="176" t="s">
        <v>160</v>
      </c>
      <c r="D58" s="177" t="s">
        <v>229</v>
      </c>
      <c r="E58" s="178" t="s">
        <v>161</v>
      </c>
      <c r="F58" s="177" t="s">
        <v>229</v>
      </c>
      <c r="G58" s="178" t="s">
        <v>161</v>
      </c>
      <c r="H58" s="177" t="s">
        <v>229</v>
      </c>
      <c r="I58" s="178" t="s">
        <v>161</v>
      </c>
      <c r="J58" s="177" t="s">
        <v>229</v>
      </c>
      <c r="K58" s="178" t="s">
        <v>161</v>
      </c>
      <c r="L58" s="4"/>
      <c r="M58" s="165" t="str">
        <f>C61</f>
        <v>CMPA 
50</v>
      </c>
      <c r="N58" s="172"/>
      <c r="O58" s="173"/>
      <c r="P58" s="173"/>
      <c r="Q58" s="173"/>
      <c r="R58" s="174"/>
      <c r="U58" s="6"/>
      <c r="V58" s="6"/>
      <c r="W58" s="6"/>
      <c r="X58" s="6"/>
      <c r="Y58" s="6"/>
      <c r="AA58" s="147"/>
      <c r="AB58" s="147"/>
      <c r="AC58" s="147"/>
      <c r="AD58" s="6"/>
      <c r="AE58" s="6"/>
      <c r="AF58" s="147"/>
      <c r="AG58" s="147"/>
      <c r="AH58" s="147"/>
    </row>
    <row r="59" spans="1:51" customHeight="1" ht="16.15">
      <c r="A59" s="179">
        <f>C30</f>
        <v>0</v>
      </c>
      <c r="B59" s="179">
        <f>IF(A59=0,0,((A59*50)/$C$47))</f>
        <v>0</v>
      </c>
      <c r="C59" s="180" t="str">
        <f>C3</f>
        <v>CMEX
 50</v>
      </c>
      <c r="D59" s="181"/>
      <c r="E59" s="182"/>
      <c r="F59" s="183"/>
      <c r="G59" s="182"/>
      <c r="H59" s="183"/>
      <c r="I59" s="182"/>
      <c r="J59" s="183"/>
      <c r="K59" s="184"/>
      <c r="L59" s="4"/>
      <c r="M59" s="165" t="str">
        <f>C62</f>
        <v>CMPA 
25</v>
      </c>
      <c r="N59" s="172"/>
      <c r="O59" s="173"/>
      <c r="P59" s="173"/>
      <c r="Q59" s="173"/>
      <c r="R59" s="174"/>
      <c r="T59" s="169"/>
      <c r="U59" s="6"/>
      <c r="V59" s="6"/>
      <c r="W59" s="6"/>
      <c r="X59" s="6"/>
      <c r="Y59" s="6"/>
      <c r="Z59" s="6"/>
      <c r="AB59" s="147"/>
      <c r="AC59" s="147"/>
      <c r="AD59" s="147"/>
      <c r="AE59" s="147"/>
      <c r="AF59" s="6"/>
      <c r="AG59" s="6"/>
      <c r="AH59" s="147"/>
      <c r="AI59" s="147"/>
    </row>
    <row r="60" spans="1:51" customHeight="1" ht="15.6">
      <c r="A60" s="179">
        <f>D30/4</f>
        <v>0</v>
      </c>
      <c r="B60" s="179">
        <f>IF(A60=0,0,((A60*50)/$C$47))</f>
        <v>0</v>
      </c>
      <c r="C60" s="180" t="str">
        <f>D3</f>
        <v>CMEX 
12,5</v>
      </c>
      <c r="D60" s="185"/>
      <c r="E60" s="186"/>
      <c r="F60" s="187"/>
      <c r="G60" s="186"/>
      <c r="H60" s="187"/>
      <c r="I60" s="186"/>
      <c r="J60" s="187"/>
      <c r="K60" s="188"/>
      <c r="L60" s="4"/>
      <c r="M60" s="165" t="str">
        <f>C63</f>
        <v>SMGA 
50</v>
      </c>
      <c r="N60" s="172"/>
      <c r="O60" s="173"/>
      <c r="P60" s="173"/>
      <c r="Q60" s="173"/>
      <c r="R60" s="174"/>
      <c r="T60" s="169"/>
      <c r="U60" s="6"/>
      <c r="V60" s="6"/>
      <c r="W60" s="6"/>
      <c r="X60" s="6"/>
      <c r="Y60" s="6"/>
      <c r="Z60" s="6"/>
      <c r="AB60" s="147"/>
      <c r="AC60" s="147"/>
      <c r="AD60" s="147"/>
      <c r="AE60" s="147"/>
      <c r="AF60" s="6"/>
      <c r="AG60" s="6"/>
      <c r="AH60" s="147"/>
      <c r="AI60" s="147"/>
    </row>
    <row r="61" spans="1:51" customHeight="1" ht="15.6">
      <c r="A61" s="179">
        <f>E30</f>
        <v>0</v>
      </c>
      <c r="B61" s="179">
        <f>IF(A61=0,0,((A61*50)/$C$47))</f>
        <v>0</v>
      </c>
      <c r="C61" s="189" t="str">
        <f>E3</f>
        <v>CMPA 
50</v>
      </c>
      <c r="D61" s="185"/>
      <c r="E61" s="186"/>
      <c r="F61" s="187"/>
      <c r="G61" s="186"/>
      <c r="H61" s="187"/>
      <c r="I61" s="186"/>
      <c r="J61" s="187"/>
      <c r="K61" s="188"/>
      <c r="L61" s="4"/>
      <c r="M61" s="165" t="str">
        <f>C64</f>
        <v>SMGA 
12,5</v>
      </c>
      <c r="N61" s="172"/>
      <c r="O61" s="173"/>
      <c r="P61" s="173"/>
      <c r="Q61" s="173"/>
      <c r="R61" s="174"/>
      <c r="T61" s="4"/>
      <c r="U61" s="169"/>
      <c r="V61" s="169"/>
      <c r="W61" s="169"/>
      <c r="X61" s="169"/>
      <c r="Y61" s="169"/>
      <c r="Z61" s="6"/>
      <c r="AA61" s="6"/>
      <c r="AB61" s="6"/>
      <c r="AD61" s="147"/>
      <c r="AE61" s="147"/>
      <c r="AF61" s="147"/>
      <c r="AG61" s="147"/>
      <c r="AH61" s="147"/>
      <c r="AI61" s="6"/>
      <c r="AJ61" s="147"/>
      <c r="AK61" s="147"/>
    </row>
    <row r="62" spans="1:51" customHeight="1" ht="15.6">
      <c r="A62" s="179">
        <f>F30/2</f>
        <v>0</v>
      </c>
      <c r="B62" s="179">
        <f>IF(A62=0,0,((A62*50)/$C$47))</f>
        <v>0</v>
      </c>
      <c r="C62" s="189" t="str">
        <f>F3</f>
        <v>CMPA 
25</v>
      </c>
      <c r="D62" s="185"/>
      <c r="E62" s="186"/>
      <c r="F62" s="187"/>
      <c r="G62" s="186"/>
      <c r="H62" s="187"/>
      <c r="I62" s="186"/>
      <c r="J62" s="187"/>
      <c r="K62" s="188"/>
      <c r="L62" s="4"/>
      <c r="M62" s="165" t="str">
        <f>C69</f>
        <v>CMSD 
50</v>
      </c>
      <c r="N62" s="172"/>
      <c r="O62" s="173"/>
      <c r="P62" s="173"/>
      <c r="Q62" s="173"/>
      <c r="R62" s="174"/>
      <c r="T62" s="4"/>
      <c r="U62" s="169"/>
      <c r="V62" s="169"/>
      <c r="W62" s="169"/>
      <c r="X62" s="169"/>
      <c r="Y62" s="169"/>
      <c r="Z62" s="6"/>
      <c r="AA62" s="6"/>
      <c r="AB62" s="6"/>
      <c r="AD62" s="147"/>
      <c r="AE62" s="147"/>
      <c r="AF62" s="147"/>
      <c r="AG62" s="147"/>
      <c r="AH62" s="147"/>
      <c r="AI62" s="6"/>
      <c r="AJ62" s="147"/>
      <c r="AK62" s="147"/>
    </row>
    <row r="63" spans="1:51" customHeight="1" ht="15.6">
      <c r="A63" s="179">
        <f>G30</f>
        <v>0</v>
      </c>
      <c r="B63" s="179">
        <f>IF(A63=0,0,((A63*50)/$C$47))</f>
        <v>0</v>
      </c>
      <c r="C63" s="190" t="str">
        <f>G3</f>
        <v>SMGA 
50</v>
      </c>
      <c r="D63" s="185"/>
      <c r="E63" s="186"/>
      <c r="F63" s="187"/>
      <c r="G63" s="186"/>
      <c r="H63" s="187"/>
      <c r="I63" s="186"/>
      <c r="J63" s="187"/>
      <c r="K63" s="188"/>
      <c r="L63" s="4"/>
      <c r="M63" s="165" t="str">
        <f>C70</f>
        <v>CMSS 
50 </v>
      </c>
      <c r="N63" s="172"/>
      <c r="O63" s="173"/>
      <c r="P63" s="173"/>
      <c r="Q63" s="173"/>
      <c r="R63" s="174"/>
      <c r="T63" s="4"/>
      <c r="U63" s="169"/>
      <c r="V63" s="169"/>
      <c r="W63" s="169"/>
      <c r="X63" s="169"/>
      <c r="Y63" s="169"/>
      <c r="Z63" s="6"/>
      <c r="AA63" s="6"/>
      <c r="AB63" s="6"/>
      <c r="AD63" s="147"/>
      <c r="AE63" s="147"/>
      <c r="AF63" s="147"/>
      <c r="AG63" s="147"/>
      <c r="AH63" s="147"/>
      <c r="AI63" s="6"/>
      <c r="AJ63" s="147"/>
      <c r="AK63" s="147"/>
    </row>
    <row r="64" spans="1:51" customHeight="1" ht="16.15">
      <c r="A64" s="179">
        <f>H30/4</f>
        <v>0</v>
      </c>
      <c r="B64" s="179">
        <f>IF(A64=0,0,((A64*50)/$C$47))</f>
        <v>0</v>
      </c>
      <c r="C64" s="180" t="str">
        <f>H3</f>
        <v>SMGA 
12,5</v>
      </c>
      <c r="D64" s="191"/>
      <c r="E64" s="192"/>
      <c r="F64" s="193"/>
      <c r="G64" s="192"/>
      <c r="H64" s="193"/>
      <c r="I64" s="192"/>
      <c r="J64" s="194"/>
      <c r="K64" s="195"/>
      <c r="L64" s="4"/>
      <c r="M64" s="165" t="str">
        <f>C72</f>
        <v>CMAD 
50</v>
      </c>
      <c r="N64" s="196"/>
      <c r="O64" s="197"/>
      <c r="P64" s="197"/>
      <c r="Q64" s="197"/>
      <c r="R64" s="198"/>
      <c r="T64" s="4"/>
      <c r="U64" s="169"/>
      <c r="V64" s="169"/>
      <c r="W64" s="169"/>
      <c r="X64" s="169"/>
      <c r="Y64" s="169"/>
      <c r="Z64" s="6"/>
      <c r="AA64" s="6"/>
      <c r="AB64" s="6"/>
      <c r="AD64" s="147"/>
      <c r="AE64" s="147"/>
      <c r="AF64" s="147"/>
      <c r="AG64" s="147"/>
      <c r="AH64" s="147"/>
      <c r="AI64" s="6"/>
      <c r="AJ64" s="147"/>
      <c r="AK64" s="147"/>
    </row>
    <row r="65" spans="1:51" customHeight="1" ht="16.9">
      <c r="A65" s="179"/>
      <c r="B65" s="179"/>
      <c r="C65" s="548"/>
      <c r="D65" s="199"/>
      <c r="E65" s="200"/>
      <c r="F65" s="199"/>
      <c r="G65" s="200"/>
      <c r="H65" s="199"/>
      <c r="I65" s="200"/>
      <c r="J65" s="199"/>
      <c r="K65" s="201"/>
      <c r="L65" s="4"/>
      <c r="M65" s="202" t="s">
        <v>67</v>
      </c>
      <c r="N65" s="203">
        <f>($A$59*N56)+($A$60*N57)+($A$61*N58)+($A$62*N59)+($A$63*N60)+($A$64*N61)+($A$69*N62)+($A$70*N63)+($A$72*N64)</f>
        <v>0</v>
      </c>
      <c r="O65" s="203">
        <f>($A$59*O56)+($A$60*O57)+($A$61*O58)+($A$62*O59)+($A$63*O60)+($A$64*O61)+($A$69*O62)+($A$70*O63)+($A$72*O64)</f>
        <v>0</v>
      </c>
      <c r="P65" s="203">
        <f>($A$59*P56)+($A$60*P57)+($A$61*P58)+($A$62*P59)+($A$63*P60)+($A$64*P61)+($A$69*P62)+($A$70*P63)+($A$72*P64)</f>
        <v>0</v>
      </c>
      <c r="Q65" s="203">
        <f>($A$59*Q56)+($A$60*Q57)+($A$61*Q58)+($A$62*Q59)+($A$63*Q60)+($A$64*Q61)+($A$69*Q62)+($A$70*Q63)+($A$72*Q64)</f>
        <v>0</v>
      </c>
      <c r="R65" s="203">
        <f>($A$59*R56)+($A$60*R57)+($A$61*R58)+($A$62*R59)+($A$63*R60)+($A$64*R61)+($A$69*R62)+($A$70*R63)+($A$72*R64)</f>
        <v>0</v>
      </c>
      <c r="T65" s="4"/>
      <c r="U65" s="169"/>
      <c r="V65" s="169"/>
      <c r="W65" s="169"/>
      <c r="X65" s="169"/>
      <c r="Y65" s="169"/>
      <c r="Z65" s="6"/>
      <c r="AA65" s="6"/>
      <c r="AB65" s="6"/>
      <c r="AD65" s="147"/>
      <c r="AE65" s="147"/>
      <c r="AF65" s="147"/>
      <c r="AG65" s="147"/>
      <c r="AH65" s="147"/>
      <c r="AI65" s="6"/>
      <c r="AJ65" s="147"/>
      <c r="AK65" s="147"/>
    </row>
    <row r="66" spans="1:51" customHeight="1" ht="16.15">
      <c r="A66" s="179">
        <f>I30/2</f>
        <v>0</v>
      </c>
      <c r="B66" s="179">
        <f>IF(A66=0,0,((A66*50)/$C$47))</f>
        <v>0</v>
      </c>
      <c r="C66" s="204" t="str">
        <f>I3</f>
        <v>SMFU
25</v>
      </c>
      <c r="D66" s="181"/>
      <c r="E66" s="182"/>
      <c r="F66" s="183"/>
      <c r="G66" s="182"/>
      <c r="H66" s="183"/>
      <c r="I66" s="182"/>
      <c r="J66" s="183"/>
      <c r="K66" s="184"/>
      <c r="L66" s="4"/>
      <c r="M66" s="202" t="s">
        <v>141</v>
      </c>
      <c r="N66" s="205"/>
      <c r="O66" s="205"/>
      <c r="P66" s="205"/>
      <c r="Q66" s="205"/>
      <c r="R66" s="205"/>
      <c r="T66" s="4"/>
      <c r="U66" s="5"/>
      <c r="V66" s="5"/>
      <c r="W66" s="5"/>
      <c r="X66" s="5"/>
      <c r="Y66" s="5"/>
      <c r="Z66" s="206"/>
      <c r="AF66" s="147"/>
      <c r="AG66" s="147"/>
      <c r="AH66" s="147"/>
      <c r="AI66" s="6"/>
      <c r="AJ66" s="147"/>
      <c r="AK66" s="147"/>
    </row>
    <row r="67" spans="1:51" customHeight="1" ht="15.6">
      <c r="A67" s="179">
        <f>J30/2</f>
        <v>0</v>
      </c>
      <c r="B67" s="179">
        <f>IF(A67=0,0,((A67*50)/$C$47))</f>
        <v>0</v>
      </c>
      <c r="C67" s="204" t="str">
        <f>J3</f>
        <v>SMFE
25</v>
      </c>
      <c r="D67" s="185"/>
      <c r="E67" s="186"/>
      <c r="F67" s="187"/>
      <c r="G67" s="186"/>
      <c r="H67" s="187"/>
      <c r="I67" s="186"/>
      <c r="J67" s="207"/>
      <c r="K67" s="208"/>
      <c r="L67" s="4"/>
      <c r="M67" s="156"/>
      <c r="V67" s="5"/>
      <c r="W67" s="5"/>
      <c r="X67" s="5"/>
      <c r="Y67" s="5"/>
      <c r="Z67" s="206"/>
      <c r="AF67" s="147"/>
      <c r="AG67" s="147"/>
      <c r="AH67" s="147"/>
      <c r="AI67" s="6"/>
      <c r="AJ67" s="147"/>
      <c r="AK67" s="147"/>
      <c r="AL67" s="147"/>
      <c r="AM67" s="147"/>
    </row>
    <row r="68" spans="1:51" customHeight="1" ht="15.6">
      <c r="A68" s="179">
        <f>K30</f>
        <v>0</v>
      </c>
      <c r="B68" s="179">
        <f>IF(A68=0,0,((A68*50)/$C$47))</f>
        <v>0</v>
      </c>
      <c r="C68" s="180" t="str">
        <f>K3</f>
        <v>SMTH 
50</v>
      </c>
      <c r="D68" s="185"/>
      <c r="E68" s="186"/>
      <c r="F68" s="187"/>
      <c r="G68" s="186"/>
      <c r="H68" s="187"/>
      <c r="I68" s="186"/>
      <c r="J68" s="207"/>
      <c r="K68" s="208"/>
      <c r="L68" s="4"/>
      <c r="M68" s="209" t="s">
        <v>148</v>
      </c>
      <c r="N68" s="7" t="s">
        <v>149</v>
      </c>
      <c r="O68" s="7" t="s">
        <v>150</v>
      </c>
      <c r="AF68" s="147"/>
      <c r="AG68" s="147"/>
      <c r="AH68" s="147"/>
      <c r="AI68" s="6"/>
      <c r="AJ68" s="147"/>
      <c r="AK68" s="147"/>
      <c r="AL68" s="147"/>
      <c r="AM68" s="147"/>
    </row>
    <row r="69" spans="1:51" customHeight="1" ht="16.15">
      <c r="A69" s="179">
        <f>L30</f>
        <v>0</v>
      </c>
      <c r="B69" s="179">
        <f>IF(A69=0,0,((A69*50)/$C$47))</f>
        <v>0</v>
      </c>
      <c r="C69" s="180" t="str">
        <f>L3</f>
        <v>CMSD 
50</v>
      </c>
      <c r="D69" s="210"/>
      <c r="E69" s="186"/>
      <c r="F69" s="211"/>
      <c r="G69" s="186"/>
      <c r="H69" s="211"/>
      <c r="I69" s="186"/>
      <c r="J69" s="211"/>
      <c r="K69" s="188"/>
      <c r="L69" s="4"/>
      <c r="M69" s="209" t="s">
        <v>152</v>
      </c>
      <c r="N69" s="212">
        <v>11.5</v>
      </c>
      <c r="O69" s="212">
        <v>13.5</v>
      </c>
      <c r="P69" s="156" t="s">
        <v>152</v>
      </c>
      <c r="U69" s="213"/>
      <c r="V69" s="213"/>
      <c r="W69" s="213"/>
      <c r="X69" s="213"/>
      <c r="Y69" s="213"/>
      <c r="Z69" s="6"/>
      <c r="AF69" s="147"/>
      <c r="AG69" s="147"/>
      <c r="AH69" s="147"/>
      <c r="AI69" s="6"/>
      <c r="AJ69" s="147"/>
      <c r="AK69" s="147"/>
      <c r="AL69" s="147"/>
      <c r="AM69" s="147"/>
    </row>
    <row r="70" spans="1:51" customHeight="1" ht="16.15">
      <c r="A70" s="179">
        <f>M30</f>
        <v>0</v>
      </c>
      <c r="B70" s="179">
        <f>IF(A70=0,0,((A70*50)/$C$47))</f>
        <v>0</v>
      </c>
      <c r="C70" s="180" t="str">
        <f>M3</f>
        <v>CMSS 
50 </v>
      </c>
      <c r="D70" s="210"/>
      <c r="E70" s="186"/>
      <c r="F70" s="211"/>
      <c r="G70" s="186"/>
      <c r="H70" s="187"/>
      <c r="I70" s="186"/>
      <c r="J70" s="211"/>
      <c r="K70" s="188"/>
      <c r="L70" s="4"/>
      <c r="M70" s="202" t="s">
        <v>67</v>
      </c>
      <c r="N70" s="142">
        <f>SUM(A59+A60+A61+A62+A63+A64+A66+A68+A70+A71+A72+A73)*N69</f>
        <v>0</v>
      </c>
      <c r="O70" s="142">
        <f>(A67+A71)*O69</f>
        <v>0</v>
      </c>
      <c r="P70" s="156" t="s">
        <v>153</v>
      </c>
      <c r="U70" s="213"/>
      <c r="V70" s="213"/>
      <c r="W70" s="213"/>
      <c r="X70" s="213"/>
      <c r="Y70" s="213"/>
      <c r="Z70" s="6"/>
      <c r="AF70" s="147"/>
      <c r="AG70" s="147"/>
      <c r="AH70" s="147"/>
    </row>
    <row r="71" spans="1:51" customHeight="1" ht="15.6">
      <c r="A71" s="179">
        <f>N30</f>
        <v>0</v>
      </c>
      <c r="B71" s="179">
        <f>IF(A71=0,0,((A71*50)/$C$47))</f>
        <v>0</v>
      </c>
      <c r="C71" s="180" t="str">
        <f>N3</f>
        <v>SMTL
50</v>
      </c>
      <c r="D71" s="185"/>
      <c r="E71" s="186"/>
      <c r="F71" s="187"/>
      <c r="G71" s="186"/>
      <c r="H71" s="187"/>
      <c r="I71" s="186"/>
      <c r="J71" s="187"/>
      <c r="K71" s="188"/>
      <c r="L71" s="4"/>
      <c r="M71" s="202" t="s">
        <v>141</v>
      </c>
      <c r="N71" s="214"/>
      <c r="O71" s="214"/>
      <c r="P71" s="156" t="s">
        <v>153</v>
      </c>
      <c r="U71" s="213"/>
      <c r="V71" s="213"/>
      <c r="W71" s="213"/>
      <c r="X71" s="213"/>
      <c r="Y71" s="213"/>
      <c r="Z71" s="6"/>
      <c r="AF71" s="147"/>
      <c r="AG71" s="147"/>
      <c r="AH71" s="147"/>
    </row>
    <row r="72" spans="1:51" customHeight="1" ht="15.6">
      <c r="A72" s="179">
        <f>O30</f>
        <v>0</v>
      </c>
      <c r="B72" s="179">
        <f>IF(A72=0,0,((A72*50)/$C$47))</f>
        <v>0</v>
      </c>
      <c r="C72" s="180" t="str">
        <f>O3</f>
        <v>CMAD 
50</v>
      </c>
      <c r="D72" s="210"/>
      <c r="E72" s="186"/>
      <c r="F72" s="211"/>
      <c r="G72" s="186"/>
      <c r="H72" s="187"/>
      <c r="I72" s="186"/>
      <c r="J72" s="211"/>
      <c r="K72" s="188"/>
      <c r="L72" s="4"/>
      <c r="S72" s="213"/>
      <c r="U72" s="213"/>
      <c r="V72" s="213"/>
      <c r="W72" s="213"/>
      <c r="X72" s="213"/>
      <c r="Y72" s="213"/>
      <c r="Z72" s="6"/>
      <c r="AF72" s="147"/>
      <c r="AG72" s="147"/>
      <c r="AH72" s="147"/>
    </row>
    <row r="73" spans="1:51" customHeight="1" ht="16.15">
      <c r="A73" s="179">
        <f>P30/2</f>
        <v>0</v>
      </c>
      <c r="B73" s="179">
        <f>IF(A73=0,0,((A73*50)/$C$47))</f>
        <v>0</v>
      </c>
      <c r="C73" s="180" t="str">
        <f>P3</f>
        <v>XXX
25</v>
      </c>
      <c r="D73" s="191"/>
      <c r="E73" s="192"/>
      <c r="F73" s="193"/>
      <c r="G73" s="192"/>
      <c r="H73" s="193"/>
      <c r="I73" s="192"/>
      <c r="J73" s="193"/>
      <c r="K73" s="215"/>
      <c r="L73" s="4"/>
      <c r="M73" s="756" t="s">
        <v>230</v>
      </c>
      <c r="N73" s="756"/>
      <c r="O73" s="756"/>
      <c r="P73" s="756"/>
      <c r="Q73" s="756"/>
      <c r="S73" s="213"/>
      <c r="U73" s="213"/>
      <c r="V73" s="213"/>
      <c r="W73" s="213"/>
      <c r="X73" s="213"/>
      <c r="Y73" s="213"/>
      <c r="Z73" s="6"/>
      <c r="AF73" s="147"/>
      <c r="AG73" s="147"/>
      <c r="AH73" s="147"/>
    </row>
    <row r="74" spans="1:51" customHeight="1" ht="15">
      <c r="A74" s="179"/>
      <c r="B74" s="179"/>
      <c r="C74" s="216"/>
      <c r="D74" s="4"/>
      <c r="E74" s="4"/>
      <c r="F74" s="4"/>
      <c r="G74" s="4"/>
      <c r="H74" s="4"/>
      <c r="I74" s="4"/>
      <c r="J74" s="4"/>
      <c r="K74" s="4"/>
      <c r="L74" s="4"/>
      <c r="M74" s="762" t="s">
        <v>231</v>
      </c>
      <c r="N74" s="762"/>
      <c r="O74" s="762"/>
      <c r="P74" s="763"/>
      <c r="Q74" s="763"/>
      <c r="S74" s="213"/>
      <c r="U74" s="213"/>
      <c r="V74" s="213"/>
      <c r="W74" s="213"/>
      <c r="X74" s="213"/>
      <c r="Y74" s="213"/>
      <c r="Z74" s="6"/>
      <c r="AF74" s="147"/>
      <c r="AG74" s="147"/>
      <c r="AH74" s="147"/>
    </row>
    <row r="75" spans="1:51" customHeight="1" ht="16.9">
      <c r="A75" s="179">
        <f>U36</f>
        <v>0</v>
      </c>
      <c r="B75" s="179">
        <f>IF(A75=0,0,((A75*25)))</f>
        <v>0</v>
      </c>
      <c r="C75" s="217" t="s">
        <v>232</v>
      </c>
      <c r="D75" s="218"/>
      <c r="E75" s="219"/>
      <c r="F75" s="220"/>
      <c r="G75" s="219"/>
      <c r="H75" s="220"/>
      <c r="I75" s="219"/>
      <c r="J75" s="220"/>
      <c r="K75" s="221"/>
      <c r="L75" s="4"/>
      <c r="M75" s="764" t="s">
        <v>233</v>
      </c>
      <c r="N75" s="764"/>
      <c r="O75" s="764"/>
      <c r="P75" s="763"/>
      <c r="Q75" s="763"/>
      <c r="S75" s="213"/>
      <c r="U75" s="213"/>
      <c r="V75" s="213"/>
      <c r="W75" s="213"/>
      <c r="X75" s="213"/>
      <c r="Y75" s="213"/>
      <c r="Z75" s="6"/>
      <c r="AF75" s="147"/>
      <c r="AG75" s="147"/>
      <c r="AH75" s="147"/>
    </row>
    <row r="76" spans="1:51" customHeight="1" ht="13.9">
      <c r="A76" s="55"/>
      <c r="B76" s="179">
        <f>SUM(B59:B75)</f>
        <v>0</v>
      </c>
      <c r="L76" s="4"/>
      <c r="M76" s="764" t="s">
        <v>234</v>
      </c>
      <c r="N76" s="764"/>
      <c r="O76" s="764"/>
      <c r="P76" s="763"/>
      <c r="Q76" s="763"/>
      <c r="S76" s="213"/>
      <c r="U76" s="6"/>
      <c r="V76" s="6"/>
      <c r="W76" s="6"/>
      <c r="X76" s="6"/>
      <c r="Y76" s="6"/>
      <c r="Z76" s="6"/>
      <c r="AC76" s="147"/>
      <c r="AD76" s="147"/>
      <c r="AE76" s="147"/>
    </row>
    <row r="77" spans="1:51" customHeight="1" ht="13.9">
      <c r="A77" s="3"/>
      <c r="L77" s="4"/>
      <c r="M77" s="765" t="s">
        <v>235</v>
      </c>
      <c r="N77" s="765"/>
      <c r="O77" s="765"/>
      <c r="P77" s="766"/>
      <c r="Q77" s="766"/>
      <c r="S77" s="213"/>
      <c r="T77" s="213"/>
      <c r="U77" s="6"/>
      <c r="V77" s="6"/>
      <c r="W77" s="6"/>
      <c r="X77" s="6"/>
      <c r="Y77" s="6"/>
      <c r="Z77" s="6"/>
      <c r="AC77" s="147"/>
      <c r="AD77" s="147"/>
      <c r="AE77" s="147"/>
    </row>
    <row r="78" spans="1:51" customHeight="1" ht="13.9">
      <c r="A78" s="3"/>
      <c r="L78" s="4"/>
      <c r="M78" s="762" t="s">
        <v>236</v>
      </c>
      <c r="N78" s="762"/>
      <c r="O78" s="762"/>
      <c r="P78" s="763"/>
      <c r="Q78" s="763"/>
      <c r="S78" s="213"/>
      <c r="T78" s="213"/>
      <c r="U78" s="6"/>
      <c r="V78" s="6"/>
      <c r="W78" s="6"/>
      <c r="X78" s="6"/>
      <c r="Y78" s="6"/>
      <c r="Z78" s="6"/>
      <c r="AC78" s="147"/>
      <c r="AD78" s="147"/>
      <c r="AE78" s="147"/>
    </row>
    <row r="79" spans="1:51">
      <c r="A79" s="3"/>
      <c r="C79" s="4"/>
      <c r="L79" s="4"/>
      <c r="M79" s="764" t="s">
        <v>237</v>
      </c>
      <c r="N79" s="764"/>
      <c r="O79" s="764"/>
      <c r="P79" s="763"/>
      <c r="Q79" s="763"/>
      <c r="S79" s="213"/>
      <c r="T79" s="213"/>
      <c r="U79" s="6"/>
      <c r="V79" s="6"/>
      <c r="W79" s="6"/>
      <c r="X79" s="6"/>
      <c r="Y79" s="6"/>
      <c r="Z79" s="6"/>
      <c r="AC79" s="147"/>
      <c r="AD79" s="147"/>
      <c r="AE79" s="147"/>
    </row>
    <row r="80" spans="1:51">
      <c r="A80" s="3"/>
      <c r="C80" s="222"/>
      <c r="D80" s="4"/>
      <c r="E80" s="4"/>
      <c r="L80" s="4"/>
      <c r="M80" s="764" t="s">
        <v>238</v>
      </c>
      <c r="N80" s="764"/>
      <c r="O80" s="764"/>
      <c r="P80" s="763"/>
      <c r="Q80" s="763"/>
      <c r="S80" s="213"/>
      <c r="T80" s="213"/>
      <c r="U80" s="6"/>
      <c r="V80" s="6"/>
      <c r="W80" s="6"/>
      <c r="X80" s="6"/>
      <c r="Y80" s="6"/>
      <c r="Z80" s="6"/>
      <c r="AC80" s="147"/>
      <c r="AD80" s="147"/>
      <c r="AE80" s="147"/>
    </row>
    <row r="81" spans="1:51">
      <c r="A81" s="3"/>
      <c r="D81" s="4"/>
      <c r="E81" s="4"/>
      <c r="L81" s="4"/>
      <c r="M81" s="764" t="s">
        <v>239</v>
      </c>
      <c r="N81" s="764"/>
      <c r="O81" s="764"/>
      <c r="P81" s="763"/>
      <c r="Q81" s="763"/>
      <c r="S81" s="213"/>
      <c r="T81" s="213"/>
      <c r="U81" s="6"/>
      <c r="V81" s="6"/>
      <c r="W81" s="6"/>
      <c r="X81" s="6"/>
      <c r="Y81" s="6"/>
      <c r="Z81" s="6"/>
      <c r="AC81" s="147"/>
      <c r="AD81" s="147"/>
      <c r="AE81" s="147"/>
    </row>
    <row r="82" spans="1:51">
      <c r="A82" s="3"/>
      <c r="D82" s="4"/>
      <c r="E82" s="4"/>
      <c r="R82" s="4"/>
      <c r="S82" s="213"/>
      <c r="T82" s="213"/>
      <c r="U82" s="6"/>
      <c r="V82" s="6"/>
      <c r="W82" s="6"/>
      <c r="X82" s="6"/>
      <c r="Y82" s="6"/>
      <c r="Z82" s="6"/>
      <c r="AC82" s="147"/>
      <c r="AD82" s="147"/>
      <c r="AE82" s="147"/>
    </row>
    <row r="83" spans="1:51">
      <c r="A83" s="3"/>
      <c r="D83" s="4"/>
      <c r="E83" s="4"/>
      <c r="L83" s="4"/>
      <c r="R83" s="4"/>
      <c r="S83" s="213"/>
      <c r="T83" s="213"/>
      <c r="U83" s="6"/>
      <c r="V83" s="6"/>
      <c r="W83" s="6"/>
      <c r="X83" s="6"/>
      <c r="Y83" s="6"/>
      <c r="Z83" s="6"/>
      <c r="AC83" s="147"/>
      <c r="AD83" s="147"/>
      <c r="AE83" s="147"/>
    </row>
    <row r="84" spans="1:51">
      <c r="A84" s="3"/>
      <c r="D84" s="4"/>
      <c r="E84" s="4"/>
      <c r="L84" s="4"/>
      <c r="R84" s="4"/>
      <c r="S84" s="213"/>
      <c r="T84" s="213"/>
      <c r="U84" s="6"/>
      <c r="V84" s="6"/>
      <c r="W84" s="6"/>
      <c r="X84" s="6"/>
      <c r="Y84" s="6"/>
      <c r="Z84" s="6"/>
      <c r="AC84" s="147"/>
      <c r="AD84" s="147"/>
      <c r="AE84" s="147"/>
    </row>
    <row r="85" spans="1:51">
      <c r="A85" s="3"/>
      <c r="C85" s="222"/>
      <c r="D85" s="4"/>
      <c r="E85" s="4"/>
      <c r="L85" s="4"/>
      <c r="R85" s="4"/>
      <c r="S85" s="213"/>
      <c r="T85" s="213"/>
      <c r="U85" s="6"/>
      <c r="V85" s="6"/>
      <c r="W85" s="6"/>
      <c r="X85" s="6"/>
      <c r="Y85" s="6"/>
      <c r="Z85" s="6"/>
      <c r="AC85" s="147"/>
      <c r="AD85" s="147"/>
      <c r="AE85" s="147"/>
    </row>
    <row r="86" spans="1:51">
      <c r="A86" s="3"/>
      <c r="C86" s="4"/>
      <c r="D86" s="4"/>
      <c r="E86" s="4"/>
      <c r="L86" s="4"/>
      <c r="R86" s="4"/>
      <c r="S86" s="213"/>
      <c r="T86" s="213"/>
      <c r="U86" s="6"/>
      <c r="V86" s="6"/>
      <c r="W86" s="6"/>
      <c r="X86" s="6"/>
      <c r="Y86" s="6"/>
      <c r="Z86" s="6"/>
      <c r="AC86" s="147"/>
      <c r="AD86" s="147"/>
      <c r="AE86" s="147"/>
    </row>
    <row r="87" spans="1:51">
      <c r="A87" s="3"/>
      <c r="C87" s="222"/>
      <c r="D87" s="4"/>
      <c r="E87" s="4"/>
      <c r="L87" s="4"/>
      <c r="R87" s="4"/>
      <c r="S87" s="4"/>
      <c r="T87" s="213"/>
      <c r="U87" s="6"/>
      <c r="V87" s="6"/>
      <c r="W87" s="6"/>
      <c r="X87" s="6"/>
      <c r="Y87" s="6"/>
      <c r="Z87" s="6"/>
      <c r="AC87" s="147"/>
      <c r="AD87" s="147"/>
      <c r="AE87" s="147"/>
    </row>
    <row r="88" spans="1:51">
      <c r="A88" s="3"/>
      <c r="C88" s="222"/>
      <c r="D88" s="4"/>
      <c r="E88" s="4"/>
      <c r="L88" s="4"/>
      <c r="R88" s="4"/>
      <c r="S88" s="4"/>
      <c r="T88" s="213"/>
      <c r="U88" s="6"/>
      <c r="V88" s="6"/>
      <c r="W88" s="6"/>
      <c r="X88" s="6"/>
      <c r="Y88" s="6"/>
      <c r="Z88" s="6"/>
      <c r="AC88" s="147"/>
      <c r="AD88" s="147"/>
      <c r="AE88" s="147"/>
    </row>
    <row r="89" spans="1:51">
      <c r="A89" s="3"/>
      <c r="L89" s="4"/>
      <c r="R89" s="4"/>
      <c r="T89" s="213"/>
      <c r="U89" s="6"/>
      <c r="V89" s="6"/>
      <c r="W89" s="6"/>
      <c r="X89" s="6"/>
      <c r="Y89" s="6"/>
      <c r="Z89" s="6"/>
      <c r="AC89" s="147"/>
      <c r="AD89" s="147"/>
      <c r="AE89" s="147"/>
    </row>
    <row r="90" spans="1:51">
      <c r="L90" s="4"/>
      <c r="R90" s="4"/>
      <c r="T90" s="213"/>
      <c r="U90" s="6"/>
      <c r="V90" s="6"/>
      <c r="W90" s="6"/>
      <c r="X90" s="6"/>
      <c r="Y90" s="6"/>
      <c r="Z90" s="6"/>
      <c r="AC90" s="147"/>
      <c r="AD90" s="147"/>
      <c r="AE90" s="147"/>
    </row>
    <row r="91" spans="1:51">
      <c r="H91" s="3"/>
      <c r="L91" s="4"/>
      <c r="M91" s="4"/>
      <c r="N91" s="4"/>
      <c r="P91" s="4"/>
      <c r="R91" s="4"/>
      <c r="T91" s="213"/>
      <c r="U91" s="6"/>
      <c r="V91" s="6"/>
      <c r="W91" s="6"/>
      <c r="X91" s="6"/>
      <c r="Y91" s="6"/>
      <c r="Z91" s="6"/>
      <c r="AC91" s="147"/>
      <c r="AD91" s="147"/>
      <c r="AE91" s="147"/>
      <c r="AJ91" s="147"/>
      <c r="AK91" s="147"/>
    </row>
    <row r="92" spans="1:51">
      <c r="L92" s="4"/>
      <c r="M92" s="4"/>
      <c r="N92" s="4"/>
      <c r="P92" s="4"/>
      <c r="R92" s="4"/>
      <c r="S92" s="213"/>
      <c r="T92" s="4"/>
      <c r="U92" s="4"/>
      <c r="W92" s="4"/>
      <c r="Y92" s="4"/>
      <c r="Z92" s="213"/>
      <c r="AA92" s="213"/>
      <c r="AB92" s="6"/>
      <c r="AC92" s="6"/>
      <c r="AD92" s="6"/>
      <c r="AE92" s="6"/>
      <c r="AF92" s="6"/>
      <c r="AG92" s="6"/>
      <c r="AH92" s="6"/>
      <c r="AK92" s="147"/>
      <c r="AL92" s="147"/>
      <c r="AQ92" s="147"/>
      <c r="AR92" s="147"/>
    </row>
    <row r="93" spans="1:51">
      <c r="S93" s="213"/>
      <c r="T93" s="4"/>
      <c r="U93" s="4"/>
      <c r="W93" s="4"/>
      <c r="Z93" s="213"/>
      <c r="AA93" s="213"/>
      <c r="AB93" s="6"/>
      <c r="AC93" s="6"/>
      <c r="AD93" s="6"/>
      <c r="AE93" s="6"/>
      <c r="AF93" s="6"/>
      <c r="AG93" s="6"/>
      <c r="AH93" s="6"/>
      <c r="AK93" s="147"/>
      <c r="AL93" s="147"/>
      <c r="AQ93" s="147"/>
      <c r="AR93" s="147"/>
    </row>
    <row r="94" spans="1:51">
      <c r="T94" s="213"/>
      <c r="U94" s="4"/>
      <c r="V94" s="4"/>
      <c r="X94" s="4"/>
      <c r="AA94" s="213"/>
      <c r="AB94" s="213"/>
      <c r="AC94" s="6"/>
      <c r="AD94" s="6"/>
      <c r="AE94" s="6"/>
      <c r="AF94" s="6"/>
      <c r="AG94" s="6"/>
      <c r="AH94" s="6"/>
      <c r="AI94" s="6"/>
      <c r="AL94" s="147"/>
      <c r="AM94" s="147"/>
      <c r="AR94" s="147"/>
      <c r="AS94" s="147"/>
    </row>
    <row r="95" spans="1:51">
      <c r="U95" s="4"/>
      <c r="V95" s="4"/>
      <c r="X95" s="4"/>
      <c r="AA95" s="213"/>
      <c r="AB95" s="213"/>
      <c r="AC95" s="6"/>
      <c r="AD95" s="6"/>
      <c r="AE95" s="6"/>
      <c r="AF95" s="6"/>
      <c r="AG95" s="6"/>
      <c r="AH95" s="6"/>
      <c r="AI95" s="6"/>
      <c r="AL95" s="147"/>
      <c r="AM95" s="147"/>
      <c r="AR95" s="147"/>
      <c r="AS95" s="147"/>
    </row>
    <row r="96" spans="1:51">
      <c r="V96" s="4"/>
      <c r="X96" s="4"/>
      <c r="AA96" s="213"/>
      <c r="AB96" s="213"/>
      <c r="AC96" s="6"/>
      <c r="AD96" s="6"/>
      <c r="AE96" s="6"/>
      <c r="AF96" s="6"/>
      <c r="AG96" s="6"/>
      <c r="AH96" s="6"/>
      <c r="AI96" s="6"/>
      <c r="AL96" s="147"/>
      <c r="AM96" s="147"/>
      <c r="AR96" s="147"/>
      <c r="AS96" s="147"/>
    </row>
    <row r="97" spans="1:51">
      <c r="U97" s="6"/>
      <c r="V97" s="6"/>
      <c r="W97" s="6"/>
      <c r="X97" s="6"/>
      <c r="Y97" s="6"/>
      <c r="Z97" s="6"/>
      <c r="AC97" s="147"/>
      <c r="AD97" s="147"/>
      <c r="AE97" s="147"/>
      <c r="AJ97" s="147"/>
      <c r="AK97" s="147"/>
    </row>
    <row r="98" spans="1:51">
      <c r="M98" s="4"/>
      <c r="O98" s="4"/>
      <c r="R98" s="213"/>
      <c r="U98" s="6"/>
      <c r="V98" s="6"/>
      <c r="W98" s="6"/>
      <c r="X98" s="6"/>
      <c r="Y98" s="6"/>
      <c r="Z98" s="6"/>
      <c r="AC98" s="147"/>
      <c r="AD98" s="147"/>
      <c r="AE98" s="147"/>
      <c r="AJ98" s="147"/>
      <c r="AK98" s="147"/>
    </row>
    <row r="99" spans="1:51">
      <c r="N99" s="4"/>
      <c r="P99" s="4"/>
      <c r="Y99" s="6"/>
      <c r="Z99" s="6"/>
      <c r="AC99" s="147"/>
      <c r="AD99" s="147"/>
      <c r="AE99" s="147"/>
      <c r="AJ99" s="147"/>
      <c r="AK99" s="147"/>
    </row>
    <row r="100" spans="1:51">
      <c r="P100" s="4"/>
    </row>
    <row r="101" spans="1:51">
      <c r="P101" s="4"/>
    </row>
    <row r="102" spans="1:51">
      <c r="P102" s="4"/>
    </row>
    <row r="103" spans="1:51">
      <c r="P103" s="4"/>
    </row>
  </sheetData>
  <mergeCells>
    <mergeCell ref="M80:O80"/>
    <mergeCell ref="P80:Q80"/>
    <mergeCell ref="M81:O81"/>
    <mergeCell ref="P81:Q81"/>
    <mergeCell ref="M77:O77"/>
    <mergeCell ref="P77:Q77"/>
    <mergeCell ref="M78:O78"/>
    <mergeCell ref="P78:Q78"/>
    <mergeCell ref="M79:O79"/>
    <mergeCell ref="P79:Q79"/>
    <mergeCell ref="M74:O74"/>
    <mergeCell ref="P74:Q74"/>
    <mergeCell ref="M75:O75"/>
    <mergeCell ref="P75:Q75"/>
    <mergeCell ref="M76:O76"/>
    <mergeCell ref="P76:Q76"/>
    <mergeCell ref="M73:Q73"/>
    <mergeCell ref="N51:R51"/>
    <mergeCell ref="A52:B52"/>
    <mergeCell ref="J52:K52"/>
    <mergeCell ref="L52:M52"/>
    <mergeCell ref="N52:P52"/>
    <mergeCell ref="A53:B53"/>
    <mergeCell ref="J53:K53"/>
    <mergeCell ref="L53:M53"/>
    <mergeCell ref="N53:P53"/>
    <mergeCell ref="A54:B54"/>
    <mergeCell ref="D57:E57"/>
    <mergeCell ref="F57:G57"/>
    <mergeCell ref="H57:I57"/>
    <mergeCell ref="J57:K57"/>
    <mergeCell ref="A50:B50"/>
    <mergeCell ref="G50:H50"/>
    <mergeCell ref="J50:K50"/>
    <mergeCell ref="L50:M50"/>
    <mergeCell ref="A51:B51"/>
    <mergeCell ref="F51:G51"/>
    <mergeCell ref="J51:K51"/>
    <mergeCell ref="L51:M51"/>
    <mergeCell ref="V48:W48"/>
    <mergeCell ref="A49:B49"/>
    <mergeCell ref="G49:H49"/>
    <mergeCell ref="J49:K49"/>
    <mergeCell ref="L49:M49"/>
    <mergeCell ref="P49:Q49"/>
    <mergeCell ref="S49:T49"/>
    <mergeCell ref="V49:W49"/>
    <mergeCell ref="A48:B48"/>
    <mergeCell ref="G48:H48"/>
    <mergeCell ref="J48:M48"/>
    <mergeCell ref="P48:Q48"/>
    <mergeCell ref="S48:T48"/>
    <mergeCell ref="A47:B47"/>
    <mergeCell ref="G47:H47"/>
    <mergeCell ref="P47:Q47"/>
    <mergeCell ref="S47:T47"/>
    <mergeCell ref="V47:W47"/>
    <mergeCell ref="V46:W46"/>
    <mergeCell ref="A45:B45"/>
    <mergeCell ref="F45:G45"/>
    <mergeCell ref="J45:K45"/>
    <mergeCell ref="P45:Q45"/>
    <mergeCell ref="S45:T45"/>
    <mergeCell ref="V45:W45"/>
    <mergeCell ref="A46:B46"/>
    <mergeCell ref="F46:G46"/>
    <mergeCell ref="J46:K46"/>
    <mergeCell ref="P46:Q46"/>
    <mergeCell ref="S46:T46"/>
    <mergeCell ref="V44:W44"/>
    <mergeCell ref="Y32:Z32"/>
    <mergeCell ref="Z33:AA33"/>
    <mergeCell ref="A43:D43"/>
    <mergeCell ref="F43:H43"/>
    <mergeCell ref="J43:L43"/>
    <mergeCell ref="P43:Q43"/>
    <mergeCell ref="S43:T43"/>
    <mergeCell ref="V43:W43"/>
    <mergeCell ref="A44:B44"/>
    <mergeCell ref="F44:G44"/>
    <mergeCell ref="J44:K44"/>
    <mergeCell ref="P44:Q44"/>
    <mergeCell ref="S44:T44"/>
    <mergeCell ref="B1:R1"/>
    <mergeCell ref="AC1:AH1"/>
    <mergeCell ref="AI1:AS1"/>
    <mergeCell ref="AI2:AK2"/>
    <mergeCell ref="AM2:AP2"/>
    <mergeCell ref="AR2:AW2"/>
  </mergeCells>
  <conditionalFormatting sqref="I48">
    <cfRule type="cellIs" dxfId="3" priority="4" operator="greaterThanOrEqual" stopIfTrue="1">
      <formula>$G$47/2</formula>
    </cfRule>
  </conditionalFormatting>
  <conditionalFormatting sqref="I49">
    <cfRule type="cellIs" dxfId="0" priority="5" operator="lessThan" stopIfTrue="1">
      <formula>0.935</formula>
    </cfRule>
  </conditionalFormatting>
  <conditionalFormatting sqref="AA3">
    <cfRule type="cellIs" dxfId="1" priority="3" operator="lessThan" stopIfTrue="1">
      <formula>0.76</formula>
    </cfRule>
  </conditionalFormatting>
  <conditionalFormatting sqref="AA4:AA29">
    <cfRule type="cellIs" dxfId="2" priority="6" operator="lessThan" stopIfTrue="1">
      <formula>0.765</formula>
    </cfRule>
  </conditionalFormatting>
  <conditionalFormatting sqref="AA30 Z66:Z67 Z69:Z75 U76:X91 AB92:AD93 AF92:AF93 AC94:AD96 AF94:AG96 U97:X98">
    <cfRule type="cellIs" dxfId="1" priority="7" operator="lessThan" stopIfTrue="1">
      <formula>0.76</formula>
    </cfRule>
  </conditionalFormatting>
  <conditionalFormatting sqref="AA36:AA39">
    <cfRule type="cellIs" dxfId="2" priority="1" operator="lessThan" stopIfTrue="1">
      <formula>0.765</formula>
    </cfRule>
  </conditionalFormatting>
  <conditionalFormatting sqref="AC1:AD1 AE92:AE96">
    <cfRule type="cellIs" dxfId="1" priority="2" operator="lessThan" stopIfTrue="1">
      <formula>0.76</formula>
    </cfRule>
  </conditionalFormatting>
  <printOptions gridLines="false" gridLinesSet="true" horizontalCentered="true"/>
  <pageMargins left="0" right="0" top="0.51181102362205" bottom="0.23622047244094" header="0" footer="0"/>
  <pageSetup paperSize="1" orientation="landscape" scale="100" fitToHeight="1" fitToWidth="1" pageOrder="downThenOver" r:id="rId1ps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0" workbookViewId="0" showGridLines="true" showRowColHeaders="1">
      <selection activeCell="G12" sqref="G12"/>
    </sheetView>
  </sheetViews>
  <sheetFormatPr defaultRowHeight="14.4" defaultColWidth="11.42578125" outlineLevelRow="0" outlineLevelCol="0"/>
  <cols>
    <col min="2" max="2" width="0" hidden="true" customWidth="true" style="0"/>
    <col min="3" max="3" width="0" hidden="true" customWidth="true" style="0"/>
    <col min="4" max="4" width="0" hidden="true" customWidth="true" style="0"/>
  </cols>
  <sheetData>
    <row r="1" spans="1:7">
      <c r="A1" t="s">
        <v>240</v>
      </c>
      <c r="B1" s="317" t="s">
        <v>241</v>
      </c>
      <c r="C1" s="317" t="s">
        <v>242</v>
      </c>
      <c r="D1" s="317" t="s">
        <v>243</v>
      </c>
      <c r="E1" s="317" t="s">
        <v>241</v>
      </c>
      <c r="F1" s="317" t="s">
        <v>242</v>
      </c>
      <c r="G1" s="317" t="s">
        <v>243</v>
      </c>
    </row>
    <row r="2" spans="1:7">
      <c r="A2" t="s">
        <v>244</v>
      </c>
      <c r="B2">
        <v>6375</v>
      </c>
      <c r="C2">
        <v>375</v>
      </c>
      <c r="D2">
        <v>750</v>
      </c>
      <c r="E2" s="581">
        <f>+B2/SUM($B2:$D2)</f>
        <v>0.85</v>
      </c>
      <c r="F2" s="581">
        <f>+C2/SUM($B2:$D2)</f>
        <v>0.05</v>
      </c>
      <c r="G2" s="581">
        <f>+D2/SUM($B2:$D2)</f>
        <v>0.1</v>
      </c>
    </row>
    <row r="3" spans="1:7">
      <c r="A3" s="317" t="s">
        <v>245</v>
      </c>
      <c r="B3">
        <v>5625</v>
      </c>
      <c r="C3">
        <v>1875</v>
      </c>
      <c r="D3">
        <v>0</v>
      </c>
      <c r="E3" s="581">
        <f>+B3/SUM($B3:$D3)</f>
        <v>0.75</v>
      </c>
      <c r="F3" s="581">
        <f>+C3/SUM($B3:$D3)</f>
        <v>0.25</v>
      </c>
      <c r="G3" s="581">
        <f>+D3/SUM($B3:$D3)</f>
        <v>0</v>
      </c>
    </row>
    <row r="4" spans="1:7">
      <c r="A4" s="317" t="s">
        <v>246</v>
      </c>
      <c r="B4">
        <v>5625</v>
      </c>
      <c r="C4">
        <v>1875</v>
      </c>
      <c r="D4">
        <v>0</v>
      </c>
      <c r="E4" s="581">
        <f>+B4/SUM($B4:$D4)</f>
        <v>0.75</v>
      </c>
      <c r="F4" s="581">
        <f>+C4/SUM($B4:$D4)</f>
        <v>0.25</v>
      </c>
      <c r="G4" s="581">
        <f>+D4/SUM($B4:$D4)</f>
        <v>0</v>
      </c>
    </row>
    <row r="5" spans="1:7">
      <c r="A5" s="317" t="s">
        <v>247</v>
      </c>
      <c r="B5">
        <v>5625</v>
      </c>
      <c r="C5">
        <v>1875</v>
      </c>
      <c r="D5">
        <v>0</v>
      </c>
      <c r="E5" s="581">
        <f>+B5/SUM($B5:$D5)</f>
        <v>0.75</v>
      </c>
      <c r="F5" s="581">
        <f>+C5/SUM($B5:$D5)</f>
        <v>0.25</v>
      </c>
      <c r="G5" s="581">
        <f>+D5/SUM($B5:$D5)</f>
        <v>0</v>
      </c>
    </row>
    <row r="6" spans="1:7">
      <c r="A6" s="317" t="s">
        <v>248</v>
      </c>
      <c r="B6">
        <v>0</v>
      </c>
      <c r="C6">
        <v>7500</v>
      </c>
      <c r="D6">
        <v>0</v>
      </c>
      <c r="E6" s="581">
        <f>+B6/SUM($B6:$D6)</f>
        <v>0</v>
      </c>
      <c r="F6" s="581">
        <f>+C6/SUM($B6:$D6)</f>
        <v>1</v>
      </c>
      <c r="G6" s="581">
        <f>+D6/SUM($B6:$D6)</f>
        <v>0</v>
      </c>
    </row>
    <row r="7" spans="1:7">
      <c r="A7" s="317" t="s">
        <v>249</v>
      </c>
      <c r="B7">
        <v>5625</v>
      </c>
      <c r="C7">
        <v>1875</v>
      </c>
      <c r="D7">
        <v>0</v>
      </c>
      <c r="E7" s="581">
        <f>+B7/SUM($B7:$D7)</f>
        <v>0.75</v>
      </c>
      <c r="F7" s="581">
        <f>+C7/SUM($B7:$D7)</f>
        <v>0.25</v>
      </c>
      <c r="G7" s="581">
        <f>+D7/SUM($B7:$D7)</f>
        <v>0</v>
      </c>
    </row>
    <row r="8" spans="1:7">
      <c r="A8" s="317" t="s">
        <v>250</v>
      </c>
      <c r="B8">
        <v>5625</v>
      </c>
      <c r="C8">
        <v>1875</v>
      </c>
      <c r="D8">
        <v>0</v>
      </c>
      <c r="E8" s="581">
        <f>+B8/SUM($B8:$D8)</f>
        <v>0.75</v>
      </c>
      <c r="F8" s="581">
        <f>+C8/SUM($B8:$D8)</f>
        <v>0.25</v>
      </c>
      <c r="G8" s="581">
        <f>+D8/SUM($B8:$D8)</f>
        <v>0</v>
      </c>
    </row>
    <row r="9" spans="1:7">
      <c r="A9" s="317" t="s">
        <v>159</v>
      </c>
      <c r="B9">
        <v>0</v>
      </c>
      <c r="C9">
        <v>2000</v>
      </c>
      <c r="D9">
        <v>4000</v>
      </c>
      <c r="E9" s="581">
        <f>+B9/SUM($B9:$D9)</f>
        <v>0</v>
      </c>
      <c r="F9" s="581">
        <f>+C9/SUM($B9:$D9)</f>
        <v>0.33333333333333</v>
      </c>
      <c r="G9" s="581">
        <f>+D9/SUM($B9:$D9)</f>
        <v>0.66666666666667</v>
      </c>
    </row>
    <row r="10" spans="1:7">
      <c r="A10" s="317" t="s">
        <v>251</v>
      </c>
      <c r="B10">
        <v>7150</v>
      </c>
      <c r="C10">
        <v>375</v>
      </c>
      <c r="D10">
        <v>0</v>
      </c>
      <c r="E10" s="581">
        <f>+B10/SUM($B10:$D10)</f>
        <v>0.95016611295681</v>
      </c>
      <c r="F10" s="581">
        <f>+C10/SUM($B10:$D10)</f>
        <v>0.049833887043189</v>
      </c>
      <c r="G10" s="581">
        <f>+D10/SUM($B10:$D10)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P20"/>
  <sheetViews>
    <sheetView tabSelected="0" workbookViewId="0" showGridLines="true" showRowColHeaders="1">
      <selection activeCell="A1" sqref="A1"/>
    </sheetView>
  </sheetViews>
  <sheetFormatPr customHeight="true" defaultRowHeight="18.75" defaultColWidth="11.42578125" outlineLevelRow="0" outlineLevelCol="0"/>
  <cols>
    <col min="1" max="1" width="11.42578125" style="358"/>
    <col min="2" max="2" width="11.42578125" style="358"/>
    <col min="3" max="3" width="11.42578125" style="358"/>
    <col min="4" max="4" width="11.42578125" style="358"/>
    <col min="5" max="5" width="11.42578125" style="358"/>
    <col min="6" max="6" width="11.42578125" style="358"/>
    <col min="7" max="7" width="11.42578125" style="358"/>
  </cols>
  <sheetData>
    <row r="1" spans="1:16" customHeight="1" ht="18.75">
      <c r="A1" s="357" t="s">
        <v>252</v>
      </c>
    </row>
    <row r="2" spans="1:16" customHeight="1" ht="18.75">
      <c r="A2" s="357" t="s">
        <v>253</v>
      </c>
    </row>
    <row r="3" spans="1:16" customHeight="1" ht="13.5">
      <c r="A3" s="359"/>
    </row>
    <row r="4" spans="1:16" customHeight="1" ht="30.75" s="361" customFormat="1">
      <c r="A4" s="360" t="s">
        <v>254</v>
      </c>
      <c r="B4" s="360" t="s">
        <v>255</v>
      </c>
      <c r="C4" s="360" t="s">
        <v>256</v>
      </c>
      <c r="D4" s="360" t="s">
        <v>41</v>
      </c>
      <c r="E4" s="360" t="s">
        <v>257</v>
      </c>
      <c r="F4" s="537" t="s">
        <v>258</v>
      </c>
      <c r="G4" s="540"/>
      <c r="H4" s="541"/>
      <c r="I4" s="541"/>
      <c r="J4" s="541"/>
      <c r="K4" s="541"/>
      <c r="L4" s="541"/>
      <c r="M4" s="541"/>
      <c r="N4" s="541"/>
      <c r="O4" s="541"/>
      <c r="P4" s="542"/>
    </row>
    <row r="5" spans="1:16" customHeight="1" ht="18.75">
      <c r="A5" s="362" t="s">
        <v>177</v>
      </c>
      <c r="B5" s="363">
        <f>ENE!B56</f>
        <v>30856.54000000000087</v>
      </c>
      <c r="C5" s="363">
        <f>ENE!AC37</f>
        <v>1865</v>
      </c>
      <c r="D5" s="363">
        <f>ENE!AB37</f>
        <v>6751</v>
      </c>
      <c r="E5" s="363">
        <f>ENE!AA37</f>
        <v>3075</v>
      </c>
      <c r="F5" s="538">
        <f>ENE!B55</f>
        <v>2009.74939999999992</v>
      </c>
      <c r="G5" s="543"/>
      <c r="P5" s="544"/>
    </row>
    <row r="6" spans="1:16" customHeight="1" ht="18.75">
      <c r="A6" s="362" t="s">
        <v>178</v>
      </c>
      <c r="B6" s="363" t="e">
        <f>#REF!</f>
        <v>#REF!</v>
      </c>
      <c r="C6" s="363" t="e">
        <f>#REF!</f>
        <v>#REF!</v>
      </c>
      <c r="D6" s="363" t="e">
        <f>#REF!</f>
        <v>#REF!</v>
      </c>
      <c r="E6" s="363" t="e">
        <f>#REF!</f>
        <v>#REF!</v>
      </c>
      <c r="F6" s="538" t="e">
        <f>#REF!</f>
        <v>#REF!</v>
      </c>
      <c r="G6" s="543"/>
      <c r="P6" s="544"/>
    </row>
    <row r="7" spans="1:16" customHeight="1" ht="18.75">
      <c r="A7" s="362" t="s">
        <v>179</v>
      </c>
      <c r="B7" s="363" t="e">
        <f>#REF!</f>
        <v>#REF!</v>
      </c>
      <c r="C7" s="363" t="e">
        <f>#REF!</f>
        <v>#REF!</v>
      </c>
      <c r="D7" s="363" t="e">
        <f>#REF!</f>
        <v>#REF!</v>
      </c>
      <c r="E7" s="363" t="e">
        <f>#REF!</f>
        <v>#REF!</v>
      </c>
      <c r="F7" s="538" t="e">
        <f>#REF!</f>
        <v>#REF!</v>
      </c>
      <c r="G7" s="543"/>
      <c r="P7" s="544"/>
    </row>
    <row r="8" spans="1:16" customHeight="1" ht="18.75">
      <c r="A8" s="362" t="s">
        <v>180</v>
      </c>
      <c r="B8" s="363" t="e">
        <f>#REF!</f>
        <v>#REF!</v>
      </c>
      <c r="C8" s="363" t="e">
        <f>#REF!</f>
        <v>#REF!</v>
      </c>
      <c r="D8" s="363" t="e">
        <f>#REF!</f>
        <v>#REF!</v>
      </c>
      <c r="E8" s="363" t="e">
        <f>#REF!</f>
        <v>#REF!</v>
      </c>
      <c r="F8" s="538" t="e">
        <f>#REF!</f>
        <v>#REF!</v>
      </c>
      <c r="G8" s="543"/>
      <c r="P8" s="544"/>
    </row>
    <row r="9" spans="1:16" customHeight="1" ht="18.75">
      <c r="A9" s="362" t="s">
        <v>181</v>
      </c>
      <c r="B9" s="363"/>
      <c r="C9" s="363"/>
      <c r="D9" s="363"/>
      <c r="E9" s="363"/>
      <c r="F9" s="538"/>
      <c r="G9" s="543"/>
      <c r="P9" s="544"/>
    </row>
    <row r="10" spans="1:16" customHeight="1" ht="18.75">
      <c r="A10" s="362" t="s">
        <v>182</v>
      </c>
      <c r="B10" s="363"/>
      <c r="C10" s="363"/>
      <c r="D10" s="363"/>
      <c r="E10" s="363"/>
      <c r="F10" s="538"/>
      <c r="G10" s="543"/>
      <c r="P10" s="544"/>
    </row>
    <row r="11" spans="1:16" customHeight="1" ht="18.75">
      <c r="A11" s="362" t="s">
        <v>183</v>
      </c>
      <c r="B11" s="363"/>
      <c r="C11" s="363"/>
      <c r="D11" s="363"/>
      <c r="E11" s="363"/>
      <c r="F11" s="538"/>
      <c r="G11" s="543"/>
      <c r="P11" s="544"/>
    </row>
    <row r="12" spans="1:16" customHeight="1" ht="18.75">
      <c r="A12" s="362" t="s">
        <v>184</v>
      </c>
      <c r="B12" s="363"/>
      <c r="C12" s="363"/>
      <c r="D12" s="363"/>
      <c r="E12" s="363"/>
      <c r="F12" s="538"/>
      <c r="G12" s="543"/>
      <c r="P12" s="544"/>
    </row>
    <row r="13" spans="1:16" customHeight="1" ht="18.75">
      <c r="A13" s="362" t="s">
        <v>185</v>
      </c>
      <c r="B13" s="363"/>
      <c r="C13" s="363"/>
      <c r="D13" s="363"/>
      <c r="E13" s="363"/>
      <c r="F13" s="538"/>
      <c r="G13" s="543"/>
      <c r="P13" s="544"/>
    </row>
    <row r="14" spans="1:16" customHeight="1" ht="18.75">
      <c r="A14" s="362" t="s">
        <v>186</v>
      </c>
      <c r="B14" s="363"/>
      <c r="C14" s="363"/>
      <c r="D14" s="363"/>
      <c r="E14" s="363"/>
      <c r="F14" s="538"/>
      <c r="G14" s="543"/>
      <c r="P14" s="544"/>
    </row>
    <row r="15" spans="1:16" customHeight="1" ht="18.75">
      <c r="A15" s="362" t="s">
        <v>187</v>
      </c>
      <c r="B15" s="363"/>
      <c r="C15" s="363"/>
      <c r="D15" s="363"/>
      <c r="E15" s="363"/>
      <c r="F15" s="538"/>
      <c r="G15" s="543"/>
      <c r="P15" s="544"/>
    </row>
    <row r="16" spans="1:16" customHeight="1" ht="18.75">
      <c r="A16" s="362" t="s">
        <v>188</v>
      </c>
      <c r="B16" s="363"/>
      <c r="C16" s="363"/>
      <c r="D16" s="363"/>
      <c r="E16" s="363"/>
      <c r="F16" s="538"/>
      <c r="G16" s="543"/>
      <c r="P16" s="544"/>
    </row>
    <row r="17" spans="1:16" customHeight="1" ht="18.75">
      <c r="A17" s="364" t="s">
        <v>189</v>
      </c>
      <c r="B17" s="365" t="e">
        <f>SUM(B5:B16)</f>
        <v>#REF!</v>
      </c>
      <c r="C17" s="365" t="e">
        <f>SUM(C5:C16)</f>
        <v>#REF!</v>
      </c>
      <c r="D17" s="365" t="e">
        <f>SUM(D5:D16)</f>
        <v>#REF!</v>
      </c>
      <c r="E17" s="365" t="e">
        <f>SUM(E5:E16)</f>
        <v>#REF!</v>
      </c>
      <c r="F17" s="539" t="e">
        <f>SUM(F5:F16)</f>
        <v>#REF!</v>
      </c>
      <c r="G17" s="545"/>
      <c r="H17" s="546"/>
      <c r="I17" s="546"/>
      <c r="J17" s="546"/>
      <c r="K17" s="546"/>
      <c r="L17" s="546"/>
      <c r="M17" s="546"/>
      <c r="N17" s="546"/>
      <c r="O17" s="546"/>
      <c r="P17" s="547"/>
    </row>
    <row r="19" spans="1:16" customHeight="1" ht="18.75">
      <c r="A19" s="359" t="s">
        <v>259</v>
      </c>
    </row>
    <row r="20" spans="1:16" customHeight="1" ht="18.75">
      <c r="E20" s="358" t="s">
        <v>190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ENE</vt:lpstr>
      <vt:lpstr>FEB</vt:lpstr>
      <vt:lpstr>MAR</vt:lpstr>
      <vt:lpstr>ABR</vt:lpstr>
      <vt:lpstr>MAY</vt:lpstr>
      <vt:lpstr>JUN</vt:lpstr>
      <vt:lpstr>JUL</vt:lpstr>
      <vt:lpstr>AGO</vt:lpstr>
      <vt:lpstr>SEP</vt:lpstr>
      <vt:lpstr>OCT</vt:lpstr>
      <vt:lpstr>NOV</vt:lpstr>
      <vt:lpstr>DIC</vt:lpstr>
      <vt:lpstr>Total 2026</vt:lpstr>
      <vt:lpstr>Modelo</vt:lpstr>
      <vt:lpstr>Hoja1</vt:lpstr>
      <vt:lpstr>Proyección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Produccion</dc:creator>
  <cp:lastModifiedBy/>
  <dcterms:created xsi:type="dcterms:W3CDTF">2017-01-12T12:13:38+00:00</dcterms:created>
  <dcterms:modified xsi:type="dcterms:W3CDTF">2026-04-07T23:46:08+00:00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0x01010060D7EAF60154854CAA0A0DE5A1914AC0</vt:lpwstr>
  </property>
  <property fmtid="{D5CDD505-2E9C-101B-9397-08002B2CF9AE}" pid="3" name="MediaServiceImageTags">
    <vt:lpwstr/>
  </property>
</Properties>
</file>