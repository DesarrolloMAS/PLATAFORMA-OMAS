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<sst xmlns="http://schemas.openxmlformats.org/spreadsheetml/2006/main" uniqueCount="89">
  <si>
    <t>CONTROL DE MOLIENDA ZONA SUR</t>
  </si>
  <si>
    <t>MOLIENDA DE TRIGO Nº</t>
  </si>
  <si>
    <t>Hora Turno1</t>
  </si>
  <si>
    <t>17:00</t>
  </si>
  <si>
    <t>Hora Turno2</t>
  </si>
  <si>
    <t>FECHA</t>
  </si>
  <si>
    <t>2025-11-12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</si>
  <si>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</si>
  <si>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</si>
  <si>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</si>
  <si>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</si>
  <si>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</si>
  <si>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</si>
  <si>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</si>
  <si>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</si>
  <si>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</si>
  <si>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</si>
  <si>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</si>
  <si>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</si>
  <si>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</si>
  <si>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</si>
  <si>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</si>
  <si>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</si>
  <si>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</si>
  <si>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</si>
  <si>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</si>
  <si>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</si>
  <si>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</si>
  <si>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</si>
  <si>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</si>
  <si>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MP-02060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</si>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</sst>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 t="e">
        <f>SUM((C10+C11+E10+E11)*50)</f>
        <v>#VALUE!</v>
      </c>
      <c r="H10" s="99" t="s">
        <v>19</v>
      </c>
      <c r="I10" s="49">
        <v>0</v>
      </c>
      <c r="J10" s="49"/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/>
      <c r="F12" s="25"/>
      <c r="G12" s="50" t="e">
        <f>SUM((C12+C13+E12+E13)*50)</f>
        <v>#VALUE!</v>
      </c>
      <c r="H12" s="51" t="s">
        <v>21</v>
      </c>
      <c r="I12" s="49">
        <v>0</v>
      </c>
      <c r="J12" s="49"/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22</v>
      </c>
      <c r="C14" s="25"/>
      <c r="D14" s="25"/>
      <c r="E14" s="25"/>
      <c r="F14" s="25"/>
      <c r="G14" s="50" t="e">
        <f>SUM((C14+C15+E14+E15)*10)</f>
        <v>#VALUE!</v>
      </c>
      <c r="H14" s="54" t="s">
        <v>23</v>
      </c>
      <c r="I14" s="49">
        <v>0</v>
      </c>
      <c r="J14" s="49"/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24</v>
      </c>
      <c r="C16" s="25"/>
      <c r="D16" s="25"/>
      <c r="E16" s="25"/>
      <c r="F16" s="25"/>
      <c r="G16" s="50" t="e">
        <f>SUM((C16+C17+E16+E17)*50)</f>
        <v>#VALUE!</v>
      </c>
      <c r="H16" s="56" t="s">
        <v>25</v>
      </c>
      <c r="I16" s="49" t="s">
        <v>26</v>
      </c>
      <c r="J16" s="49"/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27</v>
      </c>
      <c r="C18" s="25">
        <v>100</v>
      </c>
      <c r="D18" s="25" t="s">
        <v>28</v>
      </c>
      <c r="E18" s="25"/>
      <c r="F18" s="25"/>
      <c r="G18" s="50" t="e">
        <f>SUM((C18+C19+E18+E19)*50)</f>
        <v>#VALUE!</v>
      </c>
      <c r="H18" s="67" t="s">
        <v>29</v>
      </c>
      <c r="I18" s="49" t="s">
        <v>30</v>
      </c>
      <c r="J18" s="49"/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>
        <v>100</v>
      </c>
      <c r="D20" s="25" t="s">
        <v>32</v>
      </c>
      <c r="E20" s="25"/>
      <c r="F20" s="25"/>
      <c r="G20" s="50" t="e">
        <f>SUM((C20+C21+E20+E21)*50)</f>
        <v>#VALUE!</v>
      </c>
      <c r="H20" s="56" t="s">
        <v>33</v>
      </c>
      <c r="I20" s="49" t="s">
        <v>34</v>
      </c>
      <c r="J20" s="49"/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>
        <v>1300</v>
      </c>
      <c r="D22" s="25" t="s">
        <v>36</v>
      </c>
      <c r="E22" s="25"/>
      <c r="F22" s="25"/>
      <c r="G22" s="50" t="e">
        <f>SUM(((C22+C23+E22+E23)*12.5))</f>
        <v>#VALUE!</v>
      </c>
      <c r="H22" s="51" t="s">
        <v>37</v>
      </c>
      <c r="I22" s="49" t="s">
        <v>38</v>
      </c>
      <c r="J22" s="49"/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/>
      <c r="F24" s="25"/>
      <c r="G24" s="50" t="e">
        <f>SUM((C24+C25+E24+E25)*40)</f>
        <v>#VALUE!</v>
      </c>
      <c r="H24" s="54" t="s">
        <v>40</v>
      </c>
      <c r="I24" s="49">
        <v>0</v>
      </c>
      <c r="J24" s="49"/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/>
      <c r="F26" s="25"/>
      <c r="G26" s="50" t="e">
        <f>SUM((C26+C27+E26+E27)*50)</f>
        <v>#VALUE!</v>
      </c>
      <c r="H26" s="54" t="s">
        <v>43</v>
      </c>
      <c r="I26" s="49">
        <v>0</v>
      </c>
      <c r="J26" s="49"/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/>
      <c r="F28" s="25"/>
      <c r="G28" s="50" t="e">
        <f>SUM((C28+C29+E28+E29)*30)</f>
        <v>#VALUE!</v>
      </c>
      <c r="H28" s="54" t="s">
        <v>45</v>
      </c>
      <c r="I28" s="49">
        <v>0</v>
      </c>
      <c r="J28" s="49"/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f>SUM((C30+C31+E30+E31)*50)</f>
        <v>0</v>
      </c>
      <c r="H30" s="54" t="s">
        <v>47</v>
      </c>
      <c r="I30" s="49" t="s">
        <v>48</v>
      </c>
      <c r="J30" s="49"/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 t="e">
        <f>SUM((C32+C33+E32+E33)*25)</f>
        <v>#VALUE!</v>
      </c>
      <c r="H32" s="56" t="s">
        <v>50</v>
      </c>
      <c r="I32" s="49">
        <v>0</v>
      </c>
      <c r="J32" s="49"/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 t="e">
        <f>SUM(((C34+C35+E34+E35)/4)*50)</f>
        <v>#VALUE!</v>
      </c>
      <c r="H34" s="67" t="s">
        <v>52</v>
      </c>
      <c r="I34" s="49" t="s">
        <v>53</v>
      </c>
      <c r="J34" s="49"/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 t="e">
        <f>SUM((C36+C37+E36+E37)*50)</f>
        <v>#VALUE!</v>
      </c>
      <c r="H36" s="51" t="s">
        <v>55</v>
      </c>
      <c r="I36" s="49" t="s">
        <v>56</v>
      </c>
      <c r="J36" s="49"/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57</v>
      </c>
      <c r="C38" s="25"/>
      <c r="D38" s="25"/>
      <c r="E38" s="25"/>
      <c r="F38" s="25"/>
      <c r="G38" s="50" t="e">
        <f>SUM((C38+C39+E38+E39)*25)</f>
        <v>#VALUE!</v>
      </c>
      <c r="H38" s="51" t="s">
        <v>58</v>
      </c>
      <c r="I38" s="49">
        <v>0</v>
      </c>
      <c r="J38" s="49"/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 t="e">
        <f>SUM((C40+C41+E40+E41)*25)</f>
        <v>#VALUE!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f>SUM((C42+C43+E42+E43)*1)</f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f>SUM((C44+C45+E44+E45)*1)</f>
        <v>0</v>
      </c>
      <c r="H44" s="51" t="s">
        <v>58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62</v>
      </c>
      <c r="I46" s="49">
        <v>0</v>
      </c>
      <c r="J46" s="49"/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63</v>
      </c>
      <c r="I48" s="49" t="s">
        <v>64</v>
      </c>
      <c r="J48" s="49"/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65</v>
      </c>
      <c r="I50" s="49">
        <v>0</v>
      </c>
      <c r="J50" s="49"/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66</v>
      </c>
      <c r="I52" s="53">
        <v>0</v>
      </c>
      <c r="J52" s="49"/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 t="e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#VALUE!</v>
      </c>
      <c r="E60" s="23" t="s">
        <v>69</v>
      </c>
      <c r="F60" s="23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72</v>
      </c>
      <c r="H62" s="35"/>
      <c r="I62" s="70"/>
    </row>
    <row r="63" spans="1:10" customHeight="1" ht="108.95">
      <c r="A63" s="11" t="s">
        <v>73</v>
      </c>
      <c r="B63" s="12" t="e">
        <f>B60/H60</f>
        <v>#VALUE!</v>
      </c>
      <c r="C63" s="71" t="s">
        <v>74</v>
      </c>
      <c r="D63" s="72"/>
      <c r="E63" s="72"/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/>
      <c r="F64" s="74"/>
      <c r="G64" s="5" t="s">
        <v>78</v>
      </c>
      <c r="H64" s="4" t="s">
        <v>79</v>
      </c>
      <c r="I64" s="70"/>
    </row>
    <row r="65" spans="1:10" customHeight="1" ht="45.95">
      <c r="A65" s="34" t="s">
        <v>80</v>
      </c>
      <c r="B65" s="14" t="e">
        <f>(SUM(G28)/H60)</f>
        <v>#VALUE!</v>
      </c>
      <c r="C65" s="73" t="s">
        <v>81</v>
      </c>
      <c r="D65" s="74"/>
      <c r="E65" s="74"/>
      <c r="F65" s="74"/>
      <c r="G65" s="3" t="s">
        <v>82</v>
      </c>
      <c r="H65" s="4"/>
      <c r="I65" s="70"/>
    </row>
    <row r="66" spans="1:10" customHeight="1" ht="47.25">
      <c r="A66" s="13" t="s">
        <v>83</v>
      </c>
      <c r="B66" s="14" t="e">
        <f>(SUM(G26)/H60)</f>
        <v>#VALUE!</v>
      </c>
      <c r="C66" s="73" t="s">
        <v>84</v>
      </c>
      <c r="D66" s="74"/>
      <c r="E66" s="74"/>
      <c r="F66" s="74"/>
      <c r="G66" s="38" t="s">
        <v>85</v>
      </c>
      <c r="H66" s="4"/>
      <c r="I66" s="70"/>
    </row>
    <row r="67" spans="1:10" customHeight="1" ht="45.75">
      <c r="A67" s="36" t="s">
        <v>86</v>
      </c>
      <c r="B67" s="37" t="e">
        <f>(SUM(G32)/H60)</f>
        <v>#VALUE!</v>
      </c>
      <c r="C67" s="75" t="s">
        <v>87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88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