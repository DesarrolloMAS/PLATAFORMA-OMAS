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<sst xmlns="http://schemas.openxmlformats.org/spreadsheetml/2006/main" uniqueCount="102">
  <si>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</si>
  <si>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</si>
  <si>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</si>
  <si>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</si>
  <si>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</si>
  <si>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</si>
  <si>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</si>
  <si>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</si>
  <si>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</si>
  <si>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</si>
  <si>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</si>
  <si>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</si>
  <si>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</si>
  <si>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</si>
  <si>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</si>
  <si>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</si>
  <si>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</si>
  <si>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</si>
  <si>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</si>
  <si>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</si>
  <si>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121225P</t>
  </si>
  <si>
    <t>EMPAQUE EXTRA PAN  (60X100) X50</t>
  </si>
  <si>
    <t>MP-02173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</si>
  <si>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</si>
  <si>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</si>
  <si>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</si>
  <si>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</si>
  <si>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</si>
  <si>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</si>
  <si>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(319)MP-02071. (981)MP-02170</t>
  </si>
  <si>
    <t>HARINA DE TRIGO NARIÑO X2500GR</t>
  </si>
  <si>
    <t>101225P</t>
  </si>
  <si>
    <t>LAMINA NARIÑO (CUARTO) 2500GR</t>
  </si>
  <si>
    <t>MP-02110</t>
  </si>
  <si>
    <t>HARINA DE TRIGO NARIÑO X1000GR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</si>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</sst>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1dc5c8466b4b7ecb47f8152328d83b.png"/><Relationship Id="rId2" Type="http://schemas.openxmlformats.org/officeDocument/2006/relationships/image" Target="../media/6b3a54c5159d86be2b56eb3aedecbc4b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24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360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200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1300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240</v>
      </c>
      <c r="F24" s="25" t="s">
        <v>42</v>
      </c>
      <c r="G24" s="50">
        <f>SUM((C24+C25+E24+E25)*40)</f>
        <v>9600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70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350</v>
      </c>
      <c r="F28" s="25" t="s">
        <v>42</v>
      </c>
      <c r="G28" s="50">
        <f>SUM((C28+C29+E28+E29)*30)</f>
        <v>10500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>
        <v>35</v>
      </c>
      <c r="F32" s="25" t="s">
        <v>38</v>
      </c>
      <c r="G32" s="50" t="e">
        <f>SUM((C32+C33+E32+E33)*25)</f>
        <v>#VALUE!</v>
      </c>
      <c r="H32" s="56" t="s">
        <v>55</v>
      </c>
      <c r="I32" s="49">
        <v>0</v>
      </c>
      <c r="J32" s="49" t="s">
        <v>56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>
        <v>0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 t="s">
        <v>70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71</v>
      </c>
      <c r="I48" s="49" t="s">
        <v>72</v>
      </c>
      <c r="J48" s="49" t="s">
        <v>72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73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74</v>
      </c>
      <c r="I52" s="53">
        <v>0</v>
      </c>
      <c r="J52" s="49" t="s">
        <v>38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1750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 t="s">
        <v>83</v>
      </c>
      <c r="F63" s="72"/>
      <c r="G63" s="40" t="s">
        <v>84</v>
      </c>
      <c r="H63" s="7"/>
      <c r="I63" s="70"/>
    </row>
    <row r="64" spans="1:10" customHeight="1" ht="119.1">
      <c r="A64" s="13" t="s">
        <v>85</v>
      </c>
      <c r="B64" s="14" t="e">
        <f>(SUM(G24)/H60)</f>
        <v>#VALUE!</v>
      </c>
      <c r="C64" s="73" t="s">
        <v>86</v>
      </c>
      <c r="D64" s="74"/>
      <c r="E64" s="74" t="s">
        <v>87</v>
      </c>
      <c r="F64" s="74"/>
      <c r="G64" s="5" t="s">
        <v>88</v>
      </c>
      <c r="H64" s="4" t="s">
        <v>89</v>
      </c>
      <c r="I64" s="70"/>
    </row>
    <row r="65" spans="1:10" customHeight="1" ht="45.95">
      <c r="A65" s="34" t="s">
        <v>90</v>
      </c>
      <c r="B65" s="14" t="e">
        <f>(SUM(G28)/H60)</f>
        <v>#VALUE!</v>
      </c>
      <c r="C65" s="73" t="s">
        <v>91</v>
      </c>
      <c r="D65" s="74"/>
      <c r="E65" s="74" t="s">
        <v>92</v>
      </c>
      <c r="F65" s="74"/>
      <c r="G65" s="3" t="s">
        <v>93</v>
      </c>
      <c r="H65" s="4" t="s">
        <v>89</v>
      </c>
      <c r="I65" s="70"/>
    </row>
    <row r="66" spans="1:10" customHeight="1" ht="47.25">
      <c r="A66" s="13" t="s">
        <v>94</v>
      </c>
      <c r="B66" s="14" t="e">
        <f>(SUM(G26)/H60)</f>
        <v>#VALUE!</v>
      </c>
      <c r="C66" s="73" t="s">
        <v>95</v>
      </c>
      <c r="D66" s="74"/>
      <c r="E66" s="74" t="s">
        <v>96</v>
      </c>
      <c r="F66" s="74"/>
      <c r="G66" s="38" t="s">
        <v>97</v>
      </c>
      <c r="H66" s="4"/>
      <c r="I66" s="70"/>
    </row>
    <row r="67" spans="1:10" customHeight="1" ht="45.75">
      <c r="A67" s="36" t="s">
        <v>98</v>
      </c>
      <c r="B67" s="37" t="e">
        <f>(SUM(G32)/H60)</f>
        <v>#VALUE!</v>
      </c>
      <c r="C67" s="75" t="s">
        <v>99</v>
      </c>
      <c r="D67" s="76"/>
      <c r="E67" s="76" t="s">
        <v>100</v>
      </c>
      <c r="F67" s="76"/>
      <c r="G67" s="38"/>
      <c r="H67" s="39"/>
      <c r="I67" s="70"/>
    </row>
    <row r="68" spans="1:10" customHeight="1" ht="21">
      <c r="A68" s="42" t="s">
        <v>101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