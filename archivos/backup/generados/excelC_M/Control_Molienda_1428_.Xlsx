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<sst xmlns="http://schemas.openxmlformats.org/spreadsheetml/2006/main" uniqueCount="106">
  <si>
    <t>CONTROL DE MOLIENDA ZONA CENTRO</t>
  </si>
  <si>
    <t>MOLIENDA DE TRIGO Nº</t>
  </si>
  <si>
    <t>Hora Turno1</t>
  </si>
  <si>
    <t>14:06</t>
  </si>
  <si>
    <t>Hora Turno2</t>
  </si>
  <si>
    <t>05:53</t>
  </si>
  <si>
    <t>Hora Turno3</t>
  </si>
  <si>
    <t>05:59</t>
  </si>
  <si>
    <t>FECHA</t>
  </si>
  <si>
    <t>2026-01-13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</si>
  <si>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</si>
  <si>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</si>
  <si>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</si>
  <si>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</si>
  <si>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</si>
  <si>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</si>
  <si>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</si>
  <si>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</si>
  <si>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</si>
  <si>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</si>
  <si>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</si>
  <si>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</si>
  <si>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</si>
  <si>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</si>
  <si>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</si>
  <si>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</si>
  <si>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</si>
  <si>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</si>
  <si>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</si>
  <si>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</si>
  <si>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</si>
  <si>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</si>
  <si>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</si>
  <si>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16610-20-30</t>
  </si>
  <si>
    <t>FUERTE X25</t>
  </si>
  <si>
    <t>060126B</t>
  </si>
  <si>
    <t>EMPAQUE GALERAS CAFÉ X50</t>
  </si>
  <si>
    <t>140126B</t>
  </si>
  <si>
    <t>NATURAL X50</t>
  </si>
  <si>
    <t>EMPAQUE GALERAS AZUL X50</t>
  </si>
  <si>
    <t>ESPECIAL X50</t>
  </si>
  <si>
    <t>EMPAQUE GALERAS NARANJA X25</t>
  </si>
  <si>
    <t>MP-02150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</si>
  <si>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</si>
  <si>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</si>
  <si>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</si>
  <si>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</si>
  <si>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</si>
  <si>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</si>
  <si>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MP-02076</t>
  </si>
  <si>
    <t>16610-10</t>
  </si>
  <si>
    <t>HARINA ALTA PROTEINA X1</t>
  </si>
  <si>
    <t>130126B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</si>
  <si>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</si>
  <si>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</si>
  <si>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</si>
  <si>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</si>
  <si>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</si>
  <si>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</si>
  <si>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</si>
  <si>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MP-02161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</si>
  <si>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</si>
  <si>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</si>
  <si>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</si>
  <si>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</si>
  <si>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</si>
  <si>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</si>
  <si>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16610-40-50</t>
  </si>
  <si>
    <t>SALVADO X25</t>
  </si>
  <si>
    <t>050126B</t>
  </si>
  <si>
    <t xml:space="preserve">HILO VERDE  </t>
  </si>
  <si>
    <t>MP-02097</t>
  </si>
  <si>
    <t>16610-60-70</t>
  </si>
  <si>
    <t>MOGOLLA X40</t>
  </si>
  <si>
    <t>HILO NARANJA</t>
  </si>
  <si>
    <t>16610-80-90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</si>
  <si>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</si>
  <si>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</si>
  <si>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</si>
  <si>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</si>
  <si>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</si>
  <si>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</si>
  <si>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</si>
  <si>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</si>
  <si>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</si>
  <si>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Antonio</t>
  </si>
  <si>
    <t>Julio</t>
  </si>
  <si>
    <t>Ferney</t>
  </si>
  <si>
    <t>ENCARGADO TURNO 2</t>
  </si>
  <si>
    <t>EXT. MOGOLLA</t>
  </si>
  <si>
    <t>Miguel</t>
  </si>
  <si>
    <t>Wuilson</t>
  </si>
  <si>
    <t>Fernando</t>
  </si>
  <si>
    <t>ENCARGADO TURNO 3</t>
  </si>
  <si>
    <t>EXT. SALVADO x25</t>
  </si>
  <si>
    <t>Rolando</t>
  </si>
  <si>
    <t>Yolmer</t>
  </si>
  <si>
    <t>Hernando</t>
  </si>
  <si>
    <t>ALMACENISTA 1</t>
  </si>
  <si>
    <t>EXT. SEGUNDA</t>
  </si>
  <si>
    <t>Luis poloche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</si>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</sst>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e8db9eb9e24f3c407d25fc94252eaf.png"/><Relationship Id="rId2" Type="http://schemas.openxmlformats.org/officeDocument/2006/relationships/image" Target="../media/667282989ca4bfc7e948b00882bebd95.png"/><Relationship Id="rId3" Type="http://schemas.openxmlformats.org/officeDocument/2006/relationships/image" Target="../media/acc7a20c94814c249a27fbd2584e5bb6.png"/><Relationship Id="rId4" Type="http://schemas.openxmlformats.org/officeDocument/2006/relationships/image" Target="../media/1aab173cbc256e933cb4e5cceb8ed01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097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097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907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1428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33</v>
      </c>
      <c r="B21" s="81" t="s">
        <v>34</v>
      </c>
      <c r="C21" s="34"/>
      <c r="D21" s="21"/>
      <c r="E21" s="21"/>
      <c r="F21" s="21"/>
      <c r="G21" s="21">
        <v>15</v>
      </c>
      <c r="H21" s="21" t="s">
        <v>35</v>
      </c>
      <c r="I21" s="70" t="e">
        <f>SUM((C21+C22+E21+E22+G21+G22)*25)</f>
        <v>#VALUE!</v>
      </c>
      <c r="J21" s="66" t="s">
        <v>36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>
        <v>392</v>
      </c>
      <c r="H22" s="20" t="s">
        <v>37</v>
      </c>
      <c r="I22" s="70"/>
      <c r="J22" s="67"/>
      <c r="K22" s="64"/>
      <c r="L22" s="64"/>
      <c r="M22" s="64"/>
    </row>
    <row r="23" spans="1:13">
      <c r="A23" s="27"/>
      <c r="B23" s="55" t="s">
        <v>38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39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40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41</v>
      </c>
      <c r="K25" s="64" t="s">
        <v>42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43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44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45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46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47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48</v>
      </c>
      <c r="K31" s="64" t="s">
        <v>49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50</v>
      </c>
      <c r="B33" s="55" t="s">
        <v>51</v>
      </c>
      <c r="C33" s="34">
        <v>55372</v>
      </c>
      <c r="D33" s="21" t="s">
        <v>52</v>
      </c>
      <c r="E33" s="21">
        <v>29728</v>
      </c>
      <c r="F33" s="21" t="s">
        <v>52</v>
      </c>
      <c r="G33" s="21">
        <v>19376</v>
      </c>
      <c r="H33" s="21" t="s">
        <v>52</v>
      </c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65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67</v>
      </c>
      <c r="B45" s="71" t="s">
        <v>68</v>
      </c>
      <c r="C45" s="34">
        <v>116</v>
      </c>
      <c r="D45" s="21" t="s">
        <v>69</v>
      </c>
      <c r="E45" s="21">
        <v>40</v>
      </c>
      <c r="F45" s="21" t="s">
        <v>69</v>
      </c>
      <c r="G45" s="21">
        <v>70</v>
      </c>
      <c r="H45" s="21" t="s">
        <v>52</v>
      </c>
      <c r="I45" s="65" t="e">
        <f>SUM((C45+C46+E45+E46+G45+G46)*25)</f>
        <v>#VALUE!</v>
      </c>
      <c r="J45" s="66" t="s">
        <v>70</v>
      </c>
      <c r="K45" s="64" t="s">
        <v>71</v>
      </c>
      <c r="L45" s="64"/>
      <c r="M45" s="64"/>
    </row>
    <row r="46" spans="1:13">
      <c r="A46" s="31"/>
      <c r="B46" s="71"/>
      <c r="C46" s="40"/>
      <c r="D46" s="20"/>
      <c r="E46" s="20">
        <v>37</v>
      </c>
      <c r="F46" s="20" t="s">
        <v>52</v>
      </c>
      <c r="G46" s="20"/>
      <c r="H46" s="20"/>
      <c r="I46" s="65"/>
      <c r="J46" s="67"/>
      <c r="K46" s="64"/>
      <c r="L46" s="64"/>
      <c r="M46" s="64"/>
    </row>
    <row r="47" spans="1:13">
      <c r="A47" s="27" t="s">
        <v>72</v>
      </c>
      <c r="B47" s="71" t="s">
        <v>73</v>
      </c>
      <c r="C47" s="34">
        <v>208</v>
      </c>
      <c r="D47" s="21" t="s">
        <v>69</v>
      </c>
      <c r="E47" s="21">
        <v>114</v>
      </c>
      <c r="F47" s="21" t="s">
        <v>52</v>
      </c>
      <c r="G47" s="21">
        <v>111</v>
      </c>
      <c r="H47" s="21" t="s">
        <v>52</v>
      </c>
      <c r="I47" s="65" t="e">
        <f>SUM((C47+C48+E47+E48+G47+G48)*40)</f>
        <v>#VALUE!</v>
      </c>
      <c r="J47" s="66" t="s">
        <v>74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75</v>
      </c>
      <c r="B49" s="71" t="s">
        <v>76</v>
      </c>
      <c r="C49" s="34">
        <v>42</v>
      </c>
      <c r="D49" s="21" t="s">
        <v>69</v>
      </c>
      <c r="E49" s="21">
        <v>40</v>
      </c>
      <c r="F49" s="21" t="s">
        <v>69</v>
      </c>
      <c r="G49" s="21">
        <v>40</v>
      </c>
      <c r="H49" s="21" t="s">
        <v>52</v>
      </c>
      <c r="I49" s="65" t="e">
        <f>SUM((C49+C50+E49+E50+G49+G50)*50)</f>
        <v>#VALUE!</v>
      </c>
      <c r="J49" s="66" t="s">
        <v>77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>
        <v>18</v>
      </c>
      <c r="F50" s="20" t="s">
        <v>52</v>
      </c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78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79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80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81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82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83</v>
      </c>
      <c r="J61" s="48"/>
      <c r="K61" s="84"/>
    </row>
    <row r="62" spans="1:13" customHeight="1" ht="109">
      <c r="A62" s="11" t="s">
        <v>84</v>
      </c>
      <c r="B62" s="12" t="e">
        <f>B59/J59</f>
        <v>#VALUE!</v>
      </c>
      <c r="C62" s="85" t="s">
        <v>85</v>
      </c>
      <c r="D62" s="86"/>
      <c r="E62" s="86" t="s">
        <v>86</v>
      </c>
      <c r="F62" s="86"/>
      <c r="G62" s="86" t="s">
        <v>87</v>
      </c>
      <c r="H62" s="86"/>
      <c r="I62" s="50" t="s">
        <v>88</v>
      </c>
      <c r="J62" s="7"/>
      <c r="K62" s="84"/>
    </row>
    <row r="63" spans="1:13" customHeight="1" ht="119">
      <c r="A63" s="13" t="s">
        <v>89</v>
      </c>
      <c r="B63" s="14" t="e">
        <f>(SUM(I47)/J59)</f>
        <v>#VALUE!</v>
      </c>
      <c r="C63" s="87" t="s">
        <v>90</v>
      </c>
      <c r="D63" s="88"/>
      <c r="E63" s="88" t="s">
        <v>91</v>
      </c>
      <c r="F63" s="88"/>
      <c r="G63" s="88" t="s">
        <v>92</v>
      </c>
      <c r="H63" s="88"/>
      <c r="I63" s="5" t="s">
        <v>93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94</v>
      </c>
      <c r="B64" s="14" t="e">
        <f>(SUM(I45)/J59)</f>
        <v>#VALUE!</v>
      </c>
      <c r="C64" s="87" t="s">
        <v>95</v>
      </c>
      <c r="D64" s="88"/>
      <c r="E64" s="88" t="s">
        <v>96</v>
      </c>
      <c r="F64" s="88"/>
      <c r="G64" s="88" t="s">
        <v>97</v>
      </c>
      <c r="H64" s="88"/>
      <c r="I64" s="5" t="s">
        <v>98</v>
      </c>
      <c r="J64" s="4" t="s">
        <v>11</v>
      </c>
      <c r="K64" s="84"/>
    </row>
    <row r="65" spans="1:13" customHeight="1" ht="47.25">
      <c r="A65" s="13" t="s">
        <v>99</v>
      </c>
      <c r="B65" s="14" t="e">
        <f>(SUM(I49)/J59)</f>
        <v>#VALUE!</v>
      </c>
      <c r="C65" s="87"/>
      <c r="D65" s="88"/>
      <c r="E65" s="88"/>
      <c r="F65" s="88"/>
      <c r="G65" s="88" t="s">
        <v>100</v>
      </c>
      <c r="H65" s="88"/>
      <c r="I65" s="3" t="s">
        <v>101</v>
      </c>
      <c r="J65" s="4" t="s">
        <v>11</v>
      </c>
      <c r="K65" s="84"/>
    </row>
    <row r="66" spans="1:13" customHeight="1" ht="45.75">
      <c r="A66" s="51" t="s">
        <v>102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103</v>
      </c>
      <c r="J66" s="54"/>
      <c r="K66" s="84"/>
    </row>
    <row r="67" spans="1:13" customHeight="1" ht="45.75">
      <c r="A67" s="46" t="s">
        <v>104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105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