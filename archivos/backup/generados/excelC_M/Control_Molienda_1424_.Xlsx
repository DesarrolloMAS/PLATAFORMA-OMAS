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<sst xmlns="http://schemas.openxmlformats.org/spreadsheetml/2006/main" uniqueCount="111">
  <si>
    <t>CONTROL DE MOLIENDA ZONA CENTRO</t>
  </si>
  <si>
    <t>MOLIENDA DE TRIGO Nº</t>
  </si>
  <si>
    <t>Hora Turno1</t>
  </si>
  <si>
    <t>13:59</t>
  </si>
  <si>
    <t>Hora Turno2</t>
  </si>
  <si>
    <t>05:58</t>
  </si>
  <si>
    <t>Hora Turno3</t>
  </si>
  <si>
    <t>06:01</t>
  </si>
  <si>
    <t>FECHA</t>
  </si>
  <si>
    <t>2026-01-06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</si>
  <si>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</si>
  <si>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</si>
  <si>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</si>
  <si>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</si>
  <si>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</si>
  <si>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</si>
  <si>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</si>
  <si>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</si>
  <si>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</si>
  <si>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</si>
  <si>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</si>
  <si>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</si>
  <si>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</si>
  <si>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</si>
  <si>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</si>
  <si>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</si>
  <si>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</si>
  <si>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</si>
  <si>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</si>
  <si>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16563-20</t>
  </si>
  <si>
    <t>ARTESANAL X50</t>
  </si>
  <si>
    <t>070126B</t>
  </si>
  <si>
    <t>EMPAQUE GALERAS ROJO X50</t>
  </si>
  <si>
    <t>MP-01506</t>
  </si>
  <si>
    <t>ARTESANAL X25</t>
  </si>
  <si>
    <t>EMPAQUE GALERAS VERDE X50</t>
  </si>
  <si>
    <t>16563-40</t>
  </si>
  <si>
    <t>FUERTE X25</t>
  </si>
  <si>
    <t>060126B</t>
  </si>
  <si>
    <t>EMPAQUE GALERAS CAFÉ X50</t>
  </si>
  <si>
    <t>NATURAL X50</t>
  </si>
  <si>
    <t>EMPAQUE GALERAS AZUL X50</t>
  </si>
  <si>
    <t>ESPECIAL X50</t>
  </si>
  <si>
    <t>EMPAQUE GALERAS NARANJA X25</t>
  </si>
  <si>
    <t>MP-02150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</si>
  <si>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</si>
  <si>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</si>
  <si>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</si>
  <si>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</si>
  <si>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</si>
  <si>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</si>
  <si>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MP-02076</t>
  </si>
  <si>
    <t>16563-10</t>
  </si>
  <si>
    <t>HARINA ALTA PROTEINA X1</t>
  </si>
  <si>
    <t>EMPAQUE GALERAS SAL X25</t>
  </si>
  <si>
    <t>MP-02063</t>
  </si>
  <si>
    <t>HARINA MEDIA PROTEINA X1</t>
  </si>
  <si>
    <t>EMPAQUE GALERAS SEG X50</t>
  </si>
  <si>
    <t>MP-01919</t>
  </si>
  <si>
    <t>HARINA BAJA PROTEINA X1</t>
  </si>
  <si>
    <t>VITAMINA</t>
  </si>
  <si>
    <t>MP-02161</t>
  </si>
  <si>
    <t>16563-30</t>
  </si>
  <si>
    <t>ARTESANAL X1</t>
  </si>
  <si>
    <t xml:space="preserve">MEJORANTE EXTRA PAN </t>
  </si>
  <si>
    <t>16563-50</t>
  </si>
  <si>
    <t xml:space="preserve">FUERTE EXPORTACIÓN </t>
  </si>
  <si>
    <t>060126BP</t>
  </si>
  <si>
    <t>MEJORANTE ARTESANAL</t>
  </si>
  <si>
    <t>151225B-060126B</t>
  </si>
  <si>
    <t>HARINA T1 X 50</t>
  </si>
  <si>
    <t>HILO BLANCO</t>
  </si>
  <si>
    <t>16563-70</t>
  </si>
  <si>
    <t>SALVADO X25</t>
  </si>
  <si>
    <t>050126B</t>
  </si>
  <si>
    <t xml:space="preserve">HILO VERDE  </t>
  </si>
  <si>
    <t>MP-02097</t>
  </si>
  <si>
    <t>16563-60</t>
  </si>
  <si>
    <t>MOGOLLA X40</t>
  </si>
  <si>
    <t>HILO NARANJA</t>
  </si>
  <si>
    <t>16563-80</t>
  </si>
  <si>
    <t>SEGUNDA X50</t>
  </si>
  <si>
    <t>EMPAQUE FUERTE EXPORTACION</t>
  </si>
  <si>
    <t>MP-01940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</si>
  <si>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</si>
  <si>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</si>
  <si>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</si>
  <si>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</si>
  <si>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</si>
  <si>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</si>
  <si>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</si>
  <si>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</si>
  <si>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Ferney</t>
  </si>
  <si>
    <t>Rolando</t>
  </si>
  <si>
    <t>ENCARGADO TURNO 2</t>
  </si>
  <si>
    <t>EXT. MOGOLLA</t>
  </si>
  <si>
    <t>Wuilson</t>
  </si>
  <si>
    <t>Luis poloche</t>
  </si>
  <si>
    <t>Miguel</t>
  </si>
  <si>
    <t>ENCARGADO TURNO 3</t>
  </si>
  <si>
    <t>EXT. SALVADO x25</t>
  </si>
  <si>
    <t>Julio</t>
  </si>
  <si>
    <t>Antonio</t>
  </si>
  <si>
    <t>ALMACENISTA 1</t>
  </si>
  <si>
    <t>EXT. SEGUNDA</t>
  </si>
  <si>
    <t>Elmer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</si>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</sst>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ccba61f285284625e38172441fd801.png"/><Relationship Id="rId2" Type="http://schemas.openxmlformats.org/officeDocument/2006/relationships/image" Target="../media/320d6a238f31c13401b860a8086c4469.png"/><Relationship Id="rId3" Type="http://schemas.openxmlformats.org/officeDocument/2006/relationships/image" Target="../media/58d69c5d5291fd3f6658363585cd7b13.png"/><Relationship Id="rId4" Type="http://schemas.openxmlformats.org/officeDocument/2006/relationships/image" Target="../media/28ce06bdc7589e625e22618e85c60c35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97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192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7907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1424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29</v>
      </c>
      <c r="B17" s="55" t="s">
        <v>30</v>
      </c>
      <c r="C17" s="34"/>
      <c r="D17" s="21"/>
      <c r="E17" s="21"/>
      <c r="F17" s="21"/>
      <c r="G17" s="21">
        <v>180</v>
      </c>
      <c r="H17" s="21" t="s">
        <v>31</v>
      </c>
      <c r="I17" s="70" t="e">
        <f>SUM((C17+C18+E17+E18+G17+G18)*50)</f>
        <v>#VALUE!</v>
      </c>
      <c r="J17" s="55" t="s">
        <v>32</v>
      </c>
      <c r="K17" s="64" t="s">
        <v>33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36</v>
      </c>
      <c r="B21" s="81" t="s">
        <v>37</v>
      </c>
      <c r="C21" s="34"/>
      <c r="D21" s="21"/>
      <c r="E21" s="21">
        <v>909</v>
      </c>
      <c r="F21" s="21" t="s">
        <v>38</v>
      </c>
      <c r="G21" s="21"/>
      <c r="H21" s="21"/>
      <c r="I21" s="70" t="e">
        <f>SUM((C21+C22+E21+E22+G21+G22)*25)</f>
        <v>#VALUE!</v>
      </c>
      <c r="J21" s="66" t="s">
        <v>39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40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41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42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43</v>
      </c>
      <c r="K25" s="64" t="s">
        <v>44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52</v>
      </c>
      <c r="B33" s="55" t="s">
        <v>53</v>
      </c>
      <c r="C33" s="34">
        <v>28528</v>
      </c>
      <c r="D33" s="21" t="s">
        <v>38</v>
      </c>
      <c r="E33" s="21">
        <v>5328</v>
      </c>
      <c r="F33" s="21" t="s">
        <v>38</v>
      </c>
      <c r="G33" s="21"/>
      <c r="H33" s="21"/>
      <c r="I33" s="70" t="e">
        <f>SUM((C33+C34+E33+E34+G33+G34)*1)</f>
        <v>#VALUE!</v>
      </c>
      <c r="J33" s="66" t="s">
        <v>54</v>
      </c>
      <c r="K33" s="64" t="s">
        <v>55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56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57</v>
      </c>
      <c r="K35" s="64" t="s">
        <v>58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59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60</v>
      </c>
      <c r="K37" s="64" t="s">
        <v>61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 t="s">
        <v>62</v>
      </c>
      <c r="B39" s="81" t="s">
        <v>63</v>
      </c>
      <c r="C39" s="34"/>
      <c r="D39" s="21"/>
      <c r="E39" s="21"/>
      <c r="F39" s="21"/>
      <c r="G39" s="21">
        <v>20640</v>
      </c>
      <c r="H39" s="21" t="s">
        <v>38</v>
      </c>
      <c r="I39" s="70" t="e">
        <f>SUM((C39+C40+E39+E40+G39+G40)*1)</f>
        <v>#VALUE!</v>
      </c>
      <c r="J39" s="69" t="s">
        <v>64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 t="s">
        <v>65</v>
      </c>
      <c r="B41" s="81" t="s">
        <v>66</v>
      </c>
      <c r="C41" s="34"/>
      <c r="D41" s="21"/>
      <c r="E41" s="21">
        <v>80</v>
      </c>
      <c r="F41" s="21" t="s">
        <v>67</v>
      </c>
      <c r="G41" s="21"/>
      <c r="H41" s="21"/>
      <c r="I41" s="70" t="e">
        <f>SUM((C41+C42+E41+E42+G41+G42)*1)</f>
        <v>#VALUE!</v>
      </c>
      <c r="J41" s="66" t="s">
        <v>68</v>
      </c>
      <c r="K41" s="64" t="s">
        <v>69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72</v>
      </c>
      <c r="B45" s="71" t="s">
        <v>73</v>
      </c>
      <c r="C45" s="34">
        <v>145</v>
      </c>
      <c r="D45" s="21" t="s">
        <v>74</v>
      </c>
      <c r="E45" s="21">
        <v>58</v>
      </c>
      <c r="F45" s="21" t="s">
        <v>74</v>
      </c>
      <c r="G45" s="21">
        <v>78</v>
      </c>
      <c r="H45" s="21" t="s">
        <v>74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133</v>
      </c>
      <c r="D47" s="21" t="s">
        <v>74</v>
      </c>
      <c r="E47" s="21">
        <v>115</v>
      </c>
      <c r="F47" s="21" t="s">
        <v>74</v>
      </c>
      <c r="G47" s="21">
        <v>139</v>
      </c>
      <c r="H47" s="21" t="s">
        <v>74</v>
      </c>
      <c r="I47" s="65" t="e">
        <f>SUM((C47+C48+E47+E48+G47+G48)*40)</f>
        <v>#VALUE!</v>
      </c>
      <c r="J47" s="66" t="s">
        <v>79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80</v>
      </c>
      <c r="B49" s="71" t="s">
        <v>81</v>
      </c>
      <c r="C49" s="34">
        <v>37</v>
      </c>
      <c r="D49" s="21" t="s">
        <v>74</v>
      </c>
      <c r="E49" s="21"/>
      <c r="F49" s="21"/>
      <c r="G49" s="21">
        <v>30</v>
      </c>
      <c r="H49" s="21" t="s">
        <v>74</v>
      </c>
      <c r="I49" s="65" t="e">
        <f>SUM((C49+C50+E49+E50+G49+G50)*50)</f>
        <v>#VALUE!</v>
      </c>
      <c r="J49" s="66" t="s">
        <v>82</v>
      </c>
      <c r="K49" s="64" t="s">
        <v>83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84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89</v>
      </c>
      <c r="J61" s="48"/>
      <c r="K61" s="84"/>
    </row>
    <row r="62" spans="1:13" customHeight="1" ht="109">
      <c r="A62" s="11" t="s">
        <v>90</v>
      </c>
      <c r="B62" s="12" t="e">
        <f>B59/J59</f>
        <v>#VALUE!</v>
      </c>
      <c r="C62" s="85" t="s">
        <v>91</v>
      </c>
      <c r="D62" s="86"/>
      <c r="E62" s="86" t="s">
        <v>92</v>
      </c>
      <c r="F62" s="86"/>
      <c r="G62" s="86" t="s">
        <v>93</v>
      </c>
      <c r="H62" s="86"/>
      <c r="I62" s="50" t="s">
        <v>94</v>
      </c>
      <c r="J62" s="7"/>
      <c r="K62" s="84"/>
    </row>
    <row r="63" spans="1:13" customHeight="1" ht="119">
      <c r="A63" s="13" t="s">
        <v>95</v>
      </c>
      <c r="B63" s="14" t="e">
        <f>(SUM(I47)/J59)</f>
        <v>#VALUE!</v>
      </c>
      <c r="C63" s="87" t="s">
        <v>96</v>
      </c>
      <c r="D63" s="88"/>
      <c r="E63" s="88" t="s">
        <v>97</v>
      </c>
      <c r="F63" s="88"/>
      <c r="G63" s="88" t="s">
        <v>98</v>
      </c>
      <c r="H63" s="88"/>
      <c r="I63" s="5" t="s">
        <v>99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100</v>
      </c>
      <c r="B64" s="14" t="e">
        <f>(SUM(I45)/J59)</f>
        <v>#VALUE!</v>
      </c>
      <c r="C64" s="87" t="s">
        <v>101</v>
      </c>
      <c r="D64" s="88"/>
      <c r="E64" s="88"/>
      <c r="F64" s="88"/>
      <c r="G64" s="88" t="s">
        <v>102</v>
      </c>
      <c r="H64" s="88"/>
      <c r="I64" s="5" t="s">
        <v>103</v>
      </c>
      <c r="J64" s="4" t="s">
        <v>11</v>
      </c>
      <c r="K64" s="84"/>
    </row>
    <row r="65" spans="1:13" customHeight="1" ht="47.25">
      <c r="A65" s="13" t="s">
        <v>104</v>
      </c>
      <c r="B65" s="14" t="e">
        <f>(SUM(I49)/J59)</f>
        <v>#VALUE!</v>
      </c>
      <c r="C65" s="87"/>
      <c r="D65" s="88"/>
      <c r="E65" s="88"/>
      <c r="F65" s="88"/>
      <c r="G65" s="88" t="s">
        <v>105</v>
      </c>
      <c r="H65" s="88"/>
      <c r="I65" s="3" t="s">
        <v>106</v>
      </c>
      <c r="J65" s="4" t="s">
        <v>11</v>
      </c>
      <c r="K65" s="84"/>
    </row>
    <row r="66" spans="1:13" customHeight="1" ht="45.75">
      <c r="A66" s="51" t="s">
        <v>107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108</v>
      </c>
      <c r="J66" s="54"/>
      <c r="K66" s="84"/>
    </row>
    <row r="67" spans="1:13" customHeight="1" ht="45.75">
      <c r="A67" s="46" t="s">
        <v>109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110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