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<sst xmlns="http://schemas.openxmlformats.org/spreadsheetml/2006/main" uniqueCount="102">
  <si>
    <t>CONTROL DE MOLIENDA ZONA CENTRO</t>
  </si>
  <si>
    <t>MOLIENDA DE TRIGO Nº</t>
  </si>
  <si>
    <t>Hora Turno1</t>
  </si>
  <si>
    <t>14:02</t>
  </si>
  <si>
    <t>Hora Turno2</t>
  </si>
  <si>
    <t>21:46</t>
  </si>
  <si>
    <t>Hora Turno3</t>
  </si>
  <si>
    <t>06:00</t>
  </si>
  <si>
    <t>FECHA</t>
  </si>
  <si>
    <t>2026-01-19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</si>
  <si>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</si>
  <si>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</si>
  <si>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</si>
  <si>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</si>
  <si>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</si>
  <si>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</si>
  <si>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</si>
  <si>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</si>
  <si>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</si>
  <si>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</si>
  <si>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</si>
  <si>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</si>
  <si>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</si>
  <si>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</si>
  <si>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</si>
  <si>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</si>
  <si>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</si>
  <si>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</si>
  <si>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</si>
  <si>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</si>
  <si>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</si>
  <si>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</si>
  <si>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</si>
  <si>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</si>
  <si>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</si>
  <si>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</si>
  <si>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</si>
  <si>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</si>
  <si>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</si>
  <si>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</si>
  <si>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</si>
  <si>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</si>
  <si>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</si>
  <si>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MP-02224</t>
  </si>
  <si>
    <t>DESARROLLO X1</t>
  </si>
  <si>
    <t>EMPAQUE GALERAS MOG X40</t>
  </si>
  <si>
    <t>MP-02077</t>
  </si>
  <si>
    <t>16662-10</t>
  </si>
  <si>
    <t>HARINA ALTA PROTEINA X1</t>
  </si>
  <si>
    <t>200126B</t>
  </si>
  <si>
    <t>EMPAQUE GALERAS SAL X25</t>
  </si>
  <si>
    <t>MP-02063</t>
  </si>
  <si>
    <t>HARINA MEDIA PROTEINA X1</t>
  </si>
  <si>
    <t>EMPAQUE GALERAS SEG X50</t>
  </si>
  <si>
    <t>MP01942</t>
  </si>
  <si>
    <t>HARINA BAJA PROTEINA X1</t>
  </si>
  <si>
    <t>VITAMINA</t>
  </si>
  <si>
    <t>MP-02161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</si>
  <si>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</si>
  <si>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</si>
  <si>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</si>
  <si>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</si>
  <si>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</si>
  <si>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</si>
  <si>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16662-20</t>
  </si>
  <si>
    <t>SALVADO X25</t>
  </si>
  <si>
    <t>130126B</t>
  </si>
  <si>
    <t xml:space="preserve">HILO VERDE  </t>
  </si>
  <si>
    <t>MP-02234</t>
  </si>
  <si>
    <t>16662-30</t>
  </si>
  <si>
    <t>MOGOLLA X40</t>
  </si>
  <si>
    <t>190126B</t>
  </si>
  <si>
    <t>HILO NARANJA</t>
  </si>
  <si>
    <t>16662-40</t>
  </si>
  <si>
    <t>16662-50</t>
  </si>
  <si>
    <t>SEGUNDA X50</t>
  </si>
  <si>
    <t>EMPAQUE FUERTE EXPORTACION</t>
  </si>
  <si>
    <t>16662-60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</si>
  <si>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</si>
  <si>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</si>
  <si>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</si>
  <si>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</si>
  <si>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</si>
  <si>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</si>
  <si>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</si>
  <si>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Ferney</t>
  </si>
  <si>
    <t>Antonio</t>
  </si>
  <si>
    <t>Yolmer</t>
  </si>
  <si>
    <t>ENCARGADO TURNO 2</t>
  </si>
  <si>
    <t>EXT. MOGOLLA</t>
  </si>
  <si>
    <t xml:space="preserve">Wilson </t>
  </si>
  <si>
    <t>Miguel</t>
  </si>
  <si>
    <t>ENCARGADO TURNO 3</t>
  </si>
  <si>
    <t>EXT. SALVADO x25</t>
  </si>
  <si>
    <t>Elmer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</si>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</sst>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4ae85933ad1044a98653daf305dba6.png"/><Relationship Id="rId2" Type="http://schemas.openxmlformats.org/officeDocument/2006/relationships/image" Target="../media/d8ddcf3c8d9d40223a8bd62de49c6c6c.png"/><Relationship Id="rId3" Type="http://schemas.openxmlformats.org/officeDocument/2006/relationships/image" Target="../media/171aaac6ac4c25c7e7a3c4d2e3acc087.png"/><Relationship Id="rId4" Type="http://schemas.openxmlformats.org/officeDocument/2006/relationships/image" Target="../media/cd348d62ed2c82b2a8ca738185f52923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6859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478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954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1432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24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25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26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27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28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29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30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31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32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33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34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35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36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37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38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39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40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41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42</v>
      </c>
      <c r="K29" s="64" t="s">
        <v>43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44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45</v>
      </c>
      <c r="K31" s="64" t="s">
        <v>46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47</v>
      </c>
      <c r="B33" s="55" t="s">
        <v>48</v>
      </c>
      <c r="C33" s="34">
        <v>40512</v>
      </c>
      <c r="D33" s="21" t="s">
        <v>49</v>
      </c>
      <c r="E33" s="21">
        <v>30208</v>
      </c>
      <c r="F33" s="21" t="s">
        <v>49</v>
      </c>
      <c r="G33" s="21">
        <v>29360</v>
      </c>
      <c r="H33" s="21" t="s">
        <v>49</v>
      </c>
      <c r="I33" s="70" t="e">
        <f>SUM((C33+C34+E33+E34+G33+G34)*1)</f>
        <v>#VALUE!</v>
      </c>
      <c r="J33" s="66" t="s">
        <v>50</v>
      </c>
      <c r="K33" s="64" t="s">
        <v>51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52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53</v>
      </c>
      <c r="K35" s="64" t="s">
        <v>54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55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56</v>
      </c>
      <c r="K37" s="64" t="s">
        <v>57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58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59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60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61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62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63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64</v>
      </c>
      <c r="B45" s="71" t="s">
        <v>65</v>
      </c>
      <c r="C45" s="34">
        <v>71</v>
      </c>
      <c r="D45" s="21" t="s">
        <v>66</v>
      </c>
      <c r="E45" s="21"/>
      <c r="F45" s="21"/>
      <c r="G45" s="21">
        <v>108</v>
      </c>
      <c r="H45" s="21" t="s">
        <v>66</v>
      </c>
      <c r="I45" s="65" t="e">
        <f>SUM((C45+C46+E45+E46+G45+G46)*25)</f>
        <v>#VALUE!</v>
      </c>
      <c r="J45" s="66" t="s">
        <v>67</v>
      </c>
      <c r="K45" s="64" t="s">
        <v>68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69</v>
      </c>
      <c r="B47" s="71" t="s">
        <v>70</v>
      </c>
      <c r="C47" s="34">
        <v>160</v>
      </c>
      <c r="D47" s="21" t="s">
        <v>66</v>
      </c>
      <c r="E47" s="21">
        <v>121</v>
      </c>
      <c r="F47" s="21" t="s">
        <v>71</v>
      </c>
      <c r="G47" s="21">
        <v>125</v>
      </c>
      <c r="H47" s="21" t="s">
        <v>71</v>
      </c>
      <c r="I47" s="65" t="e">
        <f>SUM((C47+C48+E47+E48+G47+G48)*40)</f>
        <v>#VALUE!</v>
      </c>
      <c r="J47" s="66" t="s">
        <v>72</v>
      </c>
      <c r="K47" s="64">
        <v>0</v>
      </c>
      <c r="L47" s="64"/>
      <c r="M47" s="64"/>
    </row>
    <row r="48" spans="1:13">
      <c r="A48" s="31" t="s">
        <v>73</v>
      </c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74</v>
      </c>
      <c r="B49" s="71" t="s">
        <v>75</v>
      </c>
      <c r="C49" s="34"/>
      <c r="D49" s="21"/>
      <c r="E49" s="21"/>
      <c r="F49" s="21"/>
      <c r="G49" s="21">
        <v>127</v>
      </c>
      <c r="H49" s="21" t="s">
        <v>66</v>
      </c>
      <c r="I49" s="65" t="e">
        <f>SUM((C49+C50+E49+E50+G49+G50)*50)</f>
        <v>#VALUE!</v>
      </c>
      <c r="J49" s="66" t="s">
        <v>76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 t="s">
        <v>77</v>
      </c>
      <c r="B51" s="79" t="s">
        <v>78</v>
      </c>
      <c r="C51" s="34">
        <v>4</v>
      </c>
      <c r="D51" s="21" t="s">
        <v>71</v>
      </c>
      <c r="E51" s="21">
        <v>6</v>
      </c>
      <c r="F51" s="21" t="s">
        <v>71</v>
      </c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79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80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81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82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83</v>
      </c>
      <c r="J61" s="48"/>
      <c r="K61" s="84"/>
    </row>
    <row r="62" spans="1:13" customHeight="1" ht="109">
      <c r="A62" s="11" t="s">
        <v>84</v>
      </c>
      <c r="B62" s="12" t="e">
        <f>B59/J59</f>
        <v>#VALUE!</v>
      </c>
      <c r="C62" s="85" t="s">
        <v>85</v>
      </c>
      <c r="D62" s="86"/>
      <c r="E62" s="86" t="s">
        <v>86</v>
      </c>
      <c r="F62" s="86"/>
      <c r="G62" s="86" t="s">
        <v>87</v>
      </c>
      <c r="H62" s="86"/>
      <c r="I62" s="50" t="s">
        <v>88</v>
      </c>
      <c r="J62" s="7"/>
      <c r="K62" s="84"/>
    </row>
    <row r="63" spans="1:13" customHeight="1" ht="119">
      <c r="A63" s="13" t="s">
        <v>89</v>
      </c>
      <c r="B63" s="14" t="e">
        <f>(SUM(I47)/J59)</f>
        <v>#VALUE!</v>
      </c>
      <c r="C63" s="87" t="s">
        <v>90</v>
      </c>
      <c r="D63" s="88"/>
      <c r="E63" s="88"/>
      <c r="F63" s="88"/>
      <c r="G63" s="88" t="s">
        <v>91</v>
      </c>
      <c r="H63" s="88"/>
      <c r="I63" s="5" t="s">
        <v>92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93</v>
      </c>
      <c r="B64" s="14" t="e">
        <f>(SUM(I45)/J59)</f>
        <v>#VALUE!</v>
      </c>
      <c r="C64" s="87"/>
      <c r="D64" s="88"/>
      <c r="E64" s="88"/>
      <c r="F64" s="88"/>
      <c r="G64" s="88" t="s">
        <v>94</v>
      </c>
      <c r="H64" s="88"/>
      <c r="I64" s="5" t="s">
        <v>95</v>
      </c>
      <c r="J64" s="4" t="s">
        <v>11</v>
      </c>
      <c r="K64" s="84"/>
    </row>
    <row r="65" spans="1:13" customHeight="1" ht="47.25">
      <c r="A65" s="13" t="s">
        <v>96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97</v>
      </c>
      <c r="J65" s="4" t="s">
        <v>11</v>
      </c>
      <c r="K65" s="84"/>
    </row>
    <row r="66" spans="1:13" customHeight="1" ht="45.75">
      <c r="A66" s="51" t="s">
        <v>98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99</v>
      </c>
      <c r="J66" s="54"/>
      <c r="K66" s="84"/>
    </row>
    <row r="67" spans="1:13" customHeight="1" ht="45.75">
      <c r="A67" s="46" t="s">
        <v>100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101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