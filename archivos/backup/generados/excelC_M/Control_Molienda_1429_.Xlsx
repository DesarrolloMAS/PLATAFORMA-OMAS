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<sst xmlns="http://schemas.openxmlformats.org/spreadsheetml/2006/main" uniqueCount="118">
  <si>
    <t>CONTROL DE MOLIENDA ZONA CENTRO</t>
  </si>
  <si>
    <t>MOLIENDA DE TRIGO Nº</t>
  </si>
  <si>
    <t>Hora Turno1</t>
  </si>
  <si>
    <t>13:58</t>
  </si>
  <si>
    <t>Hora Turno2</t>
  </si>
  <si>
    <t>05:45</t>
  </si>
  <si>
    <t>Hora Turno3</t>
  </si>
  <si>
    <t>06:00</t>
  </si>
  <si>
    <t>FECHA</t>
  </si>
  <si>
    <t>2026-01-14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</si>
  <si>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</si>
  <si>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</si>
  <si>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</si>
  <si>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</si>
  <si>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</si>
  <si>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</si>
  <si>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</si>
  <si>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</si>
  <si>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</si>
  <si>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</si>
  <si>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</si>
  <si>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</si>
  <si>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</si>
  <si>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16613-50-60</t>
  </si>
  <si>
    <t>EXTRAPAN X50</t>
  </si>
  <si>
    <t>090126B</t>
  </si>
  <si>
    <t>EMPAQUE EXTRA PAN X50</t>
  </si>
  <si>
    <t>MP-02176</t>
  </si>
  <si>
    <t>140126B</t>
  </si>
  <si>
    <t>16613-40</t>
  </si>
  <si>
    <t>EXTRAPAN X25</t>
  </si>
  <si>
    <t>EMPAQUE EXTRA PAN X25</t>
  </si>
  <si>
    <t>MP-02053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</si>
  <si>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</si>
  <si>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</si>
  <si>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</si>
  <si>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</si>
  <si>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</si>
  <si>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</si>
  <si>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16613-20</t>
  </si>
  <si>
    <t>FUERTE X25</t>
  </si>
  <si>
    <t>EMPAQUE GALERAS CAFÉ X50</t>
  </si>
  <si>
    <t>MP-01461</t>
  </si>
  <si>
    <t>EMPAQUE GALERAS CAFE X25</t>
  </si>
  <si>
    <t>MP-01953</t>
  </si>
  <si>
    <t>NATURAL X50</t>
  </si>
  <si>
    <t>EMPAQUE GALERAS AZUL X50</t>
  </si>
  <si>
    <t>ESPECIAL X50</t>
  </si>
  <si>
    <t>EMPAQUE GALERAS NARANJA X25</t>
  </si>
  <si>
    <t>MP-02150</t>
  </si>
  <si>
    <t>ESPECIAL X25</t>
  </si>
  <si>
    <t>EMPAQUE GALERAS KRAFT X25</t>
  </si>
  <si>
    <t>16613-10</t>
  </si>
  <si>
    <t>EXCLUSIVA X50</t>
  </si>
  <si>
    <t>EMPAQUE MULTI BEIGE X25</t>
  </si>
  <si>
    <t>MP-02224</t>
  </si>
  <si>
    <t>16613-30</t>
  </si>
  <si>
    <t>EXCLUSIVA X25</t>
  </si>
  <si>
    <t>DESARROLLO X1</t>
  </si>
  <si>
    <t>EMPAQUE GALERAS MOG X40</t>
  </si>
  <si>
    <t>MP-02076-MP-02077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</si>
  <si>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</si>
  <si>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</si>
  <si>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</si>
  <si>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</si>
  <si>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</si>
  <si>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</si>
  <si>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</si>
  <si>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</si>
  <si>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MP-02161</t>
  </si>
  <si>
    <t>ARTESANAL X1</t>
  </si>
  <si>
    <t xml:space="preserve">MEJORANTE EXTRA PAN </t>
  </si>
  <si>
    <t>080126B-080126B1</t>
  </si>
  <si>
    <t xml:space="preserve">FUERTE EXPORTACIÓN </t>
  </si>
  <si>
    <t>MEJORANTE ARTESANAL</t>
  </si>
  <si>
    <t>HARINA T1 X 50</t>
  </si>
  <si>
    <t>HILO BLANCO</t>
  </si>
  <si>
    <t>16613-70</t>
  </si>
  <si>
    <t>SALVADO X25</t>
  </si>
  <si>
    <t>130126B</t>
  </si>
  <si>
    <t xml:space="preserve">HILO VERDE  </t>
  </si>
  <si>
    <t>MP-02097</t>
  </si>
  <si>
    <t>16613-80</t>
  </si>
  <si>
    <t>MOGOLLA X40</t>
  </si>
  <si>
    <t>HILO NARANJA</t>
  </si>
  <si>
    <t>MP-01747</t>
  </si>
  <si>
    <t>SEGUNDA X50</t>
  </si>
  <si>
    <t>EMPAQUE FUERTE EXPORTACION</t>
  </si>
  <si>
    <t>16613-100</t>
  </si>
  <si>
    <t>SÉMOLA FINA X25</t>
  </si>
  <si>
    <t>16613-90</t>
  </si>
  <si>
    <t>SEMOLA GRUESA X25</t>
  </si>
  <si>
    <t>GERMEN X25</t>
  </si>
  <si>
    <t>TOTAL HARINA</t>
  </si>
  <si>
    <t>TOTAL</t>
  </si>
  <si>
    <t>ENCARGADO TURNO 1</t>
  </si>
  <si>
    <t>EXT. HARINA</t>
  </si>
  <si>
    <t>Antonio</t>
  </si>
  <si>
    <t>Wilson</t>
  </si>
  <si>
    <t>Fernando</t>
  </si>
  <si>
    <t>ENCARGADO TURNO 2</t>
  </si>
  <si>
    <t>EXT. MOGOLLA</t>
  </si>
  <si>
    <t>Elmer</t>
  </si>
  <si>
    <t>Julio</t>
  </si>
  <si>
    <t>Ferney</t>
  </si>
  <si>
    <t>ENCARGADO TURNO 3</t>
  </si>
  <si>
    <t>EXT. SALVADO x25</t>
  </si>
  <si>
    <t>Rolando</t>
  </si>
  <si>
    <t>Yolmer</t>
  </si>
  <si>
    <t>Luis poloche</t>
  </si>
  <si>
    <t>ALMACENISTA 1</t>
  </si>
  <si>
    <t>EXT. SEGUNDA</t>
  </si>
  <si>
    <t>Hernando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</si>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</sst>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c11376656a0a62086f03ebdf52278a.png"/><Relationship Id="rId2" Type="http://schemas.openxmlformats.org/officeDocument/2006/relationships/image" Target="../media/e23ad8422697649e86ed89eeea412626.png"/><Relationship Id="rId3" Type="http://schemas.openxmlformats.org/officeDocument/2006/relationships/image" Target="../media/64c9b4bce11a601fe30dec440087f184.png"/><Relationship Id="rId4" Type="http://schemas.openxmlformats.org/officeDocument/2006/relationships/image" Target="../media/51966bacd9d84f507188a761db4f27f5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7811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669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1429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/>
      <c r="D11" s="39"/>
      <c r="E11" s="28"/>
      <c r="F11" s="19"/>
      <c r="G11" s="19">
        <v>136</v>
      </c>
      <c r="H11" s="19" t="s">
        <v>25</v>
      </c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/>
      <c r="E12" s="20"/>
      <c r="F12" s="20"/>
      <c r="G12" s="20">
        <v>416</v>
      </c>
      <c r="H12" s="20" t="s">
        <v>28</v>
      </c>
      <c r="I12" s="70"/>
      <c r="J12" s="67"/>
      <c r="K12" s="64"/>
      <c r="L12" s="64"/>
      <c r="M12" s="64"/>
    </row>
    <row r="13" spans="1:13">
      <c r="A13" s="27" t="s">
        <v>29</v>
      </c>
      <c r="B13" s="55" t="s">
        <v>30</v>
      </c>
      <c r="C13" s="34"/>
      <c r="D13" s="21"/>
      <c r="E13" s="21">
        <v>833</v>
      </c>
      <c r="F13" s="21" t="s">
        <v>28</v>
      </c>
      <c r="G13" s="21">
        <v>167</v>
      </c>
      <c r="H13" s="21" t="s">
        <v>28</v>
      </c>
      <c r="I13" s="70" t="e">
        <f>SUM((C13+C14+E13+E14+G13+G14)*25)</f>
        <v>#VALUE!</v>
      </c>
      <c r="J13" s="66" t="s">
        <v>31</v>
      </c>
      <c r="K13" s="64" t="s">
        <v>32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33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34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35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36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37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38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39</v>
      </c>
      <c r="B21" s="81" t="s">
        <v>40</v>
      </c>
      <c r="C21" s="34">
        <v>611</v>
      </c>
      <c r="D21" s="21" t="s">
        <v>28</v>
      </c>
      <c r="E21" s="21"/>
      <c r="F21" s="21"/>
      <c r="G21" s="21"/>
      <c r="H21" s="21"/>
      <c r="I21" s="70" t="e">
        <f>SUM((C21+C22+E21+E22+G21+G22)*25)</f>
        <v>#VALUE!</v>
      </c>
      <c r="J21" s="66" t="s">
        <v>41</v>
      </c>
      <c r="K21" s="64" t="s">
        <v>42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 t="s">
        <v>43</v>
      </c>
      <c r="K22" s="64" t="s">
        <v>44</v>
      </c>
      <c r="L22" s="64"/>
      <c r="M22" s="64"/>
    </row>
    <row r="23" spans="1:13">
      <c r="A23" s="27"/>
      <c r="B23" s="55" t="s">
        <v>45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48</v>
      </c>
      <c r="K25" s="64" t="s">
        <v>49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50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51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 t="s">
        <v>52</v>
      </c>
      <c r="B29" s="55" t="s">
        <v>53</v>
      </c>
      <c r="C29" s="34">
        <v>32</v>
      </c>
      <c r="D29" s="21" t="s">
        <v>28</v>
      </c>
      <c r="E29" s="21">
        <v>214</v>
      </c>
      <c r="F29" s="21" t="s">
        <v>28</v>
      </c>
      <c r="G29" s="21"/>
      <c r="H29" s="21"/>
      <c r="I29" s="70" t="e">
        <f>SUM((C29+C30+E29+E30+G29+G30)*50)</f>
        <v>#VALUE!</v>
      </c>
      <c r="J29" s="66" t="s">
        <v>54</v>
      </c>
      <c r="K29" s="64" t="s">
        <v>55</v>
      </c>
      <c r="L29" s="64"/>
      <c r="M29" s="64"/>
    </row>
    <row r="30" spans="1:13">
      <c r="A30" s="31" t="s">
        <v>56</v>
      </c>
      <c r="B30" s="56" t="s">
        <v>57</v>
      </c>
      <c r="C30" s="40">
        <v>500</v>
      </c>
      <c r="D30" s="20" t="s">
        <v>28</v>
      </c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58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59</v>
      </c>
      <c r="K31" s="64" t="s">
        <v>60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61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62</v>
      </c>
      <c r="K33" s="64" t="s">
        <v>63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64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65</v>
      </c>
      <c r="K35" s="64" t="s">
        <v>66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67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68</v>
      </c>
      <c r="K37" s="64" t="s">
        <v>69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70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71</v>
      </c>
      <c r="K39" s="64" t="s">
        <v>72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73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74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75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77</v>
      </c>
      <c r="B45" s="71" t="s">
        <v>78</v>
      </c>
      <c r="C45" s="34">
        <v>36</v>
      </c>
      <c r="D45" s="21" t="s">
        <v>79</v>
      </c>
      <c r="E45" s="21">
        <v>52</v>
      </c>
      <c r="F45" s="21" t="s">
        <v>79</v>
      </c>
      <c r="G45" s="21">
        <v>49</v>
      </c>
      <c r="H45" s="21" t="s">
        <v>79</v>
      </c>
      <c r="I45" s="65" t="e">
        <f>SUM((C45+C46+E45+E46+G45+G46)*25)</f>
        <v>#VALUE!</v>
      </c>
      <c r="J45" s="66" t="s">
        <v>80</v>
      </c>
      <c r="K45" s="64" t="s">
        <v>81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82</v>
      </c>
      <c r="B47" s="71" t="s">
        <v>83</v>
      </c>
      <c r="C47" s="34">
        <v>138</v>
      </c>
      <c r="D47" s="21" t="s">
        <v>79</v>
      </c>
      <c r="E47" s="21">
        <v>105</v>
      </c>
      <c r="F47" s="21" t="s">
        <v>79</v>
      </c>
      <c r="G47" s="21">
        <v>160</v>
      </c>
      <c r="H47" s="21" t="s">
        <v>79</v>
      </c>
      <c r="I47" s="65" t="e">
        <f>SUM((C47+C48+E47+E48+G47+G48)*40)</f>
        <v>#VALUE!</v>
      </c>
      <c r="J47" s="66" t="s">
        <v>84</v>
      </c>
      <c r="K47" s="64" t="s">
        <v>85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86</v>
      </c>
      <c r="C49" s="34"/>
      <c r="D49" s="21"/>
      <c r="E49" s="21">
        <v>81</v>
      </c>
      <c r="F49" s="21" t="s">
        <v>79</v>
      </c>
      <c r="G49" s="21">
        <v>9</v>
      </c>
      <c r="H49" s="21" t="s">
        <v>79</v>
      </c>
      <c r="I49" s="65" t="e">
        <f>SUM((C49+C50+E49+E50+G49+G50)*50)</f>
        <v>#VALUE!</v>
      </c>
      <c r="J49" s="66" t="s">
        <v>87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 t="s">
        <v>88</v>
      </c>
      <c r="B51" s="79" t="s">
        <v>89</v>
      </c>
      <c r="C51" s="34"/>
      <c r="D51" s="21"/>
      <c r="E51" s="21">
        <v>10</v>
      </c>
      <c r="F51" s="21" t="s">
        <v>28</v>
      </c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 t="s">
        <v>90</v>
      </c>
      <c r="B53" s="79" t="s">
        <v>91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92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93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94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95</v>
      </c>
      <c r="J61" s="48"/>
      <c r="K61" s="84"/>
    </row>
    <row r="62" spans="1:13" customHeight="1" ht="109">
      <c r="A62" s="11" t="s">
        <v>96</v>
      </c>
      <c r="B62" s="12" t="e">
        <f>B59/J59</f>
        <v>#VALUE!</v>
      </c>
      <c r="C62" s="85" t="s">
        <v>97</v>
      </c>
      <c r="D62" s="86"/>
      <c r="E62" s="86" t="s">
        <v>98</v>
      </c>
      <c r="F62" s="86"/>
      <c r="G62" s="86" t="s">
        <v>99</v>
      </c>
      <c r="H62" s="86"/>
      <c r="I62" s="50" t="s">
        <v>100</v>
      </c>
      <c r="J62" s="7"/>
      <c r="K62" s="84"/>
    </row>
    <row r="63" spans="1:13" customHeight="1" ht="119">
      <c r="A63" s="13" t="s">
        <v>101</v>
      </c>
      <c r="B63" s="14" t="e">
        <f>(SUM(I47)/J59)</f>
        <v>#VALUE!</v>
      </c>
      <c r="C63" s="87" t="s">
        <v>102</v>
      </c>
      <c r="D63" s="88"/>
      <c r="E63" s="88" t="s">
        <v>103</v>
      </c>
      <c r="F63" s="88"/>
      <c r="G63" s="88" t="s">
        <v>104</v>
      </c>
      <c r="H63" s="88"/>
      <c r="I63" s="5" t="s">
        <v>105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106</v>
      </c>
      <c r="B64" s="14" t="e">
        <f>(SUM(I45)/J59)</f>
        <v>#VALUE!</v>
      </c>
      <c r="C64" s="87" t="s">
        <v>107</v>
      </c>
      <c r="D64" s="88"/>
      <c r="E64" s="88" t="s">
        <v>108</v>
      </c>
      <c r="F64" s="88"/>
      <c r="G64" s="88" t="s">
        <v>109</v>
      </c>
      <c r="H64" s="88"/>
      <c r="I64" s="5" t="s">
        <v>110</v>
      </c>
      <c r="J64" s="4" t="s">
        <v>11</v>
      </c>
      <c r="K64" s="84"/>
    </row>
    <row r="65" spans="1:13" customHeight="1" ht="47.25">
      <c r="A65" s="13" t="s">
        <v>111</v>
      </c>
      <c r="B65" s="14" t="e">
        <f>(SUM(I49)/J59)</f>
        <v>#VALUE!</v>
      </c>
      <c r="C65" s="87"/>
      <c r="D65" s="88"/>
      <c r="E65" s="88"/>
      <c r="F65" s="88"/>
      <c r="G65" s="88" t="s">
        <v>112</v>
      </c>
      <c r="H65" s="88"/>
      <c r="I65" s="3" t="s">
        <v>113</v>
      </c>
      <c r="J65" s="4" t="s">
        <v>11</v>
      </c>
      <c r="K65" s="84"/>
    </row>
    <row r="66" spans="1:13" customHeight="1" ht="45.75">
      <c r="A66" s="51" t="s">
        <v>114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115</v>
      </c>
      <c r="J66" s="54"/>
      <c r="K66" s="84"/>
    </row>
    <row r="67" spans="1:13" customHeight="1" ht="45.75">
      <c r="A67" s="46" t="s">
        <v>116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117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