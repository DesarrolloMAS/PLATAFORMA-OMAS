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<sst xmlns="http://schemas.openxmlformats.org/spreadsheetml/2006/main" uniqueCount="113">
  <si>
    <t>CONTROL DE MOLIENDA ZONA CENTRO</t>
  </si>
  <si>
    <t>MOLIENDA DE TRIGO Nº</t>
  </si>
  <si>
    <t>Hora Turno1</t>
  </si>
  <si>
    <t>14:00</t>
  </si>
  <si>
    <t>Hora Turno2</t>
  </si>
  <si>
    <t>09:50</t>
  </si>
  <si>
    <t>Hora Turno3</t>
  </si>
  <si>
    <t>06:00</t>
  </si>
  <si>
    <t>FECHA</t>
  </si>
  <si>
    <t>2026-02-03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</si>
  <si>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</si>
  <si>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</si>
  <si>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</si>
  <si>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</si>
  <si>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</si>
  <si>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</si>
  <si>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</si>
  <si>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</si>
  <si>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</si>
  <si>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</si>
  <si>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</si>
  <si>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</si>
  <si>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</si>
  <si>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16781-70-80</t>
  </si>
  <si>
    <t>EXTRAPAN X50</t>
  </si>
  <si>
    <t>030226B</t>
  </si>
  <si>
    <t>300126B</t>
  </si>
  <si>
    <t>EMPAQUE EXTRA PAN X50</t>
  </si>
  <si>
    <t>MP-02191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</si>
  <si>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</si>
  <si>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</si>
  <si>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</si>
  <si>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</si>
  <si>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</si>
  <si>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</si>
  <si>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</si>
  <si>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</si>
  <si>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16781-10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</si>
  <si>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</si>
  <si>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</si>
  <si>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</si>
  <si>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</si>
  <si>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</si>
  <si>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</si>
  <si>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MP-02196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</si>
  <si>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</si>
  <si>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</si>
  <si>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</si>
  <si>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</si>
  <si>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</si>
  <si>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</si>
  <si>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MP-02077</t>
  </si>
  <si>
    <t>MP-02151</t>
  </si>
  <si>
    <t>16781-30</t>
  </si>
  <si>
    <t>HARINA ALTA PROTEINA X1</t>
  </si>
  <si>
    <t>020226B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</si>
  <si>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</si>
  <si>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</si>
  <si>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</si>
  <si>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</si>
  <si>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</si>
  <si>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</si>
  <si>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</si>
  <si>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MP-02199</t>
  </si>
  <si>
    <t>ARTESANAL X1</t>
  </si>
  <si>
    <t xml:space="preserve">MEJORANTE EXTRA PAN </t>
  </si>
  <si>
    <t>030226B1-030226B</t>
  </si>
  <si>
    <t>16781-20</t>
  </si>
  <si>
    <t xml:space="preserve">FUERTE EXPORTACIÓN </t>
  </si>
  <si>
    <t>030226BP</t>
  </si>
  <si>
    <t>MEJORANTE ARTESANAL</t>
  </si>
  <si>
    <t>HARINA T1 X 50</t>
  </si>
  <si>
    <t>HILO BLANCO</t>
  </si>
  <si>
    <t>16781-40</t>
  </si>
  <si>
    <t>SALVADO X25</t>
  </si>
  <si>
    <t xml:space="preserve">HILO VERDE  </t>
  </si>
  <si>
    <t>MP-02234</t>
  </si>
  <si>
    <t>16781-50</t>
  </si>
  <si>
    <t>MOGOLLA X40</t>
  </si>
  <si>
    <t>HILO NARANJA</t>
  </si>
  <si>
    <t>MP-01747</t>
  </si>
  <si>
    <t>16781-60</t>
  </si>
  <si>
    <t>SEGUNDA X50</t>
  </si>
  <si>
    <t>190226B</t>
  </si>
  <si>
    <t>EMPAQUE FUERTE EXPORTACION</t>
  </si>
  <si>
    <t>MP-01940</t>
  </si>
  <si>
    <t>SÉMOLA FINA X25</t>
  </si>
  <si>
    <t>VITAMINA (NET,616)</t>
  </si>
  <si>
    <t>MP-02009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</si>
  <si>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</si>
  <si>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</si>
  <si>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</si>
  <si>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</si>
  <si>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</si>
  <si>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</si>
  <si>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</si>
  <si>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Yolmer</t>
  </si>
  <si>
    <t>ENCARGADO TURNO 2</t>
  </si>
  <si>
    <t>EXT. MOGOLLA</t>
  </si>
  <si>
    <t>Fernando</t>
  </si>
  <si>
    <t>Hernando</t>
  </si>
  <si>
    <t>Elmer</t>
  </si>
  <si>
    <t>ENCARGADO TURNO 3</t>
  </si>
  <si>
    <t>EXT. SALVADO x25</t>
  </si>
  <si>
    <t>Luis poloche</t>
  </si>
  <si>
    <t>ALMACENISTA 1</t>
  </si>
  <si>
    <t>EXT. SEGUNDA</t>
  </si>
  <si>
    <t>Rolando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</si>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</sst>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ba0c1b9726a08445522f1ddcfd3b29.png"/><Relationship Id="rId2" Type="http://schemas.openxmlformats.org/officeDocument/2006/relationships/image" Target="../media/6635a06fce0b1a2454b51a0e46555cae.png"/><Relationship Id="rId3" Type="http://schemas.openxmlformats.org/officeDocument/2006/relationships/image" Target="../media/38fa7594b2e7388b3d292b49001d9f1a.png"/><Relationship Id="rId4" Type="http://schemas.openxmlformats.org/officeDocument/2006/relationships/image" Target="../media/19af27ee615fd2d83ca2eda723fd80f7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>
        <v>401</v>
      </c>
      <c r="F11" s="19" t="s">
        <v>25</v>
      </c>
      <c r="G11" s="19">
        <v>510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/>
      <c r="B12" s="121"/>
      <c r="C12" s="40"/>
      <c r="E12" s="20"/>
      <c r="F12" s="20"/>
      <c r="G12" s="20">
        <v>98</v>
      </c>
      <c r="H12" s="20" t="s">
        <v>25</v>
      </c>
      <c r="I12" s="70"/>
      <c r="J12" s="67"/>
      <c r="K12" s="64"/>
      <c r="L12" s="64"/>
      <c r="M12" s="64"/>
    </row>
    <row r="13" spans="1:13">
      <c r="A13" s="27"/>
      <c r="B13" s="55" t="s">
        <v>29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30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31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32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33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34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36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37</v>
      </c>
      <c r="B21" s="81" t="s">
        <v>38</v>
      </c>
      <c r="C21" s="34">
        <v>461</v>
      </c>
      <c r="D21" s="21" t="s">
        <v>25</v>
      </c>
      <c r="E21" s="21">
        <v>421</v>
      </c>
      <c r="F21" s="21" t="s">
        <v>25</v>
      </c>
      <c r="G21" s="21"/>
      <c r="H21" s="21"/>
      <c r="I21" s="70" t="e">
        <f>SUM((C21+C22+E21+E22+G21+G22)*25)</f>
        <v>#VALUE!</v>
      </c>
      <c r="J21" s="66" t="s">
        <v>39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40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41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42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43</v>
      </c>
      <c r="K25" s="64" t="s">
        <v>44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 t="s">
        <v>52</v>
      </c>
      <c r="L32" s="64"/>
      <c r="M32" s="64"/>
    </row>
    <row r="33" spans="1:13">
      <c r="A33" s="27" t="s">
        <v>53</v>
      </c>
      <c r="B33" s="55" t="s">
        <v>54</v>
      </c>
      <c r="C33" s="34">
        <v>16192</v>
      </c>
      <c r="D33" s="21" t="s">
        <v>55</v>
      </c>
      <c r="E33" s="21"/>
      <c r="F33" s="21"/>
      <c r="G33" s="21"/>
      <c r="H33" s="21"/>
      <c r="I33" s="70" t="e">
        <f>SUM((C33+C34+E33+E34+G33+G34)*1)</f>
        <v>#VALUE!</v>
      </c>
      <c r="J33" s="66" t="s">
        <v>56</v>
      </c>
      <c r="K33" s="64" t="s">
        <v>57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58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59</v>
      </c>
      <c r="K35" s="64" t="s">
        <v>60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61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65</v>
      </c>
      <c r="K39" s="64" t="s">
        <v>66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 t="s">
        <v>67</v>
      </c>
      <c r="B41" s="81" t="s">
        <v>68</v>
      </c>
      <c r="C41" s="34">
        <v>80</v>
      </c>
      <c r="D41" s="21" t="s">
        <v>69</v>
      </c>
      <c r="E41" s="21"/>
      <c r="F41" s="21"/>
      <c r="G41" s="21"/>
      <c r="H41" s="21"/>
      <c r="I41" s="70" t="e">
        <f>SUM((C41+C42+E41+E42+G41+G42)*1)</f>
        <v>#VALUE!</v>
      </c>
      <c r="J41" s="66" t="s">
        <v>70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71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72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73</v>
      </c>
      <c r="B45" s="71" t="s">
        <v>74</v>
      </c>
      <c r="C45" s="34">
        <v>45</v>
      </c>
      <c r="D45" s="21" t="s">
        <v>55</v>
      </c>
      <c r="E45" s="21">
        <v>55</v>
      </c>
      <c r="F45" s="21" t="s">
        <v>25</v>
      </c>
      <c r="G45" s="21">
        <v>53</v>
      </c>
      <c r="H45" s="21" t="s">
        <v>55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127</v>
      </c>
      <c r="D47" s="21" t="s">
        <v>55</v>
      </c>
      <c r="E47" s="21">
        <v>149</v>
      </c>
      <c r="F47" s="21" t="s">
        <v>55</v>
      </c>
      <c r="G47" s="21">
        <v>105</v>
      </c>
      <c r="H47" s="21" t="s">
        <v>55</v>
      </c>
      <c r="I47" s="65" t="e">
        <f>SUM((C47+C48+E47+E48+G47+G48)*40)</f>
        <v>#VALUE!</v>
      </c>
      <c r="J47" s="66" t="s">
        <v>79</v>
      </c>
      <c r="K47" s="64" t="s">
        <v>80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81</v>
      </c>
      <c r="B49" s="71" t="s">
        <v>82</v>
      </c>
      <c r="C49" s="34">
        <v>31</v>
      </c>
      <c r="D49" s="21" t="s">
        <v>83</v>
      </c>
      <c r="E49" s="21">
        <v>20</v>
      </c>
      <c r="F49" s="21" t="s">
        <v>55</v>
      </c>
      <c r="G49" s="21">
        <v>13</v>
      </c>
      <c r="H49" s="21" t="s">
        <v>55</v>
      </c>
      <c r="I49" s="65" t="e">
        <f>SUM((C49+C50+E49+E50+G49+G50)*50)</f>
        <v>#VALUE!</v>
      </c>
      <c r="J49" s="66" t="s">
        <v>84</v>
      </c>
      <c r="K49" s="64" t="s">
        <v>85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86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 t="s">
        <v>87</v>
      </c>
      <c r="K51" s="64" t="s">
        <v>88</v>
      </c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90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91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93</v>
      </c>
      <c r="J61" s="48"/>
      <c r="K61" s="84"/>
    </row>
    <row r="62" spans="1:13" customHeight="1" ht="109">
      <c r="A62" s="11" t="s">
        <v>94</v>
      </c>
      <c r="B62" s="12" t="e">
        <f>B59/J59</f>
        <v>#VALUE!</v>
      </c>
      <c r="C62" s="85" t="s">
        <v>95</v>
      </c>
      <c r="D62" s="86"/>
      <c r="E62" s="86" t="s">
        <v>95</v>
      </c>
      <c r="F62" s="86"/>
      <c r="G62" s="86" t="s">
        <v>96</v>
      </c>
      <c r="H62" s="86"/>
      <c r="I62" s="50" t="s">
        <v>97</v>
      </c>
      <c r="J62" s="7"/>
      <c r="K62" s="84"/>
    </row>
    <row r="63" spans="1:13" customHeight="1" ht="119">
      <c r="A63" s="13" t="s">
        <v>98</v>
      </c>
      <c r="B63" s="14" t="e">
        <f>(SUM(I47)/J59)</f>
        <v>#VALUE!</v>
      </c>
      <c r="C63" s="87" t="s">
        <v>99</v>
      </c>
      <c r="D63" s="88"/>
      <c r="E63" s="88" t="s">
        <v>100</v>
      </c>
      <c r="F63" s="88"/>
      <c r="G63" s="88" t="s">
        <v>101</v>
      </c>
      <c r="H63" s="88"/>
      <c r="I63" s="5" t="s">
        <v>102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103</v>
      </c>
      <c r="B64" s="14" t="e">
        <f>(SUM(I45)/J59)</f>
        <v>#VALUE!</v>
      </c>
      <c r="C64" s="87" t="s">
        <v>100</v>
      </c>
      <c r="D64" s="88"/>
      <c r="E64" s="88" t="s">
        <v>99</v>
      </c>
      <c r="F64" s="88"/>
      <c r="G64" s="88" t="s">
        <v>104</v>
      </c>
      <c r="H64" s="88"/>
      <c r="I64" s="5" t="s">
        <v>105</v>
      </c>
      <c r="J64" s="4" t="s">
        <v>11</v>
      </c>
      <c r="K64" s="84"/>
    </row>
    <row r="65" spans="1:13" customHeight="1" ht="47.25">
      <c r="A65" s="13" t="s">
        <v>106</v>
      </c>
      <c r="B65" s="14" t="e">
        <f>(SUM(I49)/J59)</f>
        <v>#VALUE!</v>
      </c>
      <c r="C65" s="87"/>
      <c r="D65" s="88"/>
      <c r="E65" s="88"/>
      <c r="F65" s="88"/>
      <c r="G65" s="88" t="s">
        <v>107</v>
      </c>
      <c r="H65" s="88"/>
      <c r="I65" s="3" t="s">
        <v>108</v>
      </c>
      <c r="J65" s="4" t="s">
        <v>11</v>
      </c>
      <c r="K65" s="84"/>
    </row>
    <row r="66" spans="1:13" customHeight="1" ht="45.75">
      <c r="A66" s="51" t="s">
        <v>109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110</v>
      </c>
      <c r="J66" s="54"/>
      <c r="K66" s="84"/>
    </row>
    <row r="67" spans="1:13" customHeight="1" ht="45.75">
      <c r="A67" s="46" t="s">
        <v>111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112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