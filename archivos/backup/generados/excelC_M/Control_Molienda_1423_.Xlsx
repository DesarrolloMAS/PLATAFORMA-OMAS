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<sst xmlns="http://schemas.openxmlformats.org/spreadsheetml/2006/main" uniqueCount="100">
  <si>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CENTRO</t>
  </si>
  <si>
    <t>MOLIENDA DE TRIGO Nº</t>
  </si>
  <si>
    <t>Hora Turno1</t>
  </si>
  <si>
    <t>13:58</t>
  </si>
  <si>
    <t>Hora Turno2</t>
  </si>
  <si>
    <t>05:59</t>
  </si>
  <si>
    <t>Hora Turno3</t>
  </si>
  <si>
    <t>06:03</t>
  </si>
  <si>
    <t>FECHA</t>
  </si>
  <si>
    <t>2026-01-05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</si>
  <si>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</si>
  <si>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</si>
  <si>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</si>
  <si>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</si>
  <si>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</si>
  <si>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</si>
  <si>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</si>
  <si>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</si>
  <si>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</si>
  <si>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</si>
  <si>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</si>
  <si>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</si>
  <si>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</si>
  <si>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</si>
  <si>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EMPAQUE EXTRA PAN X50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</si>
  <si>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</si>
  <si>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</si>
  <si>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</si>
  <si>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</si>
  <si>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</si>
  <si>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</si>
  <si>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</si>
  <si>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</si>
  <si>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</si>
  <si>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</si>
  <si>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</si>
  <si>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</si>
  <si>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</si>
  <si>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</si>
  <si>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</si>
  <si>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</si>
  <si>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</si>
  <si>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</si>
  <si>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</si>
  <si>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</si>
  <si>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MP-02076</t>
  </si>
  <si>
    <t>16544-30</t>
  </si>
  <si>
    <t>HARINA ALTA PROTEINA X1</t>
  </si>
  <si>
    <t>060126B</t>
  </si>
  <si>
    <t>EMPAQUE GALERAS SAL X25</t>
  </si>
  <si>
    <t>MP-02063</t>
  </si>
  <si>
    <t>HARINA MEDIA PROTEINA X1</t>
  </si>
  <si>
    <t>EMPAQUE GALERAS SEG X50</t>
  </si>
  <si>
    <t>MP-01919</t>
  </si>
  <si>
    <t>16544-10-20</t>
  </si>
  <si>
    <t>HARINA BAJA PROTEINA X1</t>
  </si>
  <si>
    <t>050126B</t>
  </si>
  <si>
    <t>VITAMINA</t>
  </si>
  <si>
    <t>MP-02161</t>
  </si>
  <si>
    <t>ARTESANAL X1</t>
  </si>
  <si>
    <t xml:space="preserve">MEJORANTE EXTRA PAN </t>
  </si>
  <si>
    <t xml:space="preserve">FUERTE EXPORTACIÓN </t>
  </si>
  <si>
    <t>MEJORANTE ARTESANAL</t>
  </si>
  <si>
    <t>HARINA T1 X 50</t>
  </si>
  <si>
    <t>HILO BLANCO</t>
  </si>
  <si>
    <t>16544-60-70</t>
  </si>
  <si>
    <t>SALVADO X25</t>
  </si>
  <si>
    <t>101225B</t>
  </si>
  <si>
    <t xml:space="preserve">HILO VERDE  </t>
  </si>
  <si>
    <t>MP-02097</t>
  </si>
  <si>
    <t>16544-40-50</t>
  </si>
  <si>
    <t>MOGOLLA X40</t>
  </si>
  <si>
    <t>HILO NARANJA</t>
  </si>
  <si>
    <t>16544-80-90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</si>
  <si>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</si>
  <si>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</si>
  <si>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</si>
  <si>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</si>
  <si>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</si>
  <si>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</si>
  <si>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</si>
  <si>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</si>
  <si>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</si>
  <si>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Yolmer</t>
  </si>
  <si>
    <t>Ferney</t>
  </si>
  <si>
    <t>Antonio</t>
  </si>
  <si>
    <t>ENCARGADO TURNO 2</t>
  </si>
  <si>
    <t>EXT. MOGOLLA</t>
  </si>
  <si>
    <t>Wuilson</t>
  </si>
  <si>
    <t>Luis poloche</t>
  </si>
  <si>
    <t>Elmer</t>
  </si>
  <si>
    <t>ENCARGADO TURNO 3</t>
  </si>
  <si>
    <t>EXT. SALVADO x25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</si>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</sst>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f5704ed4f81c0743bb8e3fcf396f68.png"/><Relationship Id="rId2" Type="http://schemas.openxmlformats.org/officeDocument/2006/relationships/image" Target="../media/d8aaad72e9a424b1bc428305521dd15f.png"/><Relationship Id="rId3" Type="http://schemas.openxmlformats.org/officeDocument/2006/relationships/image" Target="../media/eddd7cc4b74af26b5fba1756fdcd2b98.png"/><Relationship Id="rId4" Type="http://schemas.openxmlformats.org/officeDocument/2006/relationships/image" Target="../media/8889434c12d0d07cc5e5564c6128c777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288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192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83832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1423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/>
      <c r="F11" s="19"/>
      <c r="G11" s="19"/>
      <c r="H11" s="19"/>
      <c r="I11" s="70" t="e">
        <f>SUM((C11+C12+E11+E12+G11+G12)*50)</f>
        <v>#VALUE!</v>
      </c>
      <c r="J11" s="122" t="s">
        <v>24</v>
      </c>
      <c r="K11" s="64">
        <v>0</v>
      </c>
      <c r="L11" s="64"/>
      <c r="M11" s="64"/>
    </row>
    <row r="12" spans="1:13">
      <c r="A12" s="31"/>
      <c r="B12" s="121"/>
      <c r="C12" s="40"/>
      <c r="E12" s="20"/>
      <c r="F12" s="20"/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25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26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27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28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29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30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31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32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33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34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35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36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37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38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39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40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41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42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43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44</v>
      </c>
      <c r="K31" s="64" t="s">
        <v>45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46</v>
      </c>
      <c r="B33" s="55" t="s">
        <v>47</v>
      </c>
      <c r="C33" s="34"/>
      <c r="D33" s="21"/>
      <c r="E33" s="21">
        <v>11280</v>
      </c>
      <c r="F33" s="21" t="s">
        <v>48</v>
      </c>
      <c r="G33" s="21">
        <v>29392</v>
      </c>
      <c r="H33" s="21" t="s">
        <v>48</v>
      </c>
      <c r="I33" s="70" t="e">
        <f>SUM((C33+C34+E33+E34+G33+G34)*1)</f>
        <v>#VALUE!</v>
      </c>
      <c r="J33" s="66" t="s">
        <v>49</v>
      </c>
      <c r="K33" s="64" t="s">
        <v>50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51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52</v>
      </c>
      <c r="K35" s="64" t="s">
        <v>53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 t="s">
        <v>54</v>
      </c>
      <c r="B37" s="55" t="s">
        <v>55</v>
      </c>
      <c r="C37" s="34">
        <v>21760</v>
      </c>
      <c r="D37" s="21" t="s">
        <v>56</v>
      </c>
      <c r="E37" s="21">
        <v>15728</v>
      </c>
      <c r="F37" s="21" t="s">
        <v>56</v>
      </c>
      <c r="G37" s="21"/>
      <c r="H37" s="21"/>
      <c r="I37" s="70" t="e">
        <f>SUM((C37+C38+E37+E38+G37+G38)*1)</f>
        <v>#VALUE!</v>
      </c>
      <c r="J37" s="66" t="s">
        <v>57</v>
      </c>
      <c r="K37" s="64" t="s">
        <v>58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60</v>
      </c>
      <c r="K39" s="64">
        <v>0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61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62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63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64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65</v>
      </c>
      <c r="B45" s="71" t="s">
        <v>66</v>
      </c>
      <c r="C45" s="34">
        <v>97</v>
      </c>
      <c r="D45" s="21" t="s">
        <v>67</v>
      </c>
      <c r="E45" s="21">
        <v>50</v>
      </c>
      <c r="F45" s="21" t="s">
        <v>56</v>
      </c>
      <c r="G45" s="21"/>
      <c r="H45" s="21"/>
      <c r="I45" s="65" t="e">
        <f>SUM((C45+C46+E45+E46+G45+G46)*25)</f>
        <v>#VALUE!</v>
      </c>
      <c r="J45" s="66" t="s">
        <v>68</v>
      </c>
      <c r="K45" s="64" t="s">
        <v>69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70</v>
      </c>
      <c r="B47" s="71" t="s">
        <v>71</v>
      </c>
      <c r="C47" s="34">
        <v>138</v>
      </c>
      <c r="D47" s="21" t="s">
        <v>67</v>
      </c>
      <c r="E47" s="21">
        <v>152</v>
      </c>
      <c r="F47" s="21" t="s">
        <v>56</v>
      </c>
      <c r="G47" s="21">
        <v>115</v>
      </c>
      <c r="H47" s="21" t="s">
        <v>56</v>
      </c>
      <c r="I47" s="65" t="e">
        <f>SUM((C47+C48+E47+E48+G47+G48)*40)</f>
        <v>#VALUE!</v>
      </c>
      <c r="J47" s="66" t="s">
        <v>72</v>
      </c>
      <c r="K47" s="64">
        <v>0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73</v>
      </c>
      <c r="B49" s="71" t="s">
        <v>74</v>
      </c>
      <c r="C49" s="34"/>
      <c r="D49" s="21"/>
      <c r="E49" s="21"/>
      <c r="F49" s="21"/>
      <c r="G49" s="21">
        <v>86</v>
      </c>
      <c r="H49" s="21" t="s">
        <v>56</v>
      </c>
      <c r="I49" s="65" t="e">
        <f>SUM((C49+C50+E49+E50+G49+G50)*50)</f>
        <v>#VALUE!</v>
      </c>
      <c r="J49" s="66" t="s">
        <v>75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>
        <v>50</v>
      </c>
      <c r="H50" s="20" t="s">
        <v>67</v>
      </c>
      <c r="I50" s="65"/>
      <c r="J50" s="67"/>
      <c r="K50" s="64"/>
      <c r="L50" s="64"/>
      <c r="M50" s="64"/>
    </row>
    <row r="51" spans="1:13">
      <c r="A51" s="27"/>
      <c r="B51" s="79" t="s">
        <v>76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77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78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79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80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81</v>
      </c>
      <c r="J61" s="48"/>
      <c r="K61" s="84"/>
    </row>
    <row r="62" spans="1:13" customHeight="1" ht="109">
      <c r="A62" s="11" t="s">
        <v>82</v>
      </c>
      <c r="B62" s="12" t="e">
        <f>B59/J59</f>
        <v>#VALUE!</v>
      </c>
      <c r="C62" s="85" t="s">
        <v>83</v>
      </c>
      <c r="D62" s="86"/>
      <c r="E62" s="86" t="s">
        <v>84</v>
      </c>
      <c r="F62" s="86"/>
      <c r="G62" s="86" t="s">
        <v>85</v>
      </c>
      <c r="H62" s="86"/>
      <c r="I62" s="50" t="s">
        <v>86</v>
      </c>
      <c r="J62" s="7"/>
      <c r="K62" s="84"/>
    </row>
    <row r="63" spans="1:13" customHeight="1" ht="119">
      <c r="A63" s="13" t="s">
        <v>87</v>
      </c>
      <c r="B63" s="14" t="e">
        <f>(SUM(I47)/J59)</f>
        <v>#VALUE!</v>
      </c>
      <c r="C63" s="87" t="s">
        <v>88</v>
      </c>
      <c r="D63" s="88"/>
      <c r="E63" s="88" t="s">
        <v>89</v>
      </c>
      <c r="F63" s="88"/>
      <c r="G63" s="88" t="s">
        <v>90</v>
      </c>
      <c r="H63" s="88"/>
      <c r="I63" s="5" t="s">
        <v>91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92</v>
      </c>
      <c r="B64" s="14" t="e">
        <f>(SUM(I45)/J59)</f>
        <v>#VALUE!</v>
      </c>
      <c r="C64" s="87"/>
      <c r="D64" s="88"/>
      <c r="E64" s="88"/>
      <c r="F64" s="88"/>
      <c r="G64" s="88"/>
      <c r="H64" s="88"/>
      <c r="I64" s="5" t="s">
        <v>93</v>
      </c>
      <c r="J64" s="4" t="s">
        <v>11</v>
      </c>
      <c r="K64" s="84"/>
    </row>
    <row r="65" spans="1:13" customHeight="1" ht="47.25">
      <c r="A65" s="13" t="s">
        <v>94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95</v>
      </c>
      <c r="J65" s="4" t="s">
        <v>11</v>
      </c>
      <c r="K65" s="84"/>
    </row>
    <row r="66" spans="1:13" customHeight="1" ht="45.75">
      <c r="A66" s="51" t="s">
        <v>96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97</v>
      </c>
      <c r="J66" s="54"/>
      <c r="K66" s="84"/>
    </row>
    <row r="67" spans="1:13" customHeight="1" ht="45.75">
      <c r="A67" s="46" t="s">
        <v>98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99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