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<sst xmlns="http://schemas.openxmlformats.org/spreadsheetml/2006/main" uniqueCount="111">
  <si>
    <t>CONTROL DE MOLIENDA ZONA CENTRO</t>
  </si>
  <si>
    <t>MOLIENDA DE TRIGO Nº</t>
  </si>
  <si>
    <t>Hora Turno1</t>
  </si>
  <si>
    <t>14:29</t>
  </si>
  <si>
    <t>Hora Turno2</t>
  </si>
  <si>
    <t>22:10</t>
  </si>
  <si>
    <t>Hora Turno3</t>
  </si>
  <si>
    <t>06:10</t>
  </si>
  <si>
    <t>FECHA</t>
  </si>
  <si>
    <t>2026-01-30</t>
  </si>
  <si>
    <t>Responsable</t>
  </si>
  <si>
    <t>Gleimer Paez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</si>
  <si>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</si>
  <si>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</si>
  <si>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</si>
  <si>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</si>
  <si>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</si>
  <si>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</si>
  <si>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</si>
  <si>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</si>
  <si>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</si>
  <si>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</si>
  <si>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</si>
  <si>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16746-20</t>
  </si>
  <si>
    <t>EXTRAPAN X50</t>
  </si>
  <si>
    <t>290126B</t>
  </si>
  <si>
    <t>EMPAQUE EXTRA PAN X50</t>
  </si>
  <si>
    <t>MP-02191</t>
  </si>
  <si>
    <t>16746-30</t>
  </si>
  <si>
    <t>300126B</t>
  </si>
  <si>
    <t>EXTRAPAN X25</t>
  </si>
  <si>
    <t>EMPAQUE EXTRA PAN X25</t>
  </si>
  <si>
    <t>EXTRAPAN X10</t>
  </si>
  <si>
    <t>EMPAQUE EXTRAPAN X10</t>
  </si>
  <si>
    <t>16746-40</t>
  </si>
  <si>
    <t>ARTESANAL X50</t>
  </si>
  <si>
    <t>280126B</t>
  </si>
  <si>
    <t>EMPAQUE GALERAS ROJO X50</t>
  </si>
  <si>
    <t>MP-01506</t>
  </si>
  <si>
    <t>16746-50</t>
  </si>
  <si>
    <t>ARTESANAL X25</t>
  </si>
  <si>
    <t>EMPAQUE GALERAS VERDE X50</t>
  </si>
  <si>
    <t>MP-01990</t>
  </si>
  <si>
    <t>FUERTE X25</t>
  </si>
  <si>
    <t>EMPAQUE GALERAS CAFÉ X50</t>
  </si>
  <si>
    <t>16746-60</t>
  </si>
  <si>
    <t>NATURAL X50</t>
  </si>
  <si>
    <t>EMPAQUE GALERAS AZUL X50</t>
  </si>
  <si>
    <t>ESPECIAL X50</t>
  </si>
  <si>
    <t>EMPAQUE GALERAS NARANJA X25</t>
  </si>
  <si>
    <t>ESPECIAL X25</t>
  </si>
  <si>
    <t>EMPAQUE GALERAS KRAFT X25</t>
  </si>
  <si>
    <t>MP-02046</t>
  </si>
  <si>
    <t>EXCLUSIVA X50</t>
  </si>
  <si>
    <t>EMPAQUE MULTI BEIGE X25</t>
  </si>
  <si>
    <t>DESARROLLO X1</t>
  </si>
  <si>
    <t>EMPAQUE GALERAS MOG X40</t>
  </si>
  <si>
    <t>MP-02077</t>
  </si>
  <si>
    <t>16746-10</t>
  </si>
  <si>
    <t>HARINA ALTA PROTEINA X1</t>
  </si>
  <si>
    <t>EMPAQUE GALERAS SAL X25</t>
  </si>
  <si>
    <t>MP-02063</t>
  </si>
  <si>
    <t>HARINA MEDIA PROTEINA X1</t>
  </si>
  <si>
    <t>EMPAQUE GALERAS SEG X50</t>
  </si>
  <si>
    <t>MP-01942</t>
  </si>
  <si>
    <t>HARINA BAJA PROTEINA X1</t>
  </si>
  <si>
    <t>VITAMINA</t>
  </si>
  <si>
    <t>MP-02199</t>
  </si>
  <si>
    <t>ARTESANAL X1</t>
  </si>
  <si>
    <t xml:space="preserve">MEJORANTE EXTRA PAN </t>
  </si>
  <si>
    <t xml:space="preserve">FUERTE EXPORTACIÓN </t>
  </si>
  <si>
    <t>MEJORANTE ARTESANAL</t>
  </si>
  <si>
    <t>HARINA T1 X 50</t>
  </si>
  <si>
    <t>HILO BLANCO</t>
  </si>
  <si>
    <t>16746-70</t>
  </si>
  <si>
    <t>SALVADO X25</t>
  </si>
  <si>
    <t>190126B</t>
  </si>
  <si>
    <t xml:space="preserve">HILO VERDE  </t>
  </si>
  <si>
    <t>MP-02234</t>
  </si>
  <si>
    <t>16746-80</t>
  </si>
  <si>
    <t>MOGOLLA X40</t>
  </si>
  <si>
    <t>HILO NARANJA</t>
  </si>
  <si>
    <t>MP-01747</t>
  </si>
  <si>
    <t>16746-90</t>
  </si>
  <si>
    <t>SEGUNDA X50</t>
  </si>
  <si>
    <t>EMPAQUE FUERTE EXPORTACION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</si>
  <si>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</si>
  <si>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</si>
  <si>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</si>
  <si>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</si>
  <si>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</si>
  <si>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</si>
  <si>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</si>
  <si>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Yolmer</t>
  </si>
  <si>
    <t>Luis poloche</t>
  </si>
  <si>
    <t>Ferney</t>
  </si>
  <si>
    <t>ENCARGADO TURNO 2</t>
  </si>
  <si>
    <t>EXT. MOGOLLA</t>
  </si>
  <si>
    <t>Ralando</t>
  </si>
  <si>
    <t>Fernando</t>
  </si>
  <si>
    <t>ENCARGADO TURNO 3</t>
  </si>
  <si>
    <t>EXT. SALVADO x25</t>
  </si>
  <si>
    <t>Miguel</t>
  </si>
  <si>
    <t>Hernando</t>
  </si>
  <si>
    <t>ALMACENISTA 1</t>
  </si>
  <si>
    <t>EXT. SEGUNDA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</si>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</sst>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2a618da285eb601f1e0909fa3f583f.png"/><Relationship Id="rId2" Type="http://schemas.openxmlformats.org/officeDocument/2006/relationships/image" Target="../media/b486cf6a79ab45db54ac146adf2ac6e0.png"/><Relationship Id="rId3" Type="http://schemas.openxmlformats.org/officeDocument/2006/relationships/image" Target="../media/b6d6c3090576f60244c546055edf33c0.png"/><Relationship Id="rId4" Type="http://schemas.openxmlformats.org/officeDocument/2006/relationships/image" Target="../media/e4c6cf6c195f89fce2d506eec1df24a8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68592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72402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1439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 t="s">
        <v>23</v>
      </c>
      <c r="B11" s="120" t="s">
        <v>24</v>
      </c>
      <c r="C11" s="35">
        <v>110</v>
      </c>
      <c r="D11" s="39" t="s">
        <v>25</v>
      </c>
      <c r="E11" s="28">
        <v>48</v>
      </c>
      <c r="F11" s="19" t="s">
        <v>25</v>
      </c>
      <c r="G11" s="19"/>
      <c r="H11" s="19"/>
      <c r="I11" s="70" t="e">
        <f>SUM((C11+C12+E11+E12+G11+G12)*50)</f>
        <v>#VALUE!</v>
      </c>
      <c r="J11" s="122" t="s">
        <v>26</v>
      </c>
      <c r="K11" s="64" t="s">
        <v>27</v>
      </c>
      <c r="L11" s="64"/>
      <c r="M11" s="64"/>
    </row>
    <row r="12" spans="1:13">
      <c r="A12" s="31" t="s">
        <v>28</v>
      </c>
      <c r="B12" s="121"/>
      <c r="C12" s="40"/>
      <c r="E12" s="20">
        <v>34</v>
      </c>
      <c r="F12" s="20" t="s">
        <v>29</v>
      </c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30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31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32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33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 t="s">
        <v>34</v>
      </c>
      <c r="B17" s="55" t="s">
        <v>35</v>
      </c>
      <c r="C17" s="34">
        <v>110</v>
      </c>
      <c r="D17" s="21" t="s">
        <v>36</v>
      </c>
      <c r="E17" s="21"/>
      <c r="F17" s="21"/>
      <c r="G17" s="21"/>
      <c r="H17" s="21"/>
      <c r="I17" s="70" t="e">
        <f>SUM((C17+C18+E17+E18+G17+G18)*50)</f>
        <v>#VALUE!</v>
      </c>
      <c r="J17" s="55" t="s">
        <v>37</v>
      </c>
      <c r="K17" s="64" t="s">
        <v>38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 t="s">
        <v>39</v>
      </c>
      <c r="B19" s="55" t="s">
        <v>40</v>
      </c>
      <c r="C19" s="34">
        <v>200</v>
      </c>
      <c r="D19" s="21" t="s">
        <v>29</v>
      </c>
      <c r="E19" s="21"/>
      <c r="F19" s="21"/>
      <c r="G19" s="21"/>
      <c r="H19" s="21"/>
      <c r="I19" s="70" t="e">
        <f>SUM((C19+C20+E19+E20+G19+G20)*25)</f>
        <v>#VALUE!</v>
      </c>
      <c r="J19" s="66" t="s">
        <v>41</v>
      </c>
      <c r="K19" s="64" t="s">
        <v>42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43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44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 t="s">
        <v>45</v>
      </c>
      <c r="B23" s="55" t="s">
        <v>46</v>
      </c>
      <c r="C23" s="34">
        <v>267</v>
      </c>
      <c r="D23" s="21" t="s">
        <v>29</v>
      </c>
      <c r="E23" s="21"/>
      <c r="F23" s="21"/>
      <c r="G23" s="21"/>
      <c r="H23" s="21"/>
      <c r="I23" s="70" t="e">
        <f>SUM((C23+C24+E23+E24+G23+G24)*50)</f>
        <v>#VALUE!</v>
      </c>
      <c r="J23" s="66" t="s">
        <v>47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48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49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50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51</v>
      </c>
      <c r="K27" s="64" t="s">
        <v>52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53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54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55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56</v>
      </c>
      <c r="K31" s="64" t="s">
        <v>57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 t="s">
        <v>58</v>
      </c>
      <c r="B33" s="55" t="s">
        <v>59</v>
      </c>
      <c r="C33" s="34"/>
      <c r="D33" s="21"/>
      <c r="E33" s="21">
        <v>25664</v>
      </c>
      <c r="F33" s="21"/>
      <c r="G33" s="21">
        <v>18560</v>
      </c>
      <c r="H33" s="21" t="s">
        <v>29</v>
      </c>
      <c r="I33" s="70" t="e">
        <f>SUM((C33+C34+E33+E34+G33+G34)*1)</f>
        <v>#VALUE!</v>
      </c>
      <c r="J33" s="66" t="s">
        <v>60</v>
      </c>
      <c r="K33" s="64" t="s">
        <v>61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62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63</v>
      </c>
      <c r="K35" s="64" t="s">
        <v>64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65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66</v>
      </c>
      <c r="K37" s="64" t="s">
        <v>67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68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69</v>
      </c>
      <c r="K39" s="64" t="s">
        <v>36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70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71</v>
      </c>
      <c r="K41" s="64" t="s">
        <v>36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72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73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74</v>
      </c>
      <c r="B45" s="71" t="s">
        <v>75</v>
      </c>
      <c r="C45" s="34">
        <v>63</v>
      </c>
      <c r="D45" s="21" t="s">
        <v>76</v>
      </c>
      <c r="E45" s="21">
        <v>65</v>
      </c>
      <c r="F45" s="21" t="s">
        <v>76</v>
      </c>
      <c r="G45" s="21">
        <v>46</v>
      </c>
      <c r="H45" s="21" t="s">
        <v>76</v>
      </c>
      <c r="I45" s="65" t="e">
        <f>SUM((C45+C46+E45+E46+G45+G46)*25)</f>
        <v>#VALUE!</v>
      </c>
      <c r="J45" s="66" t="s">
        <v>77</v>
      </c>
      <c r="K45" s="64" t="s">
        <v>78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79</v>
      </c>
      <c r="B47" s="71" t="s">
        <v>80</v>
      </c>
      <c r="C47" s="34">
        <v>121</v>
      </c>
      <c r="D47" s="21" t="s">
        <v>76</v>
      </c>
      <c r="E47" s="21">
        <v>146</v>
      </c>
      <c r="F47" s="21" t="s">
        <v>76</v>
      </c>
      <c r="G47" s="21">
        <v>87</v>
      </c>
      <c r="H47" s="21" t="s">
        <v>76</v>
      </c>
      <c r="I47" s="65" t="e">
        <f>SUM((C47+C48+E47+E48+G47+G48)*40)</f>
        <v>#VALUE!</v>
      </c>
      <c r="J47" s="66" t="s">
        <v>81</v>
      </c>
      <c r="K47" s="64" t="s">
        <v>82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83</v>
      </c>
      <c r="B49" s="71" t="s">
        <v>84</v>
      </c>
      <c r="C49" s="34"/>
      <c r="D49" s="21"/>
      <c r="E49" s="21">
        <v>95</v>
      </c>
      <c r="F49" s="21" t="s">
        <v>76</v>
      </c>
      <c r="G49" s="21">
        <v>82</v>
      </c>
      <c r="H49" s="21" t="s">
        <v>76</v>
      </c>
      <c r="I49" s="65" t="e">
        <f>SUM((C49+C50+E49+E50+G49+G50)*50)</f>
        <v>#VALUE!</v>
      </c>
      <c r="J49" s="66" t="s">
        <v>85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86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87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88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89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90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91</v>
      </c>
      <c r="J61" s="48"/>
      <c r="K61" s="84"/>
    </row>
    <row r="62" spans="1:13" customHeight="1" ht="109">
      <c r="A62" s="11" t="s">
        <v>92</v>
      </c>
      <c r="B62" s="12" t="e">
        <f>B59/J59</f>
        <v>#VALUE!</v>
      </c>
      <c r="C62" s="85" t="s">
        <v>93</v>
      </c>
      <c r="D62" s="86"/>
      <c r="E62" s="86" t="s">
        <v>94</v>
      </c>
      <c r="F62" s="86"/>
      <c r="G62" s="86" t="s">
        <v>95</v>
      </c>
      <c r="H62" s="86"/>
      <c r="I62" s="50" t="s">
        <v>96</v>
      </c>
      <c r="J62" s="7"/>
      <c r="K62" s="84"/>
    </row>
    <row r="63" spans="1:13" customHeight="1" ht="119">
      <c r="A63" s="13" t="s">
        <v>97</v>
      </c>
      <c r="B63" s="14" t="e">
        <f>(SUM(I47)/J59)</f>
        <v>#VALUE!</v>
      </c>
      <c r="C63" s="87" t="s">
        <v>98</v>
      </c>
      <c r="D63" s="88"/>
      <c r="E63" s="88" t="s">
        <v>95</v>
      </c>
      <c r="F63" s="88"/>
      <c r="G63" s="88" t="s">
        <v>99</v>
      </c>
      <c r="H63" s="88"/>
      <c r="I63" s="5" t="s">
        <v>100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101</v>
      </c>
      <c r="B64" s="14" t="e">
        <f>(SUM(I45)/J59)</f>
        <v>#VALUE!</v>
      </c>
      <c r="C64" s="87" t="s">
        <v>102</v>
      </c>
      <c r="D64" s="88"/>
      <c r="E64" s="88" t="s">
        <v>99</v>
      </c>
      <c r="F64" s="88"/>
      <c r="G64" s="88" t="s">
        <v>103</v>
      </c>
      <c r="H64" s="88"/>
      <c r="I64" s="5" t="s">
        <v>104</v>
      </c>
      <c r="J64" s="4" t="s">
        <v>11</v>
      </c>
      <c r="K64" s="84"/>
    </row>
    <row r="65" spans="1:13" customHeight="1" ht="47.25">
      <c r="A65" s="13" t="s">
        <v>105</v>
      </c>
      <c r="B65" s="14" t="e">
        <f>(SUM(I49)/J59)</f>
        <v>#VALUE!</v>
      </c>
      <c r="C65" s="87"/>
      <c r="D65" s="88"/>
      <c r="E65" s="88"/>
      <c r="F65" s="88"/>
      <c r="G65" s="88"/>
      <c r="H65" s="88"/>
      <c r="I65" s="3" t="s">
        <v>106</v>
      </c>
      <c r="J65" s="4" t="s">
        <v>11</v>
      </c>
      <c r="K65" s="84"/>
    </row>
    <row r="66" spans="1:13" customHeight="1" ht="45.75">
      <c r="A66" s="51" t="s">
        <v>107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108</v>
      </c>
      <c r="J66" s="54"/>
      <c r="K66" s="84"/>
    </row>
    <row r="67" spans="1:13" customHeight="1" ht="45.75">
      <c r="A67" s="46" t="s">
        <v>109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110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