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<sst xmlns="http://schemas.openxmlformats.org/spreadsheetml/2006/main" uniqueCount="123">
  <si>
    <t>CONTROL DE MOLIENDA ZONA CENTRO</t>
  </si>
  <si>
    <t>MOLIENDA DE TRIGO Nº</t>
  </si>
  <si>
    <t>Hora Turno1</t>
  </si>
  <si>
    <t>13:50</t>
  </si>
  <si>
    <t>Hora Turno2</t>
  </si>
  <si>
    <t>21:57</t>
  </si>
  <si>
    <t>Hora Turno3</t>
  </si>
  <si>
    <t>06:00</t>
  </si>
  <si>
    <t>FECHA</t>
  </si>
  <si>
    <t>2026-01-21</t>
  </si>
  <si>
    <t>Responsable</t>
  </si>
  <si>
    <t>Jader Peñata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</si>
  <si>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</si>
  <si>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</si>
  <si>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</si>
  <si>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</si>
  <si>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</si>
  <si>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</si>
  <si>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</si>
  <si>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</si>
  <si>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</si>
  <si>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</si>
  <si>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</si>
  <si>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16686-10-16686-20</t>
  </si>
  <si>
    <t>EXTRAPAN X50</t>
  </si>
  <si>
    <t>200126B</t>
  </si>
  <si>
    <t>EMPAQUE EXTRA PAN X50</t>
  </si>
  <si>
    <t>MP-02176</t>
  </si>
  <si>
    <t>16686-30</t>
  </si>
  <si>
    <t>200126B1</t>
  </si>
  <si>
    <t>210125B</t>
  </si>
  <si>
    <t>EXTRAPAN X25</t>
  </si>
  <si>
    <t>EMPAQUE EXTRA PAN X25</t>
  </si>
  <si>
    <t>EXTRAPAN X10</t>
  </si>
  <si>
    <t>EMPAQUE EXTRAPAN X10</t>
  </si>
  <si>
    <t>16686-40</t>
  </si>
  <si>
    <t>ARTESANAL X50</t>
  </si>
  <si>
    <t>210126B</t>
  </si>
  <si>
    <t>EMPAQUE GALERAS ROJO X50</t>
  </si>
  <si>
    <t>MP-01506</t>
  </si>
  <si>
    <t>16686-50</t>
  </si>
  <si>
    <t>ARTESANAL X25</t>
  </si>
  <si>
    <t>EMPAQUE GALERAS VERDE X50</t>
  </si>
  <si>
    <t>16686-60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</si>
  <si>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</si>
  <si>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</si>
  <si>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</si>
  <si>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</si>
  <si>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</si>
  <si>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</si>
  <si>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MP-02196</t>
  </si>
  <si>
    <t>ESPECIAL X25</t>
  </si>
  <si>
    <t>EMPAQUE GALERAS KRAFT X25</t>
  </si>
  <si>
    <t>MP-02046</t>
  </si>
  <si>
    <t>EXCLUSIVA X50</t>
  </si>
  <si>
    <t>EMPAQUE MULTI BEIGE X25</t>
  </si>
  <si>
    <t>MP-02224</t>
  </si>
  <si>
    <t>DESARROLLO X1</t>
  </si>
  <si>
    <t>EMPAQUE GALERAS MOG X40</t>
  </si>
  <si>
    <t>MP-02077</t>
  </si>
  <si>
    <t>HARINA ALTA PROTEINA X1</t>
  </si>
  <si>
    <t>EMPAQUE GALERAS SAL X25</t>
  </si>
  <si>
    <t>MP-02063</t>
  </si>
  <si>
    <t>HARINA MEDIA PROTEINA X1</t>
  </si>
  <si>
    <t>EMPAQUE GALERAS SEG X50</t>
  </si>
  <si>
    <t>MP-01942</t>
  </si>
  <si>
    <t>HARINA BAJA PROTEINA X1</t>
  </si>
  <si>
    <t>VITAMINA</t>
  </si>
  <si>
    <t>MP-02161-MP-02199</t>
  </si>
  <si>
    <t>ARTESANAL X1</t>
  </si>
  <si>
    <t xml:space="preserve">MEJORANTE EXTRA PAN </t>
  </si>
  <si>
    <t>190126B-190126B1</t>
  </si>
  <si>
    <t>16686-70</t>
  </si>
  <si>
    <t xml:space="preserve">FUERTE EXPORTACIÓN </t>
  </si>
  <si>
    <t>MEJORANTE ARTESANAL</t>
  </si>
  <si>
    <t>210126BP</t>
  </si>
  <si>
    <t>HARINA T1 X 50</t>
  </si>
  <si>
    <t>HILO BLANCO</t>
  </si>
  <si>
    <t>16686-80</t>
  </si>
  <si>
    <t>SALVADO X25</t>
  </si>
  <si>
    <t>190126B</t>
  </si>
  <si>
    <t xml:space="preserve">HILO VERDE  </t>
  </si>
  <si>
    <t>MP-02234</t>
  </si>
  <si>
    <t>16686-90</t>
  </si>
  <si>
    <t>MOGOLLA X40</t>
  </si>
  <si>
    <t>HILO NARANJA</t>
  </si>
  <si>
    <t>MP-01747</t>
  </si>
  <si>
    <t>16686-100</t>
  </si>
  <si>
    <t>SEGUNDA X50</t>
  </si>
  <si>
    <t>EMPAQUE FUERTE EXPORTACION</t>
  </si>
  <si>
    <t>MP-01940</t>
  </si>
  <si>
    <t>16686-110</t>
  </si>
  <si>
    <t>SÉMOLA FINA X25</t>
  </si>
  <si>
    <t>VITAMINA (NTE.616)</t>
  </si>
  <si>
    <t>MP-02009</t>
  </si>
  <si>
    <t>SEMOLA GRUESA X25</t>
  </si>
  <si>
    <t>GERMEN X25</t>
  </si>
  <si>
    <t>TOTAL HARINA</t>
  </si>
  <si>
    <t>TOTAL</t>
  </si>
  <si>
    <t>ENCARGADO TURNO 1</t>
  </si>
  <si>
    <t>EXT. HARINA</t>
  </si>
  <si>
    <t>Wilson</t>
  </si>
  <si>
    <t>Antonio</t>
  </si>
  <si>
    <t>Yolmer</t>
  </si>
  <si>
    <t>ENCARGADO TURNO 2</t>
  </si>
  <si>
    <t>EXT. MOGOLLA</t>
  </si>
  <si>
    <t>Ferney</t>
  </si>
  <si>
    <t>Hernando</t>
  </si>
  <si>
    <t>Rolando</t>
  </si>
  <si>
    <t>ENCARGADO TURNO 3</t>
  </si>
  <si>
    <t>EXT. SALVADO x25</t>
  </si>
  <si>
    <t>Fernando</t>
  </si>
  <si>
    <t>Elmer</t>
  </si>
  <si>
    <t>ALMACENISTA 1</t>
  </si>
  <si>
    <t>EXT. SEGUNDA</t>
  </si>
  <si>
    <t>YOLMER</t>
  </si>
  <si>
    <t>Miguel</t>
  </si>
  <si>
    <t>ALMACENISTA 2</t>
  </si>
  <si>
    <t>Gleimer Paez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</si>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</sst>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71df1b34c84c79e0ae6225efcc103d0.png"/><Relationship Id="rId2" Type="http://schemas.openxmlformats.org/officeDocument/2006/relationships/image" Target="../media/95afba18cff4f09150b8c8ba6cd428de.png"/><Relationship Id="rId3" Type="http://schemas.openxmlformats.org/officeDocument/2006/relationships/image" Target="../media/169856f185bcabdee30ea2fdc2fad7db.png"/><Relationship Id="rId4" Type="http://schemas.openxmlformats.org/officeDocument/2006/relationships/image" Target="../media/c4298a128af849dca7af83296281e305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7907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288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1434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226</v>
      </c>
      <c r="D11" s="39" t="s">
        <v>25</v>
      </c>
      <c r="E11" s="28"/>
      <c r="F11" s="19"/>
      <c r="G11" s="19">
        <v>21</v>
      </c>
      <c r="H11" s="19" t="s">
        <v>25</v>
      </c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 t="s">
        <v>28</v>
      </c>
      <c r="B12" s="121"/>
      <c r="C12" s="40">
        <v>210</v>
      </c>
      <c r="D12" t="s">
        <v>29</v>
      </c>
      <c r="E12" s="20"/>
      <c r="F12" s="20"/>
      <c r="G12" s="20">
        <v>335</v>
      </c>
      <c r="H12" s="20" t="s">
        <v>30</v>
      </c>
      <c r="I12" s="70"/>
      <c r="J12" s="67"/>
      <c r="K12" s="64"/>
      <c r="L12" s="64"/>
      <c r="M12" s="64"/>
    </row>
    <row r="13" spans="1:13">
      <c r="A13" s="27"/>
      <c r="B13" s="55" t="s">
        <v>31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32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33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34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 t="s">
        <v>35</v>
      </c>
      <c r="B17" s="55" t="s">
        <v>36</v>
      </c>
      <c r="C17" s="34"/>
      <c r="D17" s="21"/>
      <c r="E17" s="21">
        <v>85</v>
      </c>
      <c r="F17" s="21" t="s">
        <v>37</v>
      </c>
      <c r="G17" s="21">
        <v>261</v>
      </c>
      <c r="H17" s="21" t="s">
        <v>37</v>
      </c>
      <c r="I17" s="70" t="e">
        <f>SUM((C17+C18+E17+E18+G17+G18)*50)</f>
        <v>#VALUE!</v>
      </c>
      <c r="J17" s="55" t="s">
        <v>38</v>
      </c>
      <c r="K17" s="64" t="s">
        <v>39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 t="s">
        <v>40</v>
      </c>
      <c r="B19" s="55" t="s">
        <v>41</v>
      </c>
      <c r="C19" s="34"/>
      <c r="D19" s="21"/>
      <c r="E19" s="21">
        <v>300</v>
      </c>
      <c r="F19" s="21" t="s">
        <v>37</v>
      </c>
      <c r="G19" s="21"/>
      <c r="H19" s="21"/>
      <c r="I19" s="70" t="e">
        <f>SUM((C19+C20+E19+E20+G19+G20)*25)</f>
        <v>#VALUE!</v>
      </c>
      <c r="J19" s="66" t="s">
        <v>42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 t="s">
        <v>43</v>
      </c>
      <c r="B21" s="81" t="s">
        <v>44</v>
      </c>
      <c r="C21" s="34">
        <v>230</v>
      </c>
      <c r="D21" s="21" t="s">
        <v>37</v>
      </c>
      <c r="E21" s="21">
        <v>596</v>
      </c>
      <c r="F21" s="21" t="s">
        <v>37</v>
      </c>
      <c r="G21" s="21"/>
      <c r="H21" s="21"/>
      <c r="I21" s="70" t="e">
        <f>SUM((C21+C22+E21+E22+G21+G22)*25)</f>
        <v>#VALUE!</v>
      </c>
      <c r="J21" s="66" t="s">
        <v>45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46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47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48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49</v>
      </c>
      <c r="K25" s="64" t="s">
        <v>50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51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52</v>
      </c>
      <c r="K27" s="64" t="s">
        <v>53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54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55</v>
      </c>
      <c r="K29" s="64" t="s">
        <v>56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57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58</v>
      </c>
      <c r="K31" s="64" t="s">
        <v>59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60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61</v>
      </c>
      <c r="K33" s="64" t="s">
        <v>62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63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64</v>
      </c>
      <c r="K35" s="64" t="s">
        <v>65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66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67</v>
      </c>
      <c r="K37" s="64" t="s">
        <v>68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69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70</v>
      </c>
      <c r="K39" s="64" t="s">
        <v>71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 t="s">
        <v>72</v>
      </c>
      <c r="B41" s="81" t="s">
        <v>73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74</v>
      </c>
      <c r="K41" s="64" t="s">
        <v>37</v>
      </c>
      <c r="L41" s="64"/>
      <c r="M41" s="64"/>
    </row>
    <row r="42" spans="1:13">
      <c r="A42" s="31"/>
      <c r="B42" s="81"/>
      <c r="C42" s="40">
        <v>120</v>
      </c>
      <c r="D42" s="20" t="s">
        <v>75</v>
      </c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76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77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78</v>
      </c>
      <c r="B45" s="71" t="s">
        <v>79</v>
      </c>
      <c r="C45" s="34">
        <v>54</v>
      </c>
      <c r="D45" s="21" t="s">
        <v>80</v>
      </c>
      <c r="E45" s="21">
        <v>34</v>
      </c>
      <c r="F45" s="21" t="s">
        <v>80</v>
      </c>
      <c r="G45" s="21">
        <v>72</v>
      </c>
      <c r="H45" s="21" t="s">
        <v>80</v>
      </c>
      <c r="I45" s="65" t="e">
        <f>SUM((C45+C46+E45+E46+G45+G46)*25)</f>
        <v>#VALUE!</v>
      </c>
      <c r="J45" s="66" t="s">
        <v>81</v>
      </c>
      <c r="K45" s="64" t="s">
        <v>82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83</v>
      </c>
      <c r="B47" s="71" t="s">
        <v>84</v>
      </c>
      <c r="C47" s="34">
        <v>143</v>
      </c>
      <c r="D47" s="21" t="s">
        <v>80</v>
      </c>
      <c r="E47" s="21">
        <v>109</v>
      </c>
      <c r="F47" s="21" t="s">
        <v>80</v>
      </c>
      <c r="G47" s="21">
        <v>138</v>
      </c>
      <c r="H47" s="21" t="s">
        <v>80</v>
      </c>
      <c r="I47" s="65" t="e">
        <f>SUM((C47+C48+E47+E48+G47+G48)*40)</f>
        <v>#VALUE!</v>
      </c>
      <c r="J47" s="66" t="s">
        <v>85</v>
      </c>
      <c r="K47" s="64" t="s">
        <v>86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87</v>
      </c>
      <c r="B49" s="71" t="s">
        <v>88</v>
      </c>
      <c r="C49" s="34">
        <v>20</v>
      </c>
      <c r="D49" s="21" t="s">
        <v>80</v>
      </c>
      <c r="E49" s="21">
        <v>38</v>
      </c>
      <c r="F49" s="21" t="s">
        <v>80</v>
      </c>
      <c r="G49" s="21">
        <v>40</v>
      </c>
      <c r="H49" s="21" t="s">
        <v>80</v>
      </c>
      <c r="I49" s="65" t="e">
        <f>SUM((C49+C50+E49+E50+G49+G50)*50)</f>
        <v>#VALUE!</v>
      </c>
      <c r="J49" s="66" t="s">
        <v>89</v>
      </c>
      <c r="K49" s="64" t="s">
        <v>90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 t="s">
        <v>91</v>
      </c>
      <c r="B51" s="79" t="s">
        <v>92</v>
      </c>
      <c r="C51" s="34">
        <v>12</v>
      </c>
      <c r="D51" s="21" t="s">
        <v>80</v>
      </c>
      <c r="E51" s="21">
        <v>7</v>
      </c>
      <c r="F51" s="21" t="s">
        <v>80</v>
      </c>
      <c r="G51" s="21"/>
      <c r="H51" s="21"/>
      <c r="I51" s="65" t="e">
        <f>SUM((C51+C52+E51+E52+G51+G52)*25)</f>
        <v>#VALUE!</v>
      </c>
      <c r="J51" s="66" t="s">
        <v>93</v>
      </c>
      <c r="K51" s="64" t="s">
        <v>94</v>
      </c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95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96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97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98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99</v>
      </c>
      <c r="J61" s="48"/>
      <c r="K61" s="84"/>
    </row>
    <row r="62" spans="1:13" customHeight="1" ht="109">
      <c r="A62" s="11" t="s">
        <v>100</v>
      </c>
      <c r="B62" s="12" t="e">
        <f>B59/J59</f>
        <v>#VALUE!</v>
      </c>
      <c r="C62" s="85" t="s">
        <v>101</v>
      </c>
      <c r="D62" s="86"/>
      <c r="E62" s="86" t="s">
        <v>102</v>
      </c>
      <c r="F62" s="86"/>
      <c r="G62" s="86" t="s">
        <v>103</v>
      </c>
      <c r="H62" s="86"/>
      <c r="I62" s="50" t="s">
        <v>104</v>
      </c>
      <c r="J62" s="7"/>
      <c r="K62" s="84"/>
    </row>
    <row r="63" spans="1:13" customHeight="1" ht="119">
      <c r="A63" s="13" t="s">
        <v>105</v>
      </c>
      <c r="B63" s="14" t="e">
        <f>(SUM(I47)/J59)</f>
        <v>#VALUE!</v>
      </c>
      <c r="C63" s="87" t="s">
        <v>106</v>
      </c>
      <c r="D63" s="88"/>
      <c r="E63" s="88" t="s">
        <v>107</v>
      </c>
      <c r="F63" s="88"/>
      <c r="G63" s="88" t="s">
        <v>108</v>
      </c>
      <c r="H63" s="88"/>
      <c r="I63" s="5" t="s">
        <v>109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110</v>
      </c>
      <c r="B64" s="14" t="e">
        <f>(SUM(I45)/J59)</f>
        <v>#VALUE!</v>
      </c>
      <c r="C64" s="87" t="s">
        <v>111</v>
      </c>
      <c r="D64" s="88"/>
      <c r="E64" s="88" t="s">
        <v>112</v>
      </c>
      <c r="F64" s="88"/>
      <c r="G64" s="88" t="s">
        <v>112</v>
      </c>
      <c r="H64" s="88"/>
      <c r="I64" s="5" t="s">
        <v>113</v>
      </c>
      <c r="J64" s="4" t="s">
        <v>11</v>
      </c>
      <c r="K64" s="84"/>
    </row>
    <row r="65" spans="1:13" customHeight="1" ht="47.25">
      <c r="A65" s="13" t="s">
        <v>114</v>
      </c>
      <c r="B65" s="14" t="e">
        <f>(SUM(I49)/J59)</f>
        <v>#VALUE!</v>
      </c>
      <c r="C65" s="87"/>
      <c r="D65" s="88"/>
      <c r="E65" s="88" t="s">
        <v>115</v>
      </c>
      <c r="F65" s="88"/>
      <c r="G65" s="88" t="s">
        <v>116</v>
      </c>
      <c r="H65" s="88"/>
      <c r="I65" s="3" t="s">
        <v>117</v>
      </c>
      <c r="J65" s="4" t="s">
        <v>118</v>
      </c>
      <c r="K65" s="84"/>
    </row>
    <row r="66" spans="1:13" customHeight="1" ht="45.75">
      <c r="A66" s="51" t="s">
        <v>119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120</v>
      </c>
      <c r="J66" s="54"/>
      <c r="K66" s="84"/>
    </row>
    <row r="67" spans="1:13" customHeight="1" ht="45.75">
      <c r="A67" s="46" t="s">
        <v>121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122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