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<sst xmlns="http://schemas.openxmlformats.org/spreadsheetml/2006/main" uniqueCount="109">
  <si>
    <t>CONTROL DE MOLIENDA ZONA CENTRO</t>
  </si>
  <si>
    <t>MOLIENDA DE TRIGO Nº</t>
  </si>
  <si>
    <t>Hora Turno1</t>
  </si>
  <si>
    <t>13:57</t>
  </si>
  <si>
    <t>Hora Turno2</t>
  </si>
  <si>
    <t>10:00</t>
  </si>
  <si>
    <t>Hora Turno3</t>
  </si>
  <si>
    <t>05:59</t>
  </si>
  <si>
    <t>FECHA</t>
  </si>
  <si>
    <t>2026-01-15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</si>
  <si>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</si>
  <si>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</si>
  <si>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</si>
  <si>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</si>
  <si>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</si>
  <si>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</si>
  <si>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</si>
  <si>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</si>
  <si>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</si>
  <si>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</si>
  <si>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</si>
  <si>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</si>
  <si>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</si>
  <si>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16614-10-20</t>
  </si>
  <si>
    <t>EXTRAPAN X50</t>
  </si>
  <si>
    <t>140126B</t>
  </si>
  <si>
    <t>EMPAQUE EXTRA PAN X50</t>
  </si>
  <si>
    <t>MP-02176</t>
  </si>
  <si>
    <t>150126B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</si>
  <si>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</si>
  <si>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</si>
  <si>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</si>
  <si>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</si>
  <si>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</si>
  <si>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</si>
  <si>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</si>
  <si>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</si>
  <si>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</si>
  <si>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</si>
  <si>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</si>
  <si>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</si>
  <si>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</si>
  <si>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</si>
  <si>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</si>
  <si>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</si>
  <si>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</si>
  <si>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</si>
  <si>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MP-02224</t>
  </si>
  <si>
    <t>DESARROLLO X1</t>
  </si>
  <si>
    <t>EMPAQUE GALERAS MOG X40</t>
  </si>
  <si>
    <t>MP-02077</t>
  </si>
  <si>
    <t>16614-30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</si>
  <si>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</si>
  <si>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</si>
  <si>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</si>
  <si>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</si>
  <si>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</si>
  <si>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</si>
  <si>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HARINA BAJA PROTEINA X1</t>
  </si>
  <si>
    <t>VITAMINA</t>
  </si>
  <si>
    <t>MP-02161</t>
  </si>
  <si>
    <t>ARTESANAL X1</t>
  </si>
  <si>
    <t xml:space="preserve">MEJORANTE EXTRA PAN </t>
  </si>
  <si>
    <t>080126B1-140126B</t>
  </si>
  <si>
    <t xml:space="preserve">FUERTE EXPORTACIÓN </t>
  </si>
  <si>
    <t>MEJORANTE ARTESANAL</t>
  </si>
  <si>
    <t>HARINA T1 X 50</t>
  </si>
  <si>
    <t>HILO BLANCO</t>
  </si>
  <si>
    <t>16614-40</t>
  </si>
  <si>
    <t>SALVADO X25</t>
  </si>
  <si>
    <t>130126B</t>
  </si>
  <si>
    <t xml:space="preserve">HILO VERDE  </t>
  </si>
  <si>
    <t>MP-02234</t>
  </si>
  <si>
    <t>16614-50</t>
  </si>
  <si>
    <t>MOGOLLA X40</t>
  </si>
  <si>
    <t>HILO NARANJA</t>
  </si>
  <si>
    <t>MP-01747</t>
  </si>
  <si>
    <t>16614-70</t>
  </si>
  <si>
    <t>SEGUNDA X50</t>
  </si>
  <si>
    <t>EMPAQUE FUERTE EXPORTACION</t>
  </si>
  <si>
    <t>16614-60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</si>
  <si>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</si>
  <si>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</si>
  <si>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</si>
  <si>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</si>
  <si>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</si>
  <si>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</si>
  <si>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</si>
  <si>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</si>
  <si>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Yolmer</t>
  </si>
  <si>
    <t>Luis poloche</t>
  </si>
  <si>
    <t>ENCARGADO TURNO 2</t>
  </si>
  <si>
    <t>EXT. MOGOLLA</t>
  </si>
  <si>
    <t>Rolando</t>
  </si>
  <si>
    <t>Wuilson</t>
  </si>
  <si>
    <t>Fernando</t>
  </si>
  <si>
    <t>ENCARGADO TURNO 3</t>
  </si>
  <si>
    <t>EXT. SALVADO x25</t>
  </si>
  <si>
    <t>Elmer</t>
  </si>
  <si>
    <t>Julio</t>
  </si>
  <si>
    <t>Ferney</t>
  </si>
  <si>
    <t>ALMACENISTA 1</t>
  </si>
  <si>
    <t>EXT. SEGUNDA</t>
  </si>
  <si>
    <t>Hernando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</si>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</sst>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d80243a3529a52bf75468a769a4a9d.png"/><Relationship Id="rId2" Type="http://schemas.openxmlformats.org/officeDocument/2006/relationships/image" Target="../media/073ad0e6a63bbc99ecaa49888991fc26.png"/><Relationship Id="rId3" Type="http://schemas.openxmlformats.org/officeDocument/2006/relationships/image" Target="../media/b61857b29934403b51ff08d770382d73.png"/><Relationship Id="rId4" Type="http://schemas.openxmlformats.org/officeDocument/2006/relationships/image" Target="../media/8df45875512cde469f94587c3bfce92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002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097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383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1430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362</v>
      </c>
      <c r="D11" s="39" t="s">
        <v>25</v>
      </c>
      <c r="E11" s="28"/>
      <c r="F11" s="19"/>
      <c r="G11" s="19"/>
      <c r="H11" s="19"/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>
        <v>143</v>
      </c>
      <c r="D12" t="s">
        <v>28</v>
      </c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29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30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31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32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33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34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35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36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37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38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39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40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41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42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43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44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45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46</v>
      </c>
      <c r="K29" s="64" t="s">
        <v>47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48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49</v>
      </c>
      <c r="K31" s="64" t="s">
        <v>50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51</v>
      </c>
      <c r="B33" s="55" t="s">
        <v>52</v>
      </c>
      <c r="C33" s="34">
        <v>5808</v>
      </c>
      <c r="D33" s="21" t="s">
        <v>28</v>
      </c>
      <c r="E33" s="21">
        <v>29584</v>
      </c>
      <c r="F33" s="21" t="s">
        <v>28</v>
      </c>
      <c r="G33" s="21">
        <v>29136</v>
      </c>
      <c r="H33" s="21" t="s">
        <v>28</v>
      </c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 t="s">
        <v>63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64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65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66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67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68</v>
      </c>
      <c r="B45" s="71" t="s">
        <v>69</v>
      </c>
      <c r="C45" s="34">
        <v>49</v>
      </c>
      <c r="D45" s="21" t="s">
        <v>70</v>
      </c>
      <c r="E45" s="21">
        <v>58</v>
      </c>
      <c r="F45" s="21" t="s">
        <v>70</v>
      </c>
      <c r="G45" s="21">
        <v>40</v>
      </c>
      <c r="H45" s="21" t="s">
        <v>70</v>
      </c>
      <c r="I45" s="65" t="e">
        <f>SUM((C45+C46+E45+E46+G45+G46)*25)</f>
        <v>#VALUE!</v>
      </c>
      <c r="J45" s="66" t="s">
        <v>71</v>
      </c>
      <c r="K45" s="64" t="s">
        <v>72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73</v>
      </c>
      <c r="B47" s="71" t="s">
        <v>74</v>
      </c>
      <c r="C47" s="34">
        <v>137</v>
      </c>
      <c r="D47" s="21" t="s">
        <v>70</v>
      </c>
      <c r="E47" s="21">
        <v>98</v>
      </c>
      <c r="F47" s="21" t="s">
        <v>70</v>
      </c>
      <c r="G47" s="21">
        <v>129</v>
      </c>
      <c r="H47" s="21" t="s">
        <v>70</v>
      </c>
      <c r="I47" s="65" t="e">
        <f>SUM((C47+C48+E47+E48+G47+G48)*40)</f>
        <v>#VALUE!</v>
      </c>
      <c r="J47" s="66" t="s">
        <v>75</v>
      </c>
      <c r="K47" s="64" t="s">
        <v>76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77</v>
      </c>
      <c r="B49" s="71" t="s">
        <v>78</v>
      </c>
      <c r="C49" s="34"/>
      <c r="D49" s="21"/>
      <c r="E49" s="21">
        <v>62</v>
      </c>
      <c r="F49" s="21" t="s">
        <v>70</v>
      </c>
      <c r="G49" s="21">
        <v>69</v>
      </c>
      <c r="H49" s="21" t="s">
        <v>70</v>
      </c>
      <c r="I49" s="65" t="e">
        <f>SUM((C49+C50+E49+E50+G49+G50)*50)</f>
        <v>#VALUE!</v>
      </c>
      <c r="J49" s="66" t="s">
        <v>79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80</v>
      </c>
      <c r="B51" s="79" t="s">
        <v>81</v>
      </c>
      <c r="C51" s="34"/>
      <c r="D51" s="21"/>
      <c r="E51" s="21">
        <v>10</v>
      </c>
      <c r="F51" s="21" t="s">
        <v>25</v>
      </c>
      <c r="G51" s="21">
        <v>5</v>
      </c>
      <c r="H51" s="21" t="s">
        <v>25</v>
      </c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82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83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84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85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86</v>
      </c>
      <c r="J61" s="48"/>
      <c r="K61" s="84"/>
    </row>
    <row r="62" spans="1:13" customHeight="1" ht="109">
      <c r="A62" s="11" t="s">
        <v>87</v>
      </c>
      <c r="B62" s="12" t="e">
        <f>B59/J59</f>
        <v>#VALUE!</v>
      </c>
      <c r="C62" s="85" t="s">
        <v>88</v>
      </c>
      <c r="D62" s="86"/>
      <c r="E62" s="86" t="s">
        <v>89</v>
      </c>
      <c r="F62" s="86"/>
      <c r="G62" s="86" t="s">
        <v>90</v>
      </c>
      <c r="H62" s="86"/>
      <c r="I62" s="50" t="s">
        <v>91</v>
      </c>
      <c r="J62" s="7"/>
      <c r="K62" s="84"/>
    </row>
    <row r="63" spans="1:13" customHeight="1" ht="119">
      <c r="A63" s="13" t="s">
        <v>92</v>
      </c>
      <c r="B63" s="14" t="e">
        <f>(SUM(I47)/J59)</f>
        <v>#VALUE!</v>
      </c>
      <c r="C63" s="87" t="s">
        <v>93</v>
      </c>
      <c r="D63" s="88"/>
      <c r="E63" s="88" t="s">
        <v>94</v>
      </c>
      <c r="F63" s="88"/>
      <c r="G63" s="88" t="s">
        <v>95</v>
      </c>
      <c r="H63" s="88"/>
      <c r="I63" s="5" t="s">
        <v>96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97</v>
      </c>
      <c r="B64" s="14" t="e">
        <f>(SUM(I45)/J59)</f>
        <v>#VALUE!</v>
      </c>
      <c r="C64" s="87" t="s">
        <v>98</v>
      </c>
      <c r="D64" s="88"/>
      <c r="E64" s="88" t="s">
        <v>99</v>
      </c>
      <c r="F64" s="88"/>
      <c r="G64" s="88" t="s">
        <v>100</v>
      </c>
      <c r="H64" s="88"/>
      <c r="I64" s="5" t="s">
        <v>101</v>
      </c>
      <c r="J64" s="4" t="s">
        <v>11</v>
      </c>
      <c r="K64" s="84"/>
    </row>
    <row r="65" spans="1:13" customHeight="1" ht="47.25">
      <c r="A65" s="13" t="s">
        <v>102</v>
      </c>
      <c r="B65" s="14" t="e">
        <f>(SUM(I49)/J59)</f>
        <v>#VALUE!</v>
      </c>
      <c r="C65" s="87"/>
      <c r="D65" s="88"/>
      <c r="E65" s="88"/>
      <c r="F65" s="88"/>
      <c r="G65" s="88" t="s">
        <v>103</v>
      </c>
      <c r="H65" s="88"/>
      <c r="I65" s="3" t="s">
        <v>104</v>
      </c>
      <c r="J65" s="4" t="s">
        <v>11</v>
      </c>
      <c r="K65" s="84"/>
    </row>
    <row r="66" spans="1:13" customHeight="1" ht="45.75">
      <c r="A66" s="51" t="s">
        <v>105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106</v>
      </c>
      <c r="J66" s="54"/>
      <c r="K66" s="84"/>
    </row>
    <row r="67" spans="1:13" customHeight="1" ht="45.75">
      <c r="A67" s="46" t="s">
        <v>107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108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