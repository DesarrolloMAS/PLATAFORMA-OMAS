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<sst xmlns="http://schemas.openxmlformats.org/spreadsheetml/2006/main" uniqueCount="113">
  <si>
    <t>CONTROL DE MOLIENDA ZONA CENTRO</t>
  </si>
  <si>
    <t>MOLIENDA DE TRIGO Nº</t>
  </si>
  <si>
    <t>Hora Turno1</t>
  </si>
  <si>
    <t>14:19</t>
  </si>
  <si>
    <t>Hora Turno2</t>
  </si>
  <si>
    <t>05:57</t>
  </si>
  <si>
    <t>Hora Turno3</t>
  </si>
  <si>
    <t>06:01</t>
  </si>
  <si>
    <t>FECHA</t>
  </si>
  <si>
    <t>2026-01-07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</si>
  <si>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</si>
  <si>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</si>
  <si>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</si>
  <si>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</si>
  <si>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</si>
  <si>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</si>
  <si>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</si>
  <si>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</si>
  <si>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</si>
  <si>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</si>
  <si>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</si>
  <si>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</si>
  <si>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</si>
  <si>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16565-10-20-30</t>
  </si>
  <si>
    <t>EXTRAPAN X50</t>
  </si>
  <si>
    <t>070126B</t>
  </si>
  <si>
    <t>070126B1</t>
  </si>
  <si>
    <t>EMPAQUE EXTRA PAN X50</t>
  </si>
  <si>
    <t>MP-02176</t>
  </si>
  <si>
    <t>080126B</t>
  </si>
  <si>
    <t>EXTRAPAN X25</t>
  </si>
  <si>
    <t>EMPAQUE EXTRA PAN X25</t>
  </si>
  <si>
    <t>EXTRAPAN X10</t>
  </si>
  <si>
    <t>EMPAQUE EXTRAPAN X10</t>
  </si>
  <si>
    <t>16565-40</t>
  </si>
  <si>
    <t>ARTESANAL X50</t>
  </si>
  <si>
    <t>EMPAQUE GALERAS ROJO X50</t>
  </si>
  <si>
    <t>MP-01506</t>
  </si>
  <si>
    <t>16565-50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</si>
  <si>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</si>
  <si>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</si>
  <si>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</si>
  <si>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</si>
  <si>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</si>
  <si>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</si>
  <si>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</si>
  <si>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</si>
  <si>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</si>
  <si>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</si>
  <si>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MP-02046</t>
  </si>
  <si>
    <t>EXCLUSIVA X50</t>
  </si>
  <si>
    <t>EMPAQUE MULTI BEIGE X25</t>
  </si>
  <si>
    <t>DESARROLLO X1</t>
  </si>
  <si>
    <t>EMPAQUE GALERAS MOG X40</t>
  </si>
  <si>
    <t>MP-02076</t>
  </si>
  <si>
    <t>HARINA ALTA PROTEINA X1</t>
  </si>
  <si>
    <t>EMPAQUE GALERAS SAL X25</t>
  </si>
  <si>
    <t>MP-02063</t>
  </si>
  <si>
    <t>HARINA MEDIA PROTEINA X1</t>
  </si>
  <si>
    <t>EMPAQUE GALERAS SEG X50</t>
  </si>
  <si>
    <t>MP-01919</t>
  </si>
  <si>
    <t>HARINA BAJA PROTEINA X1</t>
  </si>
  <si>
    <t>VITAMINA</t>
  </si>
  <si>
    <t>MP-02161</t>
  </si>
  <si>
    <t>ARTESANAL X1</t>
  </si>
  <si>
    <t xml:space="preserve">MEJORANTE EXTRA PAN </t>
  </si>
  <si>
    <t>171225B-060126B</t>
  </si>
  <si>
    <t xml:space="preserve">FUERTE EXPORTACIÓN </t>
  </si>
  <si>
    <t>MEJORANTE ARTESANAL</t>
  </si>
  <si>
    <t>060126B</t>
  </si>
  <si>
    <t>HARINA T1 X 50</t>
  </si>
  <si>
    <t>HILO BLANCO</t>
  </si>
  <si>
    <t>16565-70</t>
  </si>
  <si>
    <t>SALVADO X25</t>
  </si>
  <si>
    <t>050126B</t>
  </si>
  <si>
    <t xml:space="preserve">HILO VERDE  </t>
  </si>
  <si>
    <t>MP-02097</t>
  </si>
  <si>
    <t>16565-60</t>
  </si>
  <si>
    <t>MOGOLLA X40</t>
  </si>
  <si>
    <t>HILO NARANJA</t>
  </si>
  <si>
    <t>MP-01747</t>
  </si>
  <si>
    <t>16565-80</t>
  </si>
  <si>
    <t>SEGUNDA X50</t>
  </si>
  <si>
    <t>050126B9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</si>
  <si>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</si>
  <si>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</si>
  <si>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</si>
  <si>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</si>
  <si>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</si>
  <si>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</si>
  <si>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</si>
  <si>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</si>
  <si>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Julio</t>
  </si>
  <si>
    <t>Ferney</t>
  </si>
  <si>
    <t>Antonio</t>
  </si>
  <si>
    <t>ENCARGADO TURNO 2</t>
  </si>
  <si>
    <t>EXT. MOGOLLA</t>
  </si>
  <si>
    <t>Fernando</t>
  </si>
  <si>
    <t>Luis poloche</t>
  </si>
  <si>
    <t>Elmer</t>
  </si>
  <si>
    <t>ENCARGADO TURNO 3</t>
  </si>
  <si>
    <t>EXT. SALVADO x25</t>
  </si>
  <si>
    <t>Yolmer</t>
  </si>
  <si>
    <t>Miguel</t>
  </si>
  <si>
    <t>ALMACENISTA 1</t>
  </si>
  <si>
    <t>EXT. SEGUNDA</t>
  </si>
  <si>
    <t>Wilson</t>
  </si>
  <si>
    <t>Rolando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</si>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</sst>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e2e047446cacc1bfac1649c2fdb3bd.png"/><Relationship Id="rId2" Type="http://schemas.openxmlformats.org/officeDocument/2006/relationships/image" Target="../media/6f46cfd16c1067227da99ebe7016fda1.png"/><Relationship Id="rId3" Type="http://schemas.openxmlformats.org/officeDocument/2006/relationships/image" Target="../media/5b910d441c7a2e098b84399549f7b193.png"/><Relationship Id="rId4" Type="http://schemas.openxmlformats.org/officeDocument/2006/relationships/image" Target="../media/08e1157af48438c50e789b6d7959210b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7811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002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907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1425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204</v>
      </c>
      <c r="D11" s="39" t="s">
        <v>25</v>
      </c>
      <c r="E11" s="28">
        <v>579</v>
      </c>
      <c r="F11" s="19" t="s">
        <v>25</v>
      </c>
      <c r="G11" s="19">
        <v>466</v>
      </c>
      <c r="H11" s="19" t="s">
        <v>26</v>
      </c>
      <c r="I11" s="70" t="e">
        <f>SUM((C11+C12+E11+E12+G11+G12)*50)</f>
        <v>#VALUE!</v>
      </c>
      <c r="J11" s="122" t="s">
        <v>27</v>
      </c>
      <c r="K11" s="64" t="s">
        <v>28</v>
      </c>
      <c r="L11" s="64"/>
      <c r="M11" s="64"/>
    </row>
    <row r="12" spans="1:13">
      <c r="A12" s="31"/>
      <c r="B12" s="121"/>
      <c r="C12" s="40"/>
      <c r="E12" s="20">
        <v>56</v>
      </c>
      <c r="F12" s="20" t="s">
        <v>26</v>
      </c>
      <c r="G12" s="20">
        <v>166</v>
      </c>
      <c r="H12" s="20" t="s">
        <v>29</v>
      </c>
      <c r="I12" s="70"/>
      <c r="J12" s="67"/>
      <c r="K12" s="64"/>
      <c r="L12" s="64"/>
      <c r="M12" s="64"/>
    </row>
    <row r="13" spans="1:13">
      <c r="A13" s="27"/>
      <c r="B13" s="55" t="s">
        <v>30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31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32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33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 t="s">
        <v>34</v>
      </c>
      <c r="B17" s="55" t="s">
        <v>35</v>
      </c>
      <c r="C17" s="34">
        <v>315</v>
      </c>
      <c r="D17" s="21" t="s">
        <v>25</v>
      </c>
      <c r="E17" s="21"/>
      <c r="F17" s="21"/>
      <c r="G17" s="21"/>
      <c r="H17" s="21"/>
      <c r="I17" s="70" t="e">
        <f>SUM((C17+C18+E17+E18+G17+G18)*50)</f>
        <v>#VALUE!</v>
      </c>
      <c r="J17" s="55" t="s">
        <v>36</v>
      </c>
      <c r="K17" s="64" t="s">
        <v>37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 t="s">
        <v>38</v>
      </c>
      <c r="B19" s="55" t="s">
        <v>39</v>
      </c>
      <c r="C19" s="34">
        <v>182</v>
      </c>
      <c r="D19" s="21" t="s">
        <v>25</v>
      </c>
      <c r="E19" s="21"/>
      <c r="F19" s="21"/>
      <c r="G19" s="21"/>
      <c r="H19" s="21"/>
      <c r="I19" s="70" t="e">
        <f>SUM((C19+C20+E19+E20+G19+G20)*25)</f>
        <v>#VALUE!</v>
      </c>
      <c r="J19" s="66" t="s">
        <v>40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41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42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43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44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45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46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47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48</v>
      </c>
      <c r="K27" s="64" t="s">
        <v>49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50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51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52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53</v>
      </c>
      <c r="K31" s="64" t="s">
        <v>54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55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56</v>
      </c>
      <c r="K33" s="64" t="s">
        <v>57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58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59</v>
      </c>
      <c r="K35" s="64" t="s">
        <v>60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61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62</v>
      </c>
      <c r="K37" s="64" t="s">
        <v>63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64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65</v>
      </c>
      <c r="K39" s="64" t="s">
        <v>66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67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68</v>
      </c>
      <c r="K41" s="64" t="s">
        <v>69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70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71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72</v>
      </c>
      <c r="B45" s="71" t="s">
        <v>73</v>
      </c>
      <c r="C45" s="34">
        <v>61</v>
      </c>
      <c r="D45" s="21" t="s">
        <v>74</v>
      </c>
      <c r="E45" s="21">
        <v>57</v>
      </c>
      <c r="F45" s="21" t="s">
        <v>74</v>
      </c>
      <c r="G45" s="21">
        <v>57</v>
      </c>
      <c r="H45" s="21" t="s">
        <v>74</v>
      </c>
      <c r="I45" s="65" t="e">
        <f>SUM((C45+C46+E45+E46+G45+G46)*25)</f>
        <v>#VALUE!</v>
      </c>
      <c r="J45" s="66" t="s">
        <v>75</v>
      </c>
      <c r="K45" s="64" t="s">
        <v>76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77</v>
      </c>
      <c r="B47" s="71" t="s">
        <v>78</v>
      </c>
      <c r="C47" s="34">
        <v>108</v>
      </c>
      <c r="D47" s="21" t="s">
        <v>74</v>
      </c>
      <c r="E47" s="21">
        <v>163</v>
      </c>
      <c r="F47" s="21" t="s">
        <v>74</v>
      </c>
      <c r="G47" s="21">
        <v>127</v>
      </c>
      <c r="H47" s="21" t="s">
        <v>74</v>
      </c>
      <c r="I47" s="65" t="e">
        <f>SUM((C47+C48+E47+E48+G47+G48)*40)</f>
        <v>#VALUE!</v>
      </c>
      <c r="J47" s="66" t="s">
        <v>79</v>
      </c>
      <c r="K47" s="64" t="s">
        <v>80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81</v>
      </c>
      <c r="B49" s="71" t="s">
        <v>82</v>
      </c>
      <c r="C49" s="34">
        <v>35</v>
      </c>
      <c r="D49" s="21" t="s">
        <v>74</v>
      </c>
      <c r="E49" s="21">
        <v>21</v>
      </c>
      <c r="F49" s="21" t="s">
        <v>74</v>
      </c>
      <c r="G49" s="21">
        <v>39</v>
      </c>
      <c r="H49" s="21" t="s">
        <v>83</v>
      </c>
      <c r="I49" s="65" t="e">
        <f>SUM((C49+C50+E49+E50+G49+G50)*50)</f>
        <v>#VALUE!</v>
      </c>
      <c r="J49" s="66" t="s">
        <v>84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85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86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87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88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89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90</v>
      </c>
      <c r="J61" s="48"/>
      <c r="K61" s="84"/>
    </row>
    <row r="62" spans="1:13" customHeight="1" ht="109">
      <c r="A62" s="11" t="s">
        <v>91</v>
      </c>
      <c r="B62" s="12" t="e">
        <f>B59/J59</f>
        <v>#VALUE!</v>
      </c>
      <c r="C62" s="85" t="s">
        <v>92</v>
      </c>
      <c r="D62" s="86"/>
      <c r="E62" s="86" t="s">
        <v>93</v>
      </c>
      <c r="F62" s="86"/>
      <c r="G62" s="86" t="s">
        <v>94</v>
      </c>
      <c r="H62" s="86"/>
      <c r="I62" s="50" t="s">
        <v>95</v>
      </c>
      <c r="J62" s="7"/>
      <c r="K62" s="84"/>
    </row>
    <row r="63" spans="1:13" customHeight="1" ht="119">
      <c r="A63" s="13" t="s">
        <v>96</v>
      </c>
      <c r="B63" s="14" t="e">
        <f>(SUM(I47)/J59)</f>
        <v>#VALUE!</v>
      </c>
      <c r="C63" s="87" t="s">
        <v>97</v>
      </c>
      <c r="D63" s="88"/>
      <c r="E63" s="88" t="s">
        <v>98</v>
      </c>
      <c r="F63" s="88"/>
      <c r="G63" s="88" t="s">
        <v>99</v>
      </c>
      <c r="H63" s="88"/>
      <c r="I63" s="5" t="s">
        <v>100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101</v>
      </c>
      <c r="B64" s="14" t="e">
        <f>(SUM(I45)/J59)</f>
        <v>#VALUE!</v>
      </c>
      <c r="C64" s="87" t="s">
        <v>102</v>
      </c>
      <c r="D64" s="88"/>
      <c r="E64" s="88" t="s">
        <v>97</v>
      </c>
      <c r="F64" s="88"/>
      <c r="G64" s="88" t="s">
        <v>103</v>
      </c>
      <c r="H64" s="88"/>
      <c r="I64" s="5" t="s">
        <v>104</v>
      </c>
      <c r="J64" s="4" t="s">
        <v>11</v>
      </c>
      <c r="K64" s="84"/>
    </row>
    <row r="65" spans="1:13" customHeight="1" ht="47.25">
      <c r="A65" s="13" t="s">
        <v>105</v>
      </c>
      <c r="B65" s="14" t="e">
        <f>(SUM(I49)/J59)</f>
        <v>#VALUE!</v>
      </c>
      <c r="C65" s="87"/>
      <c r="D65" s="88"/>
      <c r="E65" s="88" t="s">
        <v>106</v>
      </c>
      <c r="F65" s="88"/>
      <c r="G65" s="88" t="s">
        <v>107</v>
      </c>
      <c r="H65" s="88"/>
      <c r="I65" s="3" t="s">
        <v>108</v>
      </c>
      <c r="J65" s="4" t="s">
        <v>11</v>
      </c>
      <c r="K65" s="84"/>
    </row>
    <row r="66" spans="1:13" customHeight="1" ht="45.75">
      <c r="A66" s="51" t="s">
        <v>109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110</v>
      </c>
      <c r="J66" s="54"/>
      <c r="K66" s="84"/>
    </row>
    <row r="67" spans="1:13" customHeight="1" ht="45.75">
      <c r="A67" s="46" t="s">
        <v>111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112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