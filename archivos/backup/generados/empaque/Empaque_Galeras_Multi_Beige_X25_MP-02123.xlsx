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<sst xmlns="http://schemas.openxmlformats.org/spreadsheetml/2006/main" uniqueCount="53">
  <si>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</si>
  <si>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</si>
  <si>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</si>
  <si>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</si>
  <si>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</si>
  <si>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</si>
  <si>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</si>
  <si>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</si>
  <si>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</si>
  <si>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 xml:space="preserve">CENTRO </t>
  </si>
  <si>
    <t>REFERENCIA</t>
  </si>
  <si>
    <t>Empaque Galeras Multi beige (50x85) x 25</t>
  </si>
  <si>
    <t>LOTE INTERNO</t>
  </si>
  <si>
    <t>MP-02224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</si>
  <si>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</si>
  <si>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</si>
  <si>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</si>
  <si>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</si>
  <si>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</si>
  <si>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</si>
  <si>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</si>
  <si>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</si>
  <si>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</si>
  <si>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</si>
  <si>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</si>
  <si>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</si>
  <si>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</si>
  <si>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</si>
  <si>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</si>
  <si>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</si>
  <si>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</si>
  <si>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</si>
  <si>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</si>
  <si>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</si>
  <si>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</si>
  <si>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2026-01-06</t>
  </si>
  <si>
    <t>GLEIMER</t>
  </si>
  <si>
    <t>GRANO ENTERA FINA</t>
  </si>
  <si>
    <t>060126B</t>
  </si>
  <si>
    <t>06042026</t>
  </si>
  <si>
    <t>NO</t>
  </si>
  <si>
    <t>2026-01-07</t>
  </si>
  <si>
    <t>OLFER VARGAS</t>
  </si>
  <si>
    <t>2026-01-08</t>
  </si>
  <si>
    <t>HARINA LVU</t>
  </si>
  <si>
    <t>080126B</t>
  </si>
  <si>
    <t>08042026</t>
  </si>
  <si>
    <t>SI</t>
  </si>
  <si>
    <t>2026-01-09</t>
  </si>
  <si>
    <t>TRIGO ENTERO</t>
  </si>
  <si>
    <t>090126B</t>
  </si>
  <si>
    <t>09012028</t>
  </si>
  <si>
    <t>PAUOLO RIASCOS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</si>
</sst>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/>
      <c r="O6" s="9"/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 t="s">
        <v>39</v>
      </c>
      <c r="G9" s="2" t="s">
        <v>40</v>
      </c>
      <c r="H9" s="2" t="s">
        <v>41</v>
      </c>
      <c r="I9" s="2" t="s">
        <v>42</v>
      </c>
      <c r="J9" s="2">
        <v>131</v>
      </c>
      <c r="K9" s="2">
        <v>0</v>
      </c>
      <c r="L9" s="2">
        <v>131</v>
      </c>
      <c r="M9" s="2">
        <v>0</v>
      </c>
      <c r="N9" s="2">
        <v>0</v>
      </c>
      <c r="O9" s="4">
        <v>-131</v>
      </c>
    </row>
    <row r="10" spans="1:15" customHeight="1" ht="30">
      <c r="A10" s="11" t="s">
        <v>43</v>
      </c>
      <c r="B10" s="1" t="s">
        <v>36</v>
      </c>
      <c r="C10" s="21" t="s">
        <v>44</v>
      </c>
      <c r="D10" s="21"/>
      <c r="E10" s="1" t="s">
        <v>45</v>
      </c>
      <c r="F10" s="1" t="s">
        <v>46</v>
      </c>
      <c r="G10" s="1" t="s">
        <v>47</v>
      </c>
      <c r="H10" s="1" t="s">
        <v>43</v>
      </c>
      <c r="I10" s="1" t="s">
        <v>42</v>
      </c>
      <c r="J10" s="1">
        <v>5</v>
      </c>
      <c r="K10" s="1">
        <v>0</v>
      </c>
      <c r="L10" s="1">
        <v>5</v>
      </c>
      <c r="M10" s="1">
        <v>0</v>
      </c>
      <c r="N10" s="1">
        <v>0</v>
      </c>
      <c r="O10" s="12">
        <f>O9-L10</f>
        <v>-136</v>
      </c>
    </row>
    <row r="11" spans="1:15" customHeight="1" ht="29.45">
      <c r="A11" s="11" t="s">
        <v>48</v>
      </c>
      <c r="B11" s="1" t="s">
        <v>36</v>
      </c>
      <c r="C11" s="21" t="s">
        <v>49</v>
      </c>
      <c r="D11" s="21"/>
      <c r="E11" s="1" t="s">
        <v>50</v>
      </c>
      <c r="F11" s="1" t="s">
        <v>51</v>
      </c>
      <c r="G11" s="1" t="s">
        <v>47</v>
      </c>
      <c r="H11" s="1" t="s">
        <v>48</v>
      </c>
      <c r="I11" s="1" t="s">
        <v>52</v>
      </c>
      <c r="J11" s="1">
        <v>75</v>
      </c>
      <c r="K11" s="1">
        <v>0</v>
      </c>
      <c r="L11" s="1">
        <v>75</v>
      </c>
      <c r="M11" s="1">
        <v>0</v>
      </c>
      <c r="N11" s="1">
        <v>0</v>
      </c>
      <c r="O11" s="12">
        <f>O10-L11</f>
        <v>-211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 t="e">
        <f>O11-L12</f>
        <v>#VALUE!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 t="e">
        <f>O12-L13</f>
        <v>#VALUE!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 t="e">
        <f>O13-L14</f>
        <v>#VALUE!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 t="e">
        <f>O14-L15</f>
        <v>#VALUE!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 t="e">
        <f>O15-L16</f>
        <v>#VALUE!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 t="e">
        <f>O16-L17</f>
        <v>#VALUE!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 t="e">
        <f>O17-L18</f>
        <v>#VALUE!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 t="e">
        <f>O18-L19</f>
        <v>#VALUE!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 t="e">
        <f>O19-L20</f>
        <v>#VALUE!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-211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-211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-211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-211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-211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-211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-211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-211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-211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-211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-211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-211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-211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-211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