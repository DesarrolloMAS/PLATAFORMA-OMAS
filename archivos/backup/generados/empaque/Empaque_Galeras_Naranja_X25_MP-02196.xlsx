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<sst xmlns="http://schemas.openxmlformats.org/spreadsheetml/2006/main" uniqueCount="51">
  <si>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</si>
  <si>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</si>
  <si>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</si>
  <si>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</si>
  <si>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</si>
  <si>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</si>
  <si>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</si>
  <si>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</si>
  <si>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</si>
  <si>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</si>
  <si>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Empaque_Galeras_Naranja_X25_MP-02196</t>
  </si>
  <si>
    <t>LOTE INTERNO</t>
  </si>
  <si>
    <t>MP-02196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</si>
  <si>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</si>
  <si>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</si>
  <si>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</si>
  <si>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</si>
  <si>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</si>
  <si>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</si>
  <si>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</si>
  <si>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</si>
  <si>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</si>
  <si>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</si>
  <si>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</si>
  <si>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</si>
  <si>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</si>
  <si>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</si>
  <si>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</si>
  <si>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</si>
  <si>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</si>
  <si>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</si>
  <si>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</si>
  <si>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</si>
  <si>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</si>
  <si>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2026-01-21</t>
  </si>
  <si>
    <t>GLEIMER</t>
  </si>
  <si>
    <t>FUERTE X 25</t>
  </si>
  <si>
    <t>210126B</t>
  </si>
  <si>
    <t>21/07/2026</t>
  </si>
  <si>
    <t>SI</t>
  </si>
  <si>
    <t>BALMER</t>
  </si>
  <si>
    <t>2026-01-28</t>
  </si>
  <si>
    <t>MANITOBA X 25</t>
  </si>
  <si>
    <t>270126B</t>
  </si>
  <si>
    <t>OLFER VARGAS</t>
  </si>
  <si>
    <t>2026-02-03</t>
  </si>
  <si>
    <t>JADER PEÑATA</t>
  </si>
  <si>
    <t>030226B</t>
  </si>
  <si>
    <t>03/08/2027</t>
  </si>
  <si>
    <t>NO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</si>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</sst>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826</v>
      </c>
      <c r="K9" s="2">
        <v>0</v>
      </c>
      <c r="L9" s="2">
        <v>826</v>
      </c>
      <c r="M9" s="2">
        <v>0</v>
      </c>
      <c r="N9" s="2">
        <v>0</v>
      </c>
      <c r="O9" s="4">
        <f>O6-L9</f>
        <v>-826</v>
      </c>
    </row>
    <row r="10" spans="1:15" customHeight="1" ht="30">
      <c r="A10" s="11" t="s">
        <v>41</v>
      </c>
      <c r="B10" s="1" t="s">
        <v>35</v>
      </c>
      <c r="C10" s="21" t="s">
        <v>42</v>
      </c>
      <c r="D10" s="21"/>
      <c r="E10" s="1" t="s">
        <v>43</v>
      </c>
      <c r="F10" s="1">
        <v>27012027</v>
      </c>
      <c r="G10" s="1" t="s">
        <v>39</v>
      </c>
      <c r="H10" s="1" t="s">
        <v>41</v>
      </c>
      <c r="I10" s="1" t="s">
        <v>44</v>
      </c>
      <c r="J10" s="1">
        <v>150</v>
      </c>
      <c r="K10" s="1">
        <v>0</v>
      </c>
      <c r="L10" s="1">
        <v>150</v>
      </c>
      <c r="M10" s="1">
        <v>0</v>
      </c>
      <c r="N10" s="1">
        <v>0</v>
      </c>
      <c r="O10" s="12">
        <f>O9-L10</f>
        <v>-976</v>
      </c>
    </row>
    <row r="11" spans="1:15" customHeight="1" ht="29.45">
      <c r="A11" s="11" t="s">
        <v>45</v>
      </c>
      <c r="B11" s="1" t="s">
        <v>46</v>
      </c>
      <c r="C11" s="21" t="s">
        <v>36</v>
      </c>
      <c r="D11" s="21"/>
      <c r="E11" s="1" t="s">
        <v>47</v>
      </c>
      <c r="F11" s="1" t="s">
        <v>48</v>
      </c>
      <c r="G11" s="1" t="s">
        <v>49</v>
      </c>
      <c r="H11" s="1" t="s">
        <v>45</v>
      </c>
      <c r="I11" s="1" t="s">
        <v>50</v>
      </c>
      <c r="J11" s="1">
        <v>882</v>
      </c>
      <c r="K11" s="1">
        <v>0</v>
      </c>
      <c r="L11" s="1">
        <v>882</v>
      </c>
      <c r="M11" s="1">
        <v>0</v>
      </c>
      <c r="N11" s="1">
        <v>0</v>
      </c>
      <c r="O11" s="12">
        <f>O10-L11</f>
        <v>-1858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-1858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-1858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-1858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-1858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-1858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-1858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-1858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-1858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-1858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-1858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-1858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-1858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-1858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-1858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-1858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-1858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-1858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-1858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-1858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-1858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-1858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-1858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-1858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