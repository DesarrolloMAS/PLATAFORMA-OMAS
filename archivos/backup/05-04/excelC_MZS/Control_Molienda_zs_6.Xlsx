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<sst xmlns="http://schemas.openxmlformats.org/spreadsheetml/2006/main" uniqueCount="102">
  <si>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</si>
  <si>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</si>
  <si>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</si>
  <si>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</si>
  <si>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</si>
  <si>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</si>
  <si>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</si>
  <si>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2026-04-13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</si>
  <si>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</si>
  <si>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</si>
  <si>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</si>
  <si>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</si>
  <si>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</si>
  <si>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</si>
  <si>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</si>
  <si>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</si>
  <si>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</si>
  <si>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</si>
  <si>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</si>
  <si>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</si>
  <si>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100426P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</si>
  <si>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</si>
  <si>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</si>
  <si>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</si>
  <si>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</si>
  <si>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</si>
  <si>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</si>
  <si>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</si>
  <si>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</si>
  <si>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MP-02314</t>
  </si>
  <si>
    <t>HARINA DE TRIGO NARIÑO X2500GR</t>
  </si>
  <si>
    <t>090426P</t>
  </si>
  <si>
    <t>LAMINA NARIÑO (CUARTO) 2500GR</t>
  </si>
  <si>
    <t>MP-02273</t>
  </si>
  <si>
    <t>130426P</t>
  </si>
  <si>
    <t>HARINA DE TRIGO NARIÑO X1000GR</t>
  </si>
  <si>
    <t>080426P</t>
  </si>
  <si>
    <t xml:space="preserve">LAMINA NARIÑO (KILO) </t>
  </si>
  <si>
    <t>MP-02274</t>
  </si>
  <si>
    <t>HARINA DE TRIGO NARIÑO X500GR</t>
  </si>
  <si>
    <t>070426P</t>
  </si>
  <si>
    <t>LAMINA NARIÑO (LIBRA)</t>
  </si>
  <si>
    <t>MP-02213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</si>
  <si>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</si>
  <si>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</si>
  <si>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</si>
  <si>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</si>
  <si>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</si>
  <si>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</si>
  <si>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</si>
  <si>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</si>
  <si>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</si>
  <si>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</si>
  <si>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</si>
  <si>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</si>
  <si>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</si>
  <si>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</si>
  <si>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</si>
  <si>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</si>
  <si>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</si>
  <si>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</si>
  <si>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</si>
  <si>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</si>
  <si>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</si>
  <si>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</si>
  <si>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</si>
  <si>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</si>
  <si>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</si>
  <si>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</si>
  <si>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</si>
  <si>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</si>
  <si>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</si>
  <si>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MP-02322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</si>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</sst>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ade8a89739881479a1ee6a397cd0c11.png"/><Relationship Id="rId2" Type="http://schemas.openxmlformats.org/officeDocument/2006/relationships/image" Target="../media/9eb9c78167763226793139305f0d0d0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1050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160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220</v>
      </c>
      <c r="D19" s="29" t="s">
        <v>34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140</v>
      </c>
      <c r="D20" s="25" t="s">
        <v>36</v>
      </c>
      <c r="E20" s="25"/>
      <c r="F20" s="25"/>
      <c r="G20" s="50" t="e">
        <f>SUM((C20+C21+E20+E21)*50)</f>
        <v>#VALUE!</v>
      </c>
      <c r="H20" s="56" t="s">
        <v>37</v>
      </c>
      <c r="I20" s="49" t="s">
        <v>38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39</v>
      </c>
      <c r="C22" s="25">
        <v>900</v>
      </c>
      <c r="D22" s="25" t="s">
        <v>40</v>
      </c>
      <c r="E22" s="25"/>
      <c r="F22" s="25"/>
      <c r="G22" s="50" t="e">
        <f>SUM(((C22+C23+E22+E23)*12.5))</f>
        <v>#VALUE!</v>
      </c>
      <c r="H22" s="51" t="s">
        <v>41</v>
      </c>
      <c r="I22" s="49" t="s">
        <v>42</v>
      </c>
      <c r="J22" s="49">
        <v>0</v>
      </c>
    </row>
    <row r="23" spans="1:10">
      <c r="A23" s="22"/>
      <c r="B23" s="52"/>
      <c r="C23" s="29">
        <v>300</v>
      </c>
      <c r="D23" s="29" t="s">
        <v>34</v>
      </c>
      <c r="E23" s="29"/>
      <c r="F23" s="29"/>
      <c r="G23" s="50"/>
      <c r="H23" s="52"/>
      <c r="I23" s="49"/>
      <c r="J23" s="49"/>
    </row>
    <row r="24" spans="1:10">
      <c r="A24" s="20"/>
      <c r="B24" s="57" t="s">
        <v>43</v>
      </c>
      <c r="C24" s="25"/>
      <c r="D24" s="25"/>
      <c r="E24" s="25">
        <v>235</v>
      </c>
      <c r="F24" s="25" t="s">
        <v>44</v>
      </c>
      <c r="G24" s="50">
        <f>SUM((C24+C25+E24+E25)*40)</f>
        <v>9400</v>
      </c>
      <c r="H24" s="54" t="s">
        <v>45</v>
      </c>
      <c r="I24" s="49">
        <v>0</v>
      </c>
      <c r="J24" s="49" t="s">
        <v>46</v>
      </c>
    </row>
    <row r="25" spans="1:10">
      <c r="A25" s="22" t="s">
        <v>47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48</v>
      </c>
      <c r="C26" s="25"/>
      <c r="D26" s="25"/>
      <c r="E26" s="25">
        <v>55</v>
      </c>
      <c r="F26" s="25" t="s">
        <v>44</v>
      </c>
      <c r="G26" s="50" t="e">
        <f>SUM((C26+C27+E26+E27)*50)</f>
        <v>#VALUE!</v>
      </c>
      <c r="H26" s="54" t="s">
        <v>49</v>
      </c>
      <c r="I26" s="49">
        <v>0</v>
      </c>
      <c r="J26" s="49" t="s">
        <v>50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51</v>
      </c>
      <c r="C28" s="25"/>
      <c r="D28" s="25"/>
      <c r="E28" s="25">
        <v>415</v>
      </c>
      <c r="F28" s="25" t="s">
        <v>44</v>
      </c>
      <c r="G28" s="50">
        <f>SUM((C28+C29+E28+E29)*30)</f>
        <v>12450</v>
      </c>
      <c r="H28" s="54" t="s">
        <v>52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53</v>
      </c>
      <c r="C30" s="25"/>
      <c r="D30" s="25"/>
      <c r="E30" s="25"/>
      <c r="F30" s="25"/>
      <c r="G30" s="50">
        <f>SUM((C30+C31+E30+E31)*50)</f>
        <v>0</v>
      </c>
      <c r="H30" s="54" t="s">
        <v>54</v>
      </c>
      <c r="I30" s="49" t="s">
        <v>55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56</v>
      </c>
      <c r="C32" s="25"/>
      <c r="D32" s="25"/>
      <c r="E32" s="25"/>
      <c r="F32" s="25"/>
      <c r="G32" s="50" t="e">
        <f>SUM((C32+C33+E32+E33)*25)</f>
        <v>#VALUE!</v>
      </c>
      <c r="H32" s="56" t="s">
        <v>57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/>
      <c r="F38" s="25"/>
      <c r="G38" s="50" t="e">
        <f>SUM((C38+C39+E38+E39)*25)</f>
        <v>#VALUE!</v>
      </c>
      <c r="H38" s="51" t="s">
        <v>65</v>
      </c>
      <c r="I38" s="49" t="s">
        <v>66</v>
      </c>
      <c r="J38" s="49" t="s">
        <v>66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54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71</v>
      </c>
      <c r="I48" s="49" t="s">
        <v>72</v>
      </c>
      <c r="J48" s="49" t="s">
        <v>72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73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74</v>
      </c>
      <c r="I52" s="53">
        <v>0</v>
      </c>
      <c r="J52" s="49" t="s">
        <v>40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1690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89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89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 t="s">
        <v>96</v>
      </c>
      <c r="F66" s="74"/>
      <c r="G66" s="38" t="s">
        <v>97</v>
      </c>
      <c r="H66" s="4"/>
      <c r="I66" s="70"/>
    </row>
    <row r="67" spans="1:10" customHeight="1" ht="45.75">
      <c r="A67" s="36" t="s">
        <v>98</v>
      </c>
      <c r="B67" s="37" t="e">
        <f>(SUM(G32)/H60)</f>
        <v>#VALUE!</v>
      </c>
      <c r="C67" s="75" t="s">
        <v>99</v>
      </c>
      <c r="D67" s="76"/>
      <c r="E67" s="76" t="s">
        <v>100</v>
      </c>
      <c r="F67" s="76"/>
      <c r="G67" s="38"/>
      <c r="H67" s="39"/>
      <c r="I67" s="70"/>
    </row>
    <row r="68" spans="1:10" customHeight="1" ht="21">
      <c r="A68" s="42" t="s">
        <v>101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