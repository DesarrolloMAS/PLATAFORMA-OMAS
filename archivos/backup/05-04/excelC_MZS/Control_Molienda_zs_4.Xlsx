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<sst xmlns="http://schemas.openxmlformats.org/spreadsheetml/2006/main" uniqueCount="100">
  <si>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</si>
  <si>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</si>
  <si>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</si>
  <si>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</si>
  <si>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</si>
  <si>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</si>
  <si>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</si>
  <si>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2026-04-09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</si>
  <si>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</si>
  <si>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</si>
  <si>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</si>
  <si>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</si>
  <si>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</si>
  <si>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</si>
  <si>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</si>
  <si>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</si>
  <si>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</si>
  <si>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</si>
  <si>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</si>
  <si>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</si>
  <si>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090426P</t>
  </si>
  <si>
    <t>EMPAQUE EXTRA PAN  (60X100) X50</t>
  </si>
  <si>
    <t>MP-02319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</si>
  <si>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</si>
  <si>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</si>
  <si>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</si>
  <si>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</si>
  <si>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</si>
  <si>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</si>
  <si>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</si>
  <si>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</si>
  <si>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070426P</t>
  </si>
  <si>
    <t>LAMINA NARIÑO (CUARTO) 2500GR</t>
  </si>
  <si>
    <t>MP-02273</t>
  </si>
  <si>
    <t>HARINA DE TRIGO NARIÑO X1000GR</t>
  </si>
  <si>
    <t>080426P</t>
  </si>
  <si>
    <t xml:space="preserve">LAMINA NARIÑO (KILO) </t>
  </si>
  <si>
    <t>MP-02274</t>
  </si>
  <si>
    <t>HARINA DE TRIGO NARIÑO X500GR</t>
  </si>
  <si>
    <t>LAMINA NARIÑO (LIBRA)</t>
  </si>
  <si>
    <t>MP-02213</t>
  </si>
  <si>
    <t>SUB MOGOLLA X 40</t>
  </si>
  <si>
    <t>060426P</t>
  </si>
  <si>
    <t>EMPAQUE GALERAS MOGOLLA (60X115) X 40</t>
  </si>
  <si>
    <t>MP-02216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</si>
  <si>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</si>
  <si>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</si>
  <si>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</si>
  <si>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</si>
  <si>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</si>
  <si>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</si>
  <si>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</si>
  <si>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</si>
  <si>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</si>
  <si>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</si>
  <si>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</si>
  <si>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</si>
  <si>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</si>
  <si>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</si>
  <si>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</si>
  <si>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</si>
  <si>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</si>
  <si>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</si>
  <si>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</si>
  <si>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</si>
  <si>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</si>
  <si>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</si>
  <si>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</si>
  <si>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</si>
  <si>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</si>
  <si>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MP-02322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</si>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</sst>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99faafbe9160c721e9b68b3aad273d3.png"/><Relationship Id="rId2" Type="http://schemas.openxmlformats.org/officeDocument/2006/relationships/image" Target="../media/35ff5c653f20f2d446dfea55fffaabad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4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1070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220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>
        <v>130</v>
      </c>
      <c r="D19" s="29" t="s">
        <v>20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100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1300</v>
      </c>
      <c r="D22" s="25" t="s">
        <v>31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235</v>
      </c>
      <c r="F24" s="25" t="s">
        <v>42</v>
      </c>
      <c r="G24" s="50">
        <f>SUM((C24+C25+E24+E25)*40)</f>
        <v>9400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40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400</v>
      </c>
      <c r="F28" s="25" t="s">
        <v>42</v>
      </c>
      <c r="G28" s="50">
        <f>SUM((C28+C29+E28+E29)*30)</f>
        <v>12000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 t="s">
        <v>64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31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1625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77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78</v>
      </c>
      <c r="H62" s="35"/>
      <c r="I62" s="70"/>
    </row>
    <row r="63" spans="1:10" customHeight="1" ht="108.95">
      <c r="A63" s="11" t="s">
        <v>79</v>
      </c>
      <c r="B63" s="12" t="e">
        <f>B60/H60</f>
        <v>#VALUE!</v>
      </c>
      <c r="C63" s="71" t="s">
        <v>80</v>
      </c>
      <c r="D63" s="72"/>
      <c r="E63" s="72" t="s">
        <v>81</v>
      </c>
      <c r="F63" s="72"/>
      <c r="G63" s="40" t="s">
        <v>82</v>
      </c>
      <c r="H63" s="7"/>
      <c r="I63" s="70"/>
    </row>
    <row r="64" spans="1:10" customHeight="1" ht="119.1">
      <c r="A64" s="13" t="s">
        <v>83</v>
      </c>
      <c r="B64" s="14" t="e">
        <f>(SUM(G24)/H60)</f>
        <v>#VALUE!</v>
      </c>
      <c r="C64" s="73" t="s">
        <v>84</v>
      </c>
      <c r="D64" s="74"/>
      <c r="E64" s="74" t="s">
        <v>85</v>
      </c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87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 t="s">
        <v>98</v>
      </c>
      <c r="F67" s="76"/>
      <c r="G67" s="38"/>
      <c r="H67" s="39"/>
      <c r="I67" s="70"/>
    </row>
    <row r="68" spans="1:10" customHeight="1" ht="21">
      <c r="A68" s="42" t="s">
        <v>99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