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<sst xmlns="http://schemas.openxmlformats.org/spreadsheetml/2006/main" uniqueCount="101">
  <si>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</si>
  <si>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</si>
  <si>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</si>
  <si>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</si>
  <si>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</si>
  <si>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</si>
  <si>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</si>
  <si>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2026-04-16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</si>
  <si>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</si>
  <si>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</si>
  <si>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</si>
  <si>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</si>
  <si>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</si>
  <si>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</si>
  <si>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</si>
  <si>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</si>
  <si>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</si>
  <si>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</si>
  <si>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</si>
  <si>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</si>
  <si>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160426P</t>
  </si>
  <si>
    <t>EMPAQUE EXTRA PAN  (60X100) X50</t>
  </si>
  <si>
    <t>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</si>
  <si>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</si>
  <si>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</si>
  <si>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</si>
  <si>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</si>
  <si>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</si>
  <si>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</si>
  <si>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MP-02314</t>
  </si>
  <si>
    <t>HARINA DE TRIGO NARIÑO X2500GR</t>
  </si>
  <si>
    <t>140426P</t>
  </si>
  <si>
    <t>LAMINA NARIÑO (CUARTO) 2500GR</t>
  </si>
  <si>
    <t>MP-02273</t>
  </si>
  <si>
    <t>HARINA DE TRIGO NARIÑO X1000GR</t>
  </si>
  <si>
    <t xml:space="preserve">LAMINA NARIÑO (KILO) </t>
  </si>
  <si>
    <t>MP-02274</t>
  </si>
  <si>
    <t>HARINA DE TRIGO NARIÑO X500GR</t>
  </si>
  <si>
    <t>130426P</t>
  </si>
  <si>
    <t>LAMINA NARIÑO (LIBRA)</t>
  </si>
  <si>
    <t>MP-02275</t>
  </si>
  <si>
    <t>SUB MOGOLLA X 40</t>
  </si>
  <si>
    <t>EMPAQUE GALERAS MOGOLLA (60X115) X 40</t>
  </si>
  <si>
    <t>MP-02216</t>
  </si>
  <si>
    <t xml:space="preserve"> </t>
  </si>
  <si>
    <t>SUB SEGUNDA X50 KG</t>
  </si>
  <si>
    <t>060426P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</si>
  <si>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</si>
  <si>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</si>
  <si>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</si>
  <si>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</si>
  <si>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</si>
  <si>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</si>
  <si>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</si>
  <si>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</si>
  <si>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</si>
  <si>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</si>
  <si>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</si>
  <si>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</si>
  <si>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</si>
  <si>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</si>
  <si>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</si>
  <si>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</si>
  <si>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</si>
  <si>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</si>
  <si>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</si>
  <si>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</si>
  <si>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</si>
  <si>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</si>
  <si>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</si>
  <si>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MP-02322</t>
  </si>
  <si>
    <t xml:space="preserve">MEJORANTE ARTESANAL </t>
  </si>
  <si>
    <t>MEJORANTE EXTRAPAN</t>
  </si>
  <si>
    <t>070426P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</si>
  <si>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</si>
  <si>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</si>
  <si>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</si>
  <si>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</si>
  <si>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</si>
  <si>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</si>
  <si>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</si>
  <si>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</si>
  <si>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</si>
  <si>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</si>
  <si>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</si>
  <si>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</si>
  <si>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</si>
  <si>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</si>
  <si>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</si>
  <si>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</si>
  <si>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</si>
  <si>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</si>
  <si>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</si>
  <si>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</si>
  <si>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</si>
  <si>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</si>
  <si>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</si>
  <si>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</si>
  <si>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>Robin tonguino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</si>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</sst>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2281da7304cae8e7970c7766eb831d.png"/><Relationship Id="rId2" Type="http://schemas.openxmlformats.org/officeDocument/2006/relationships/image" Target="../media/fba42258a660c28d18c977765db28f86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9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270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280</v>
      </c>
      <c r="D20" s="25" t="s">
        <v>31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650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>
        <v>500</v>
      </c>
      <c r="D23" s="29" t="s">
        <v>20</v>
      </c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220</v>
      </c>
      <c r="F24" s="25"/>
      <c r="G24" s="50">
        <f>SUM((C24+C25+E24+E25)*40)</f>
        <v>8800</v>
      </c>
      <c r="H24" s="54" t="s">
        <v>42</v>
      </c>
      <c r="I24" s="49">
        <v>0</v>
      </c>
      <c r="J24" s="49" t="s">
        <v>43</v>
      </c>
    </row>
    <row r="25" spans="1:10">
      <c r="A25" s="22" t="s">
        <v>44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45</v>
      </c>
      <c r="C26" s="25"/>
      <c r="D26" s="25"/>
      <c r="E26" s="25">
        <v>55</v>
      </c>
      <c r="F26" s="25" t="s">
        <v>46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440</v>
      </c>
      <c r="F28" s="25" t="s">
        <v>46</v>
      </c>
      <c r="G28" s="50">
        <f>SUM((C28+C29+E28+E29)*30)</f>
        <v>13200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 t="s">
        <v>64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73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1530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88</v>
      </c>
      <c r="I64" s="70"/>
    </row>
    <row r="65" spans="1:10" customHeight="1" ht="45.95">
      <c r="A65" s="34" t="s">
        <v>89</v>
      </c>
      <c r="B65" s="14" t="e">
        <f>(SUM(G28)/H60)</f>
        <v>#VALUE!</v>
      </c>
      <c r="C65" s="73" t="s">
        <v>90</v>
      </c>
      <c r="D65" s="74"/>
      <c r="E65" s="74" t="s">
        <v>91</v>
      </c>
      <c r="F65" s="74"/>
      <c r="G65" s="3" t="s">
        <v>92</v>
      </c>
      <c r="H65" s="4" t="s">
        <v>88</v>
      </c>
      <c r="I65" s="70"/>
    </row>
    <row r="66" spans="1:10" customHeight="1" ht="47.25">
      <c r="A66" s="13" t="s">
        <v>93</v>
      </c>
      <c r="B66" s="14" t="e">
        <f>(SUM(G26)/H60)</f>
        <v>#VALUE!</v>
      </c>
      <c r="C66" s="73" t="s">
        <v>94</v>
      </c>
      <c r="D66" s="74"/>
      <c r="E66" s="74" t="s">
        <v>95</v>
      </c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