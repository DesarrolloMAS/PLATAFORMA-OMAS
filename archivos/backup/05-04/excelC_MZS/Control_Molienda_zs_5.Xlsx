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<sst xmlns="http://schemas.openxmlformats.org/spreadsheetml/2006/main" uniqueCount="100">
  <si>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</si>
  <si>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</si>
  <si>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</si>
  <si>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07:18</t>
  </si>
  <si>
    <t>Hora Turno2</t>
  </si>
  <si>
    <t>07:30</t>
  </si>
  <si>
    <t>FECHA</t>
  </si>
  <si>
    <t>2026-04-10</t>
  </si>
  <si>
    <t>Responsable</t>
  </si>
  <si>
    <t>Jorge Lara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</si>
  <si>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</si>
  <si>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</si>
  <si>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</si>
  <si>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</si>
  <si>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</si>
  <si>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</si>
  <si>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</si>
  <si>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</si>
  <si>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</si>
  <si>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</si>
  <si>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090426P</t>
  </si>
  <si>
    <t>EMPAQUE EXTRA PAN  (60X100) X50</t>
  </si>
  <si>
    <t>MP-02319</t>
  </si>
  <si>
    <t>100426P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</si>
  <si>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</si>
  <si>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</si>
  <si>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</si>
  <si>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</si>
  <si>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</si>
  <si>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</si>
  <si>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626(MP-02233) 774 (MP-02314)</t>
  </si>
  <si>
    <t>HARINA DE TRIGO NARIÑO X2500GR</t>
  </si>
  <si>
    <t>LAMINA NARIÑO (CUARTO) 2500GR</t>
  </si>
  <si>
    <t>MP-02273</t>
  </si>
  <si>
    <t>HARINA DE TRIGO NARIÑO X1000GR</t>
  </si>
  <si>
    <t>080426P</t>
  </si>
  <si>
    <t xml:space="preserve">LAMINA NARIÑO (KILO) </t>
  </si>
  <si>
    <t>MP-02274</t>
  </si>
  <si>
    <t>HARINA DE TRIGO NARIÑO X500GR</t>
  </si>
  <si>
    <t>070426P</t>
  </si>
  <si>
    <t>LAMINA NARIÑO (LIBRA)</t>
  </si>
  <si>
    <t>MP-02213</t>
  </si>
  <si>
    <t>SUB MOGOLLA X 40</t>
  </si>
  <si>
    <t>060426P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</si>
  <si>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</si>
  <si>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</si>
  <si>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</si>
  <si>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</si>
  <si>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</si>
  <si>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</si>
  <si>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</si>
  <si>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</si>
  <si>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</si>
  <si>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</si>
  <si>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</si>
  <si>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</si>
  <si>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</si>
  <si>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</si>
  <si>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</si>
  <si>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</si>
  <si>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</si>
  <si>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</si>
  <si>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</si>
  <si>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</si>
  <si>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</si>
  <si>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</si>
  <si>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</si>
  <si>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</si>
  <si>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</si>
  <si>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</si>
  <si>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</si>
  <si>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MP-02322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</si>
  <si>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</si>
  <si>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</si>
  <si>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</si>
  <si>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</si>
  <si>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</si>
  <si>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</si>
  <si>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</si>
  <si>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</si>
  <si>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</si>
  <si>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Javier Acosta</t>
  </si>
  <si>
    <t>Jeison Zambrano</t>
  </si>
  <si>
    <t>ENCARGADO TURNO 2</t>
  </si>
  <si>
    <t>EXT. MOGOLLA</t>
  </si>
  <si>
    <t>Carlos Carosama</t>
  </si>
  <si>
    <t>Erain Chachinoy</t>
  </si>
  <si>
    <t>ALMACENISTA 1</t>
  </si>
  <si>
    <t>EXT.SALVADO X30</t>
  </si>
  <si>
    <t>Jhonatan Benavides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</si>
  <si>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</si>
  <si>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</si>
  <si>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</si>
  <si>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</si>
  <si>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</si>
  <si>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</si>
  <si>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</si>
  <si>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>Edison Paz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</si>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</sst>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457d792d08db749e87752333cff42c.png"/><Relationship Id="rId2" Type="http://schemas.openxmlformats.org/officeDocument/2006/relationships/image" Target="../media/4f690c2550f9e8d11f0572ce000bfe89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5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530</v>
      </c>
      <c r="F10" s="25" t="s">
        <v>20</v>
      </c>
      <c r="G10" s="50">
        <f>SUM((C10+C11+E10+E11)*50)</f>
        <v>54000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550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270</v>
      </c>
      <c r="D18" s="25" t="s">
        <v>20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220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1400</v>
      </c>
      <c r="D22" s="25" t="s">
        <v>39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206</v>
      </c>
      <c r="F24" s="25" t="s">
        <v>43</v>
      </c>
      <c r="G24" s="50">
        <f>SUM((C24+C25+E24+E25)*40)</f>
        <v>8240</v>
      </c>
      <c r="H24" s="54" t="s">
        <v>44</v>
      </c>
      <c r="I24" s="49">
        <v>0</v>
      </c>
      <c r="J24" s="49">
        <v>0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51</v>
      </c>
      <c r="F26" s="25" t="s">
        <v>43</v>
      </c>
      <c r="G26" s="50" t="e">
        <f>SUM((C26+C27+E26+E27)*50)</f>
        <v>#VALUE!</v>
      </c>
      <c r="H26" s="54" t="s">
        <v>47</v>
      </c>
      <c r="I26" s="49">
        <v>0</v>
      </c>
      <c r="J26" s="49">
        <v>0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375</v>
      </c>
      <c r="F28" s="25" t="s">
        <v>43</v>
      </c>
      <c r="G28" s="50">
        <f>SUM((C28+C29+E28+E29)*30)</f>
        <v>11250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>
        <v>40</v>
      </c>
      <c r="F32" s="25" t="s">
        <v>43</v>
      </c>
      <c r="G32" s="50" t="e">
        <f>SUM((C32+C33+E32+E33)*25)</f>
        <v>#VALUE!</v>
      </c>
      <c r="H32" s="56" t="s">
        <v>54</v>
      </c>
      <c r="I32" s="49">
        <v>0</v>
      </c>
      <c r="J32" s="49" t="s">
        <v>55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 t="s">
        <v>69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70</v>
      </c>
      <c r="I48" s="49" t="s">
        <v>71</v>
      </c>
      <c r="J48" s="49" t="s">
        <v>71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72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73</v>
      </c>
      <c r="I52" s="53">
        <v>0</v>
      </c>
      <c r="J52" s="49" t="s">
        <v>39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1595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9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9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