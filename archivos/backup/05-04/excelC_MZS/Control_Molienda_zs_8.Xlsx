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<sst xmlns="http://schemas.openxmlformats.org/spreadsheetml/2006/main" uniqueCount="100">
  <si>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</si>
  <si>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</si>
  <si>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</si>
  <si>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</si>
  <si>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</si>
  <si>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</si>
  <si>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</si>
  <si>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2026-04-15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</si>
  <si>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</si>
  <si>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</si>
  <si>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</si>
  <si>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</si>
  <si>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</si>
  <si>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</si>
  <si>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</si>
  <si>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</si>
  <si>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</si>
  <si>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</si>
  <si>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</si>
  <si>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</si>
  <si>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150426P</t>
  </si>
  <si>
    <t>EMPAQUE EXTRA PAN  (60X100) X50</t>
  </si>
  <si>
    <t>MP-02319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</si>
  <si>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</si>
  <si>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</si>
  <si>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</si>
  <si>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</si>
  <si>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</si>
  <si>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</si>
  <si>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MP-02314</t>
  </si>
  <si>
    <t>HARINA DE TRIGO NARIÑO X2500GR</t>
  </si>
  <si>
    <t>140426P</t>
  </si>
  <si>
    <t>LAMINA NARIÑO (CUARTO) 2500GR</t>
  </si>
  <si>
    <t>MP-02273</t>
  </si>
  <si>
    <t>HARINA DE TRIGO NARIÑO X1000GR</t>
  </si>
  <si>
    <t xml:space="preserve">LAMINA NARIÑO (KILO) </t>
  </si>
  <si>
    <t>MP-02274</t>
  </si>
  <si>
    <t>HARINA DE TRIGO NARIÑO X500GR</t>
  </si>
  <si>
    <t>130426P</t>
  </si>
  <si>
    <t>LAMINA NARIÑO (LIBRA)</t>
  </si>
  <si>
    <t>(130)MP-02213 (870)MP-02275</t>
  </si>
  <si>
    <t>SUB MOGOLLA X 40</t>
  </si>
  <si>
    <t>060426P</t>
  </si>
  <si>
    <t>EMPAQUE GALERAS MOGOLLA (60X115) X 40</t>
  </si>
  <si>
    <t>MP-02216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</si>
  <si>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</si>
  <si>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</si>
  <si>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</si>
  <si>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</si>
  <si>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</si>
  <si>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</si>
  <si>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</si>
  <si>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</si>
  <si>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</si>
  <si>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</si>
  <si>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</si>
  <si>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</si>
  <si>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</si>
  <si>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</si>
  <si>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</si>
  <si>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</si>
  <si>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</si>
  <si>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</si>
  <si>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</si>
  <si>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</si>
  <si>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</si>
  <si>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</si>
  <si>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</si>
  <si>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</si>
  <si>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</si>
  <si>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MP-02322</t>
  </si>
  <si>
    <t xml:space="preserve">MEJORANTE ARTESANAL </t>
  </si>
  <si>
    <t>MEJORANTE EXTRAPAN</t>
  </si>
  <si>
    <t>070426P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</si>
  <si>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</si>
  <si>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</si>
  <si>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</si>
  <si>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</si>
  <si>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</si>
  <si>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</si>
  <si>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</si>
  <si>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</si>
  <si>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</si>
  <si>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</si>
  <si>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</si>
  <si>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</si>
  <si>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</si>
  <si>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</si>
  <si>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</si>
  <si>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</si>
  <si>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</si>
  <si>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ALMACENISTA 2</t>
  </si>
  <si>
    <t>EXT. SEGUNDA</t>
  </si>
  <si>
    <t>Cristian perez</t>
  </si>
  <si>
    <t>Miguel Coral</t>
  </si>
  <si>
    <t>COORDINADOR DE OPERACIONES</t>
  </si>
  <si>
    <t>EXT. GERMEN</t>
  </si>
  <si>
    <t>Robin tonguino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</si>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</sst>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9a316fec9f7d433d7c149e37eb21da5.png"/><Relationship Id="rId2" Type="http://schemas.openxmlformats.org/officeDocument/2006/relationships/image" Target="../media/abe022870bc7d3e3230452225e6f3a03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8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380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180</v>
      </c>
      <c r="D20" s="25" t="s">
        <v>31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1000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200</v>
      </c>
      <c r="F24" s="25" t="s">
        <v>42</v>
      </c>
      <c r="G24" s="50">
        <f>SUM((C24+C25+E24+E25)*40)</f>
        <v>8000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45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420</v>
      </c>
      <c r="F28" s="25" t="s">
        <v>42</v>
      </c>
      <c r="G28" s="50">
        <f>SUM((C28+C29+E28+E29)*30)</f>
        <v>12600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 t="s">
        <v>64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73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1630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78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79</v>
      </c>
      <c r="H62" s="35"/>
      <c r="I62" s="70"/>
    </row>
    <row r="63" spans="1:10" customHeight="1" ht="108.95">
      <c r="A63" s="11" t="s">
        <v>80</v>
      </c>
      <c r="B63" s="12" t="e">
        <f>B60/H60</f>
        <v>#VALUE!</v>
      </c>
      <c r="C63" s="71" t="s">
        <v>81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 t="s">
        <v>86</v>
      </c>
      <c r="F64" s="74"/>
      <c r="G64" s="5" t="s">
        <v>87</v>
      </c>
      <c r="H64" s="4" t="s">
        <v>88</v>
      </c>
      <c r="I64" s="70"/>
    </row>
    <row r="65" spans="1:10" customHeight="1" ht="45.95">
      <c r="A65" s="34" t="s">
        <v>89</v>
      </c>
      <c r="B65" s="14" t="e">
        <f>(SUM(G28)/H60)</f>
        <v>#VALUE!</v>
      </c>
      <c r="C65" s="73" t="s">
        <v>90</v>
      </c>
      <c r="D65" s="74"/>
      <c r="E65" s="74"/>
      <c r="F65" s="74"/>
      <c r="G65" s="3" t="s">
        <v>91</v>
      </c>
      <c r="H65" s="4" t="s">
        <v>88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