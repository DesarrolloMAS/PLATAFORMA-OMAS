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<sst xmlns="http://schemas.openxmlformats.org/spreadsheetml/2006/main" uniqueCount="76">
  <si>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</si>
  <si>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</si>
  <si>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</si>
  <si>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</si>
  <si>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</si>
  <si>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</si>
  <si>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</si>
  <si>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</si>
  <si>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</si>
  <si>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</si>
  <si>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2026-04</t>
  </si>
  <si>
    <t>PRODUCTO</t>
  </si>
  <si>
    <t>Mogolla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</si>
  <si>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</si>
  <si>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</si>
  <si>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</si>
  <si>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</si>
  <si>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</si>
  <si>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</si>
  <si>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</si>
  <si>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</si>
  <si>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</si>
  <si>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</si>
  <si>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</si>
  <si>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</si>
  <si>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</si>
  <si>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</si>
  <si>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</si>
  <si>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</si>
  <si>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</si>
  <si>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</si>
  <si>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</si>
  <si>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</si>
  <si>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</si>
  <si>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</si>
  <si>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2026-04-06</t>
  </si>
  <si>
    <t>16:21</t>
  </si>
  <si>
    <t>060426P</t>
  </si>
  <si>
    <t>Fr</t>
  </si>
  <si>
    <t>2026-04-07</t>
  </si>
  <si>
    <t>15:17</t>
  </si>
  <si>
    <t xml:space="preserve">Jhonatan Benavides </t>
  </si>
  <si>
    <t>2026-04-08</t>
  </si>
  <si>
    <t>15:51</t>
  </si>
  <si>
    <t>2026-04-09</t>
  </si>
  <si>
    <t>11:27</t>
  </si>
  <si>
    <t>060426B</t>
  </si>
  <si>
    <t>Yolmer leal</t>
  </si>
  <si>
    <t>15:19</t>
  </si>
  <si>
    <t>2026-04-10</t>
  </si>
  <si>
    <t>15:07</t>
  </si>
  <si>
    <t>2026-04-13</t>
  </si>
  <si>
    <t>16:18</t>
  </si>
  <si>
    <t>Efrain Chachinoy</t>
  </si>
  <si>
    <t>2026-04-14</t>
  </si>
  <si>
    <t>15:22</t>
  </si>
  <si>
    <t xml:space="preserve">Willian Burgos </t>
  </si>
  <si>
    <t>2026-04-15</t>
  </si>
  <si>
    <t>2026-04-16</t>
  </si>
  <si>
    <t>14:18</t>
  </si>
  <si>
    <t>2026-04-17</t>
  </si>
  <si>
    <t>15:57</t>
  </si>
  <si>
    <t>2026-04-22</t>
  </si>
  <si>
    <t>14:42</t>
  </si>
  <si>
    <t>Miguel Coral</t>
  </si>
  <si>
    <t>2026-04-23</t>
  </si>
  <si>
    <t>15:03</t>
  </si>
  <si>
    <t>2026-04-24</t>
  </si>
  <si>
    <t>15:08</t>
  </si>
  <si>
    <t xml:space="preserve">Miguel Tumbaco </t>
  </si>
  <si>
    <t>2026-04-28</t>
  </si>
  <si>
    <t>01:41</t>
  </si>
  <si>
    <t>210426B</t>
  </si>
  <si>
    <t>Juvenal poloche</t>
  </si>
  <si>
    <t>2026-04-29</t>
  </si>
  <si>
    <t>03:17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</si>
</sst>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31c2d1318abfa27bd30479408e6a656.png"/><Relationship Id="rId2" Type="http://schemas.openxmlformats.org/officeDocument/2006/relationships/image" Target="../media/5e60db2c9351848a81e875b0f1378bde.png"/><Relationship Id="rId3" Type="http://schemas.openxmlformats.org/officeDocument/2006/relationships/image" Target="../media/8e4fa6c22f8892525039be86db5d1d73.png"/><Relationship Id="rId4" Type="http://schemas.openxmlformats.org/officeDocument/2006/relationships/image" Target="../media/299df8527433922a2e0209366b3d266a.png"/><Relationship Id="rId5" Type="http://schemas.openxmlformats.org/officeDocument/2006/relationships/image" Target="../media/92e25f303febab4c475b1ebb1545fff3.png"/><Relationship Id="rId6" Type="http://schemas.openxmlformats.org/officeDocument/2006/relationships/image" Target="../media/afd067df0bf7b648d8b0ef0783886cfb.png"/><Relationship Id="rId7" Type="http://schemas.openxmlformats.org/officeDocument/2006/relationships/image" Target="../media/41e57edd56848fac512b12a41fc6d1ce.png"/><Relationship Id="rId8" Type="http://schemas.openxmlformats.org/officeDocument/2006/relationships/image" Target="../media/17127c55ff6d8448eb991f643f9742b7.png"/><Relationship Id="rId9" Type="http://schemas.openxmlformats.org/officeDocument/2006/relationships/image" Target="../media/293004e648c023474874c385643a0984.png"/><Relationship Id="rId10" Type="http://schemas.openxmlformats.org/officeDocument/2006/relationships/image" Target="../media/d534a2628598094c20d2a08b474efdf5.png"/><Relationship Id="rId11" Type="http://schemas.openxmlformats.org/officeDocument/2006/relationships/image" Target="../media/30166b270b464601012ced4730e878ab.png"/><Relationship Id="rId12" Type="http://schemas.openxmlformats.org/officeDocument/2006/relationships/image" Target="../media/6637c40774f29077ba89c3751d5821c8.png"/><Relationship Id="rId13" Type="http://schemas.openxmlformats.org/officeDocument/2006/relationships/image" Target="../media/165449cf4b100e3d6befeb09928f761a.png"/><Relationship Id="rId14" Type="http://schemas.openxmlformats.org/officeDocument/2006/relationships/image" Target="../media/840a1fd03234b09a9eddaccdcac29650.png"/><Relationship Id="rId15" Type="http://schemas.openxmlformats.org/officeDocument/2006/relationships/image" Target="../media/59e797898c237c67c290a5b369c0949a.png"/><Relationship Id="rId16" Type="http://schemas.openxmlformats.org/officeDocument/2006/relationships/image" Target="../media/11982e6b19c4ac8689570de7564e1caf.png"/><Relationship Id="rId17" Type="http://schemas.openxmlformats.org/officeDocument/2006/relationships/image" Target="../media/aa8ee9392b526c7e69494375928a68e3.png"/><Relationship Id="rId1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40</v>
      </c>
      <c r="L5" s="10" t="s">
        <v>14</v>
      </c>
      <c r="M5" s="18">
        <v>0.15</v>
      </c>
      <c r="N5" s="19"/>
      <c r="O5" s="10" t="s">
        <v>15</v>
      </c>
      <c r="P5" s="46">
        <f>K5+M5</f>
        <v>40.15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40.2</v>
      </c>
      <c r="E8" s="22">
        <v>40.2</v>
      </c>
      <c r="F8" s="22">
        <v>40.2</v>
      </c>
      <c r="G8" s="22">
        <v>40.2</v>
      </c>
      <c r="H8" s="22">
        <v>40.2</v>
      </c>
      <c r="I8" s="22">
        <v>40.2</v>
      </c>
      <c r="J8" s="22">
        <v>40.2</v>
      </c>
      <c r="K8" s="22">
        <v>40.2</v>
      </c>
      <c r="L8" s="22">
        <v>40.2</v>
      </c>
      <c r="M8" s="22">
        <v>40.2</v>
      </c>
      <c r="N8" s="22" t="s">
        <v>38</v>
      </c>
      <c r="O8" s="22">
        <f>AVERAGE(D8:M8)</f>
        <v>40.2</v>
      </c>
      <c r="P8" s="22"/>
      <c r="Q8" s="3"/>
    </row>
    <row r="9" spans="1:17" customHeight="1" ht="15.75">
      <c r="A9" s="4" t="s">
        <v>35</v>
      </c>
      <c r="B9" s="1" t="s">
        <v>36</v>
      </c>
      <c r="C9" s="1" t="s">
        <v>37</v>
      </c>
      <c r="D9" s="1">
        <v>40.2</v>
      </c>
      <c r="E9" s="1">
        <v>40.2</v>
      </c>
      <c r="F9" s="1">
        <v>40.2</v>
      </c>
      <c r="G9" s="1">
        <v>40.2</v>
      </c>
      <c r="H9" s="1">
        <v>40.2</v>
      </c>
      <c r="I9" s="1">
        <v>40.2</v>
      </c>
      <c r="J9" s="1">
        <v>40.2</v>
      </c>
      <c r="K9" s="1">
        <v>40.2</v>
      </c>
      <c r="L9" s="1">
        <v>40.2</v>
      </c>
      <c r="M9" s="1">
        <v>40.2</v>
      </c>
      <c r="N9" s="1" t="s">
        <v>38</v>
      </c>
      <c r="O9" s="22">
        <f>AVERAGE(D9:M9)</f>
        <v>40.2</v>
      </c>
      <c r="P9" s="1"/>
      <c r="Q9" s="5"/>
    </row>
    <row r="10" spans="1:17" customHeight="1" ht="15.75">
      <c r="A10" s="4" t="s">
        <v>39</v>
      </c>
      <c r="B10" s="1" t="s">
        <v>40</v>
      </c>
      <c r="C10" s="1" t="s">
        <v>37</v>
      </c>
      <c r="D10" s="1">
        <v>40.2</v>
      </c>
      <c r="E10" s="1">
        <v>40.2</v>
      </c>
      <c r="F10" s="1">
        <v>40.2</v>
      </c>
      <c r="G10" s="1">
        <v>40.2</v>
      </c>
      <c r="H10" s="1">
        <v>40.2</v>
      </c>
      <c r="I10" s="1">
        <v>40.2</v>
      </c>
      <c r="J10" s="1">
        <v>40.2</v>
      </c>
      <c r="K10" s="1">
        <v>40.2</v>
      </c>
      <c r="L10" s="1">
        <v>40.2</v>
      </c>
      <c r="M10" s="1">
        <v>40.2</v>
      </c>
      <c r="N10" s="1" t="s">
        <v>41</v>
      </c>
      <c r="O10" s="22">
        <f>AVERAGE(D10:M10)</f>
        <v>40.2</v>
      </c>
      <c r="P10" s="1"/>
      <c r="Q10" s="5"/>
    </row>
    <row r="11" spans="1:17" customHeight="1" ht="15.75">
      <c r="A11" s="4" t="s">
        <v>42</v>
      </c>
      <c r="B11" s="1" t="s">
        <v>43</v>
      </c>
      <c r="C11" s="1" t="s">
        <v>37</v>
      </c>
      <c r="D11" s="1">
        <v>40.1</v>
      </c>
      <c r="E11" s="1">
        <v>40.1</v>
      </c>
      <c r="F11" s="1">
        <v>40.1</v>
      </c>
      <c r="G11" s="1">
        <v>40.1</v>
      </c>
      <c r="H11" s="1">
        <v>40.1</v>
      </c>
      <c r="I11" s="1">
        <v>40.1</v>
      </c>
      <c r="J11" s="1">
        <v>40.1</v>
      </c>
      <c r="K11" s="1">
        <v>40.1</v>
      </c>
      <c r="L11" s="1">
        <v>40.1</v>
      </c>
      <c r="M11" s="1">
        <v>40.1</v>
      </c>
      <c r="N11" s="1" t="s">
        <v>41</v>
      </c>
      <c r="O11" s="22">
        <f>AVERAGE(D11:M11)</f>
        <v>40.10000000000001</v>
      </c>
      <c r="P11" s="1"/>
      <c r="Q11" s="5"/>
    </row>
    <row r="12" spans="1:17" customHeight="1" ht="15.75">
      <c r="A12" s="4" t="s">
        <v>44</v>
      </c>
      <c r="B12" s="1" t="s">
        <v>45</v>
      </c>
      <c r="C12" s="1" t="s">
        <v>46</v>
      </c>
      <c r="D12" s="1">
        <v>40.1</v>
      </c>
      <c r="E12" s="1">
        <v>40.15</v>
      </c>
      <c r="F12" s="1">
        <v>40.15</v>
      </c>
      <c r="G12" s="1">
        <v>40.1</v>
      </c>
      <c r="H12" s="1">
        <v>40.1</v>
      </c>
      <c r="I12" s="1">
        <v>40.1</v>
      </c>
      <c r="J12" s="1">
        <v>40.1</v>
      </c>
      <c r="K12" s="1">
        <v>40.1</v>
      </c>
      <c r="L12" s="1">
        <v>40.1</v>
      </c>
      <c r="M12" s="1">
        <v>40.1</v>
      </c>
      <c r="N12" s="1" t="s">
        <v>47</v>
      </c>
      <c r="O12" s="22">
        <f>AVERAGE(D12:M12)</f>
        <v>40.11000000000001</v>
      </c>
      <c r="P12" s="1"/>
      <c r="Q12" s="5"/>
    </row>
    <row r="13" spans="1:17" customHeight="1" ht="15.75">
      <c r="A13" s="4" t="s">
        <v>44</v>
      </c>
      <c r="B13" s="1" t="s">
        <v>48</v>
      </c>
      <c r="C13" s="1" t="s">
        <v>37</v>
      </c>
      <c r="D13" s="1">
        <v>40.2</v>
      </c>
      <c r="E13" s="1">
        <v>40.2</v>
      </c>
      <c r="F13" s="1">
        <v>40.2</v>
      </c>
      <c r="G13" s="1">
        <v>40.2</v>
      </c>
      <c r="H13" s="1">
        <v>40.2</v>
      </c>
      <c r="I13" s="1">
        <v>40.2</v>
      </c>
      <c r="J13" s="1">
        <v>40.2</v>
      </c>
      <c r="K13" s="1">
        <v>40.2</v>
      </c>
      <c r="L13" s="1">
        <v>40.2</v>
      </c>
      <c r="M13" s="1">
        <v>40.2</v>
      </c>
      <c r="N13" s="1" t="s">
        <v>41</v>
      </c>
      <c r="O13" s="22">
        <f>AVERAGE(D13:M13)</f>
        <v>40.2</v>
      </c>
      <c r="P13" s="1"/>
      <c r="Q13" s="5"/>
    </row>
    <row r="14" spans="1:17" customHeight="1" ht="15.75">
      <c r="A14" s="4" t="s">
        <v>49</v>
      </c>
      <c r="B14" s="1" t="s">
        <v>50</v>
      </c>
      <c r="C14" s="1" t="s">
        <v>37</v>
      </c>
      <c r="D14" s="1">
        <v>40.2</v>
      </c>
      <c r="E14" s="1">
        <v>40.2</v>
      </c>
      <c r="F14" s="1">
        <v>40.2</v>
      </c>
      <c r="G14" s="1">
        <v>40.2</v>
      </c>
      <c r="H14" s="1">
        <v>40.2</v>
      </c>
      <c r="I14" s="1">
        <v>40.2</v>
      </c>
      <c r="J14" s="1">
        <v>40.2</v>
      </c>
      <c r="K14" s="1">
        <v>40.2</v>
      </c>
      <c r="L14" s="1">
        <v>40.2</v>
      </c>
      <c r="M14" s="1">
        <v>40.2</v>
      </c>
      <c r="N14" s="1" t="s">
        <v>41</v>
      </c>
      <c r="O14" s="22">
        <f>AVERAGE(D14:M14)</f>
        <v>40.2</v>
      </c>
      <c r="P14" s="1"/>
      <c r="Q14" s="5"/>
    </row>
    <row r="15" spans="1:17" customHeight="1" ht="15.75">
      <c r="A15" s="4" t="s">
        <v>49</v>
      </c>
      <c r="B15" s="1" t="s">
        <v>50</v>
      </c>
      <c r="C15" s="1" t="s">
        <v>37</v>
      </c>
      <c r="D15" s="1">
        <v>40.2</v>
      </c>
      <c r="E15" s="1">
        <v>40.2</v>
      </c>
      <c r="F15" s="1">
        <v>40.2</v>
      </c>
      <c r="G15" s="1">
        <v>40.2</v>
      </c>
      <c r="H15" s="1">
        <v>40.2</v>
      </c>
      <c r="I15" s="1">
        <v>40.2</v>
      </c>
      <c r="J15" s="1">
        <v>40.2</v>
      </c>
      <c r="K15" s="1">
        <v>40.2</v>
      </c>
      <c r="L15" s="1">
        <v>40.2</v>
      </c>
      <c r="M15" s="1">
        <v>40.2</v>
      </c>
      <c r="N15" s="1" t="s">
        <v>41</v>
      </c>
      <c r="O15" s="22">
        <f>AVERAGE(D15:M15)</f>
        <v>40.2</v>
      </c>
      <c r="P15" s="1"/>
      <c r="Q15" s="5"/>
    </row>
    <row r="16" spans="1:17" customHeight="1" ht="15.75">
      <c r="A16" s="4" t="s">
        <v>51</v>
      </c>
      <c r="B16" s="1" t="s">
        <v>52</v>
      </c>
      <c r="C16" s="1" t="s">
        <v>37</v>
      </c>
      <c r="D16" s="1">
        <v>40.1</v>
      </c>
      <c r="E16" s="1">
        <v>40.1</v>
      </c>
      <c r="F16" s="1">
        <v>40.2</v>
      </c>
      <c r="G16" s="1">
        <v>40.1</v>
      </c>
      <c r="H16" s="1">
        <v>40.2</v>
      </c>
      <c r="I16" s="1">
        <v>40.2</v>
      </c>
      <c r="J16" s="1">
        <v>40.1</v>
      </c>
      <c r="K16" s="1">
        <v>40.2</v>
      </c>
      <c r="L16" s="1">
        <v>40.2</v>
      </c>
      <c r="M16" s="1">
        <v>40.2</v>
      </c>
      <c r="N16" s="1" t="s">
        <v>53</v>
      </c>
      <c r="O16" s="22">
        <f>AVERAGE(D16:M16)</f>
        <v>40.16</v>
      </c>
      <c r="P16" s="1"/>
      <c r="Q16" s="5"/>
    </row>
    <row r="17" spans="1:17" customHeight="1" ht="15.75">
      <c r="A17" s="4" t="s">
        <v>54</v>
      </c>
      <c r="B17" s="1" t="s">
        <v>55</v>
      </c>
      <c r="C17" s="1" t="s">
        <v>37</v>
      </c>
      <c r="D17" s="1">
        <v>40.1</v>
      </c>
      <c r="E17" s="1">
        <v>40.1</v>
      </c>
      <c r="F17" s="1">
        <v>40.1</v>
      </c>
      <c r="G17" s="1">
        <v>40.1</v>
      </c>
      <c r="H17" s="1">
        <v>40.1</v>
      </c>
      <c r="I17" s="1"/>
      <c r="J17" s="1">
        <v>40.1</v>
      </c>
      <c r="K17" s="1">
        <v>70.099999999999994</v>
      </c>
      <c r="L17" s="1">
        <v>40.1</v>
      </c>
      <c r="M17" s="1">
        <v>40.1</v>
      </c>
      <c r="N17" s="1" t="s">
        <v>56</v>
      </c>
      <c r="O17" s="22">
        <f>AVERAGE(D17:M17)</f>
        <v>43.43333333333334</v>
      </c>
      <c r="P17" s="1"/>
      <c r="Q17" s="5"/>
    </row>
    <row r="18" spans="1:17" customHeight="1" ht="15.75">
      <c r="A18" s="4" t="s">
        <v>57</v>
      </c>
      <c r="B18" s="1" t="s">
        <v>36</v>
      </c>
      <c r="C18" s="1" t="s">
        <v>37</v>
      </c>
      <c r="D18" s="1">
        <v>40.2</v>
      </c>
      <c r="E18" s="1">
        <v>40.2</v>
      </c>
      <c r="F18" s="1">
        <v>40.2</v>
      </c>
      <c r="G18" s="1">
        <v>40.2</v>
      </c>
      <c r="H18" s="1">
        <v>40.2</v>
      </c>
      <c r="I18" s="1">
        <v>40.2</v>
      </c>
      <c r="J18" s="1">
        <v>40.2</v>
      </c>
      <c r="K18" s="1">
        <v>40.2</v>
      </c>
      <c r="L18" s="1">
        <v>40.2</v>
      </c>
      <c r="M18" s="1">
        <v>40.2</v>
      </c>
      <c r="N18" s="1" t="s">
        <v>56</v>
      </c>
      <c r="O18" s="22">
        <f>AVERAGE(D18:M18)</f>
        <v>40.2</v>
      </c>
      <c r="P18" s="1"/>
      <c r="Q18" s="5"/>
    </row>
    <row r="19" spans="1:17" customHeight="1" ht="15.75">
      <c r="A19" s="4" t="s">
        <v>58</v>
      </c>
      <c r="B19" s="1" t="s">
        <v>59</v>
      </c>
      <c r="C19" s="1" t="s">
        <v>37</v>
      </c>
      <c r="D19" s="1">
        <v>40.2</v>
      </c>
      <c r="E19" s="1">
        <v>40.2</v>
      </c>
      <c r="F19" s="1">
        <v>40.2</v>
      </c>
      <c r="G19" s="1">
        <v>40.2</v>
      </c>
      <c r="H19" s="1">
        <v>40.2</v>
      </c>
      <c r="I19" s="1">
        <v>40.2</v>
      </c>
      <c r="J19" s="1">
        <v>40.2</v>
      </c>
      <c r="K19" s="1">
        <v>40.2</v>
      </c>
      <c r="L19" s="1">
        <v>40.2</v>
      </c>
      <c r="M19" s="1">
        <v>40.2</v>
      </c>
      <c r="N19" s="1" t="s">
        <v>56</v>
      </c>
      <c r="O19" s="22">
        <f>AVERAGE(D19:M19)</f>
        <v>40.2</v>
      </c>
      <c r="P19" s="1"/>
      <c r="Q19" s="5"/>
    </row>
    <row r="20" spans="1:17" customHeight="1" ht="15.75">
      <c r="A20" s="4" t="s">
        <v>60</v>
      </c>
      <c r="B20" s="1" t="s">
        <v>61</v>
      </c>
      <c r="C20" s="1" t="s">
        <v>37</v>
      </c>
      <c r="D20" s="1">
        <v>40.2</v>
      </c>
      <c r="E20" s="1">
        <v>40.2</v>
      </c>
      <c r="F20" s="1">
        <v>40.2</v>
      </c>
      <c r="G20" s="1">
        <v>40.2</v>
      </c>
      <c r="H20" s="1">
        <v>40.2</v>
      </c>
      <c r="I20" s="1">
        <v>40.2</v>
      </c>
      <c r="J20" s="1">
        <v>40.2</v>
      </c>
      <c r="K20" s="1">
        <v>40.2</v>
      </c>
      <c r="L20" s="1">
        <v>40.2</v>
      </c>
      <c r="M20" s="1">
        <v>40.2</v>
      </c>
      <c r="N20" s="1" t="s">
        <v>53</v>
      </c>
      <c r="O20" s="22">
        <f>AVERAGE(D20:M20)</f>
        <v>40.2</v>
      </c>
      <c r="P20" s="1"/>
      <c r="Q20" s="5"/>
    </row>
    <row r="21" spans="1:17" customHeight="1" ht="15.75">
      <c r="A21" s="4" t="s">
        <v>62</v>
      </c>
      <c r="B21" s="1" t="s">
        <v>63</v>
      </c>
      <c r="C21" s="1" t="s">
        <v>37</v>
      </c>
      <c r="D21" s="1">
        <v>40.1</v>
      </c>
      <c r="E21" s="1">
        <v>40.1</v>
      </c>
      <c r="F21" s="1">
        <v>40.1</v>
      </c>
      <c r="G21" s="1">
        <v>40.1</v>
      </c>
      <c r="H21" s="1">
        <v>40.1</v>
      </c>
      <c r="I21" s="1">
        <v>40.1</v>
      </c>
      <c r="J21" s="1">
        <v>40.1</v>
      </c>
      <c r="K21" s="1">
        <v>40.1</v>
      </c>
      <c r="L21" s="1">
        <v>40.1</v>
      </c>
      <c r="M21" s="1">
        <v>40.1</v>
      </c>
      <c r="N21" s="1" t="s">
        <v>64</v>
      </c>
      <c r="O21" s="22">
        <f>AVERAGE(D21:M21)</f>
        <v>40.10000000000001</v>
      </c>
      <c r="P21" s="1"/>
      <c r="Q21" s="5"/>
    </row>
    <row r="22" spans="1:17" customHeight="1" ht="15.75">
      <c r="A22" s="4" t="s">
        <v>65</v>
      </c>
      <c r="B22" s="1" t="s">
        <v>66</v>
      </c>
      <c r="C22" s="1" t="s">
        <v>37</v>
      </c>
      <c r="D22" s="1">
        <v>40.1</v>
      </c>
      <c r="E22" s="1">
        <v>40.1</v>
      </c>
      <c r="F22" s="1">
        <v>40.1</v>
      </c>
      <c r="G22" s="1">
        <v>40.1</v>
      </c>
      <c r="H22" s="1">
        <v>40.1</v>
      </c>
      <c r="I22" s="1">
        <v>40.1</v>
      </c>
      <c r="J22" s="1">
        <v>40.1</v>
      </c>
      <c r="K22" s="1">
        <v>40.1</v>
      </c>
      <c r="L22" s="1">
        <v>40.1</v>
      </c>
      <c r="M22" s="1">
        <v>40.1</v>
      </c>
      <c r="N22" s="1" t="s">
        <v>64</v>
      </c>
      <c r="O22" s="22">
        <f>AVERAGE(D22:M22)</f>
        <v>40.10000000000001</v>
      </c>
      <c r="P22" s="1"/>
      <c r="Q22" s="5"/>
    </row>
    <row r="23" spans="1:17" customHeight="1" ht="15.75">
      <c r="A23" s="4" t="s">
        <v>67</v>
      </c>
      <c r="B23" s="1" t="s">
        <v>68</v>
      </c>
      <c r="C23" s="1" t="s">
        <v>37</v>
      </c>
      <c r="D23" s="1">
        <v>40.1</v>
      </c>
      <c r="E23" s="1">
        <v>40.1</v>
      </c>
      <c r="F23" s="1">
        <v>40.1</v>
      </c>
      <c r="G23" s="1">
        <v>40.1</v>
      </c>
      <c r="H23" s="1">
        <v>40.1</v>
      </c>
      <c r="I23" s="1">
        <v>40.1</v>
      </c>
      <c r="J23" s="1">
        <v>40.1</v>
      </c>
      <c r="K23" s="1">
        <v>40</v>
      </c>
      <c r="L23" s="1">
        <v>40.2</v>
      </c>
      <c r="M23" s="1"/>
      <c r="N23" s="1" t="s">
        <v>69</v>
      </c>
      <c r="O23" s="22">
        <f>AVERAGE(D23:M23)</f>
        <v>40.099999999999994</v>
      </c>
      <c r="P23" s="1"/>
      <c r="Q23" s="5"/>
    </row>
    <row r="24" spans="1:17" customHeight="1" ht="15.75">
      <c r="A24" s="4" t="s">
        <v>70</v>
      </c>
      <c r="B24" s="1" t="s">
        <v>71</v>
      </c>
      <c r="C24" s="1" t="s">
        <v>72</v>
      </c>
      <c r="D24" s="1">
        <v>40.1</v>
      </c>
      <c r="E24" s="1">
        <v>40.1</v>
      </c>
      <c r="F24" s="1">
        <v>40.1</v>
      </c>
      <c r="G24" s="1">
        <v>40.15</v>
      </c>
      <c r="H24" s="1">
        <v>40.15</v>
      </c>
      <c r="I24" s="1">
        <v>40.1</v>
      </c>
      <c r="J24" s="1">
        <v>40.1</v>
      </c>
      <c r="K24" s="1">
        <v>40.1</v>
      </c>
      <c r="L24" s="1">
        <v>40.15</v>
      </c>
      <c r="M24" s="1">
        <v>40.1</v>
      </c>
      <c r="N24" s="1" t="s">
        <v>73</v>
      </c>
      <c r="O24" s="22">
        <f>AVERAGE(D24:M24)</f>
        <v>40.115</v>
      </c>
      <c r="P24" s="1"/>
      <c r="Q24" s="5"/>
    </row>
    <row r="25" spans="1:17" customHeight="1" ht="15.75">
      <c r="A25" s="4" t="s">
        <v>74</v>
      </c>
      <c r="B25" s="1" t="s">
        <v>75</v>
      </c>
      <c r="C25" s="1" t="s">
        <v>72</v>
      </c>
      <c r="D25" s="1">
        <v>40.1</v>
      </c>
      <c r="E25" s="1">
        <v>40.1</v>
      </c>
      <c r="F25" s="1">
        <v>40.1</v>
      </c>
      <c r="G25" s="1">
        <v>40.1</v>
      </c>
      <c r="H25" s="1">
        <v>40.15</v>
      </c>
      <c r="I25" s="1">
        <v>40.1</v>
      </c>
      <c r="J25" s="1">
        <v>40.049999999999997</v>
      </c>
      <c r="K25" s="1">
        <v>40.15</v>
      </c>
      <c r="L25" s="1">
        <v>40.1</v>
      </c>
      <c r="M25" s="1">
        <v>40.1</v>
      </c>
      <c r="N25" s="1" t="s">
        <v>73</v>
      </c>
      <c r="O25" s="22">
        <f>AVERAGE(D25:M25)</f>
        <v>40.105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