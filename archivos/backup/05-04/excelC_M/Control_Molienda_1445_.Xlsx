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<sst xmlns="http://schemas.openxmlformats.org/spreadsheetml/2006/main" uniqueCount="99">
  <si>
    <t>CONTROL DE MOLIENDA ZONA CENTRO</t>
  </si>
  <si>
    <t>MOLIENDA DE TRIGO Nº</t>
  </si>
  <si>
    <t>Hora Turno1</t>
  </si>
  <si>
    <t>14:19</t>
  </si>
  <si>
    <t>Hora Turno2</t>
  </si>
  <si>
    <t>06:08</t>
  </si>
  <si>
    <t>Hora Turno3</t>
  </si>
  <si>
    <t>06:09</t>
  </si>
  <si>
    <t>FECHA</t>
  </si>
  <si>
    <t>2026-04-07</t>
  </si>
  <si>
    <t>Responsable</t>
  </si>
  <si>
    <t>Elkin Polania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</si>
  <si>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</si>
  <si>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</si>
  <si>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</si>
  <si>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</si>
  <si>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</si>
  <si>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</si>
  <si>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</si>
  <si>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</si>
  <si>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</si>
  <si>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</si>
  <si>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</si>
  <si>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17856-10-20</t>
  </si>
  <si>
    <t>EXTRAPAN X50</t>
  </si>
  <si>
    <t>260326B</t>
  </si>
  <si>
    <t>070426B</t>
  </si>
  <si>
    <t>EMPAQUE EXTRA PAN X50</t>
  </si>
  <si>
    <t>MP-02197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</si>
  <si>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</si>
  <si>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</si>
  <si>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</si>
  <si>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</si>
  <si>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</si>
  <si>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</si>
  <si>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</si>
  <si>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</si>
  <si>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</si>
  <si>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</si>
  <si>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</si>
  <si>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</si>
  <si>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</si>
  <si>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</si>
  <si>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</si>
  <si>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</si>
  <si>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</si>
  <si>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</si>
  <si>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</si>
  <si>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</si>
  <si>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MP-02289-MP-02335</t>
  </si>
  <si>
    <t>17856-30</t>
  </si>
  <si>
    <t>HARINA ALTA PROTEINA X1</t>
  </si>
  <si>
    <t>060426B</t>
  </si>
  <si>
    <t>EMPAQUE GALERAS SAL X25</t>
  </si>
  <si>
    <t>MP-02152</t>
  </si>
  <si>
    <t>17856-40</t>
  </si>
  <si>
    <t>HARINA MEDIA PROTEINA X1</t>
  </si>
  <si>
    <t>EMPAQUE GALERAS SEG X50</t>
  </si>
  <si>
    <t>MP-02153</t>
  </si>
  <si>
    <t>HARINA BAJA PROTEINA X1</t>
  </si>
  <si>
    <t>VITAMINA</t>
  </si>
  <si>
    <t>MP-02327</t>
  </si>
  <si>
    <t>ARTESANAL X1</t>
  </si>
  <si>
    <t xml:space="preserve">MEJORANTE EXTRA PAN </t>
  </si>
  <si>
    <t>240326B1</t>
  </si>
  <si>
    <t xml:space="preserve">FUERTE EXPORTACIÓN </t>
  </si>
  <si>
    <t>MEJORANTE ARTESANAL</t>
  </si>
  <si>
    <t>HARINA T1 X 50</t>
  </si>
  <si>
    <t>HILO BLANCO</t>
  </si>
  <si>
    <t>17856-50</t>
  </si>
  <si>
    <t>SALVADO X25</t>
  </si>
  <si>
    <t xml:space="preserve">HILO VERDE  </t>
  </si>
  <si>
    <t>MP-02325</t>
  </si>
  <si>
    <t>17856-60</t>
  </si>
  <si>
    <t>MOGOLLA X40</t>
  </si>
  <si>
    <t>HILO NARANJA</t>
  </si>
  <si>
    <t>MP-01747</t>
  </si>
  <si>
    <t>17856-70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</si>
  <si>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</si>
  <si>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</si>
  <si>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</si>
  <si>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</si>
  <si>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</si>
  <si>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</si>
  <si>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</si>
  <si>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</si>
  <si>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</si>
  <si>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ENCARGADO TURNO 2</t>
  </si>
  <si>
    <t>EXT. MOGOLLA</t>
  </si>
  <si>
    <t>ENCARGADO TURNO 3</t>
  </si>
  <si>
    <t>EXT. SALVADO x25</t>
  </si>
  <si>
    <t>ALMACENISTA 1</t>
  </si>
  <si>
    <t>EXT. SEGUNDA</t>
  </si>
  <si>
    <t>ALMACENISTA 2</t>
  </si>
  <si>
    <t>Jader Peñata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</si>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</sst>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2e5ea0869bcbf24d3a2d09d6c66d548.png"/><Relationship Id="rId2" Type="http://schemas.openxmlformats.org/officeDocument/2006/relationships/image" Target="../media/581fcb7cd73dce5242ddc35c94416fa2.png"/><Relationship Id="rId3" Type="http://schemas.openxmlformats.org/officeDocument/2006/relationships/image" Target="../media/53767406d86fef2551ce6b1c17860f52.png"/><Relationship Id="rId4" Type="http://schemas.openxmlformats.org/officeDocument/2006/relationships/image" Target="../media/4d26c895c82717b5ac625fd8932fc27f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7430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9050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1445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/>
      <c r="D11" s="39"/>
      <c r="E11" s="28">
        <v>91</v>
      </c>
      <c r="F11" s="19" t="s">
        <v>25</v>
      </c>
      <c r="G11" s="19">
        <v>635</v>
      </c>
      <c r="H11" s="19" t="s">
        <v>26</v>
      </c>
      <c r="I11" s="70" t="e">
        <f>SUM((C11+C12+E11+E12+G11+G12)*50)</f>
        <v>#VALUE!</v>
      </c>
      <c r="J11" s="122" t="s">
        <v>27</v>
      </c>
      <c r="K11" s="64" t="s">
        <v>28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29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30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31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32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33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34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35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36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37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38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39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40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41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42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43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44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45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46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47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48</v>
      </c>
      <c r="K31" s="64" t="s">
        <v>49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50</v>
      </c>
      <c r="B33" s="55" t="s">
        <v>51</v>
      </c>
      <c r="C33" s="34">
        <v>2016</v>
      </c>
      <c r="D33" s="21" t="s">
        <v>52</v>
      </c>
      <c r="E33" s="21">
        <v>25888</v>
      </c>
      <c r="F33" s="21" t="s">
        <v>52</v>
      </c>
      <c r="G33" s="21"/>
      <c r="H33" s="21"/>
      <c r="I33" s="70" t="e">
        <f>SUM((C33+C34+E33+E34+G33+G34)*1)</f>
        <v>#VALUE!</v>
      </c>
      <c r="J33" s="66" t="s">
        <v>53</v>
      </c>
      <c r="K33" s="64" t="s">
        <v>54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 t="s">
        <v>55</v>
      </c>
      <c r="B35" s="55" t="s">
        <v>56</v>
      </c>
      <c r="C35" s="34">
        <v>26664</v>
      </c>
      <c r="D35" s="21" t="s">
        <v>52</v>
      </c>
      <c r="E35" s="21"/>
      <c r="F35" s="21"/>
      <c r="G35" s="21"/>
      <c r="H35" s="21"/>
      <c r="I35" s="70" t="e">
        <f>SUM((C35+C36+E35+E36+G35+G36)*1)</f>
        <v>#VALUE!</v>
      </c>
      <c r="J35" s="66" t="s">
        <v>57</v>
      </c>
      <c r="K35" s="64" t="s">
        <v>58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59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60</v>
      </c>
      <c r="K37" s="64" t="s">
        <v>61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62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63</v>
      </c>
      <c r="K39" s="64" t="s">
        <v>64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65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66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67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68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69</v>
      </c>
      <c r="B45" s="71" t="s">
        <v>70</v>
      </c>
      <c r="C45" s="34">
        <v>42</v>
      </c>
      <c r="D45" s="21" t="s">
        <v>52</v>
      </c>
      <c r="E45" s="21">
        <v>57</v>
      </c>
      <c r="F45" s="21" t="s">
        <v>52</v>
      </c>
      <c r="G45" s="21">
        <v>52</v>
      </c>
      <c r="H45" s="21" t="s">
        <v>52</v>
      </c>
      <c r="I45" s="65" t="e">
        <f>SUM((C45+C46+E45+E46+G45+G46)*25)</f>
        <v>#VALUE!</v>
      </c>
      <c r="J45" s="66" t="s">
        <v>71</v>
      </c>
      <c r="K45" s="64" t="s">
        <v>72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73</v>
      </c>
      <c r="B47" s="71" t="s">
        <v>74</v>
      </c>
      <c r="C47" s="34">
        <v>119</v>
      </c>
      <c r="D47" s="21" t="s">
        <v>52</v>
      </c>
      <c r="E47" s="21">
        <v>126</v>
      </c>
      <c r="F47" s="21" t="s">
        <v>52</v>
      </c>
      <c r="G47" s="21">
        <v>125</v>
      </c>
      <c r="H47" s="21" t="s">
        <v>52</v>
      </c>
      <c r="I47" s="65" t="e">
        <f>SUM((C47+C48+E47+E48+G47+G48)*40)</f>
        <v>#VALUE!</v>
      </c>
      <c r="J47" s="66" t="s">
        <v>75</v>
      </c>
      <c r="K47" s="64" t="s">
        <v>76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77</v>
      </c>
      <c r="B49" s="71" t="s">
        <v>78</v>
      </c>
      <c r="C49" s="34">
        <v>69</v>
      </c>
      <c r="D49" s="21" t="s">
        <v>52</v>
      </c>
      <c r="E49" s="21">
        <v>81</v>
      </c>
      <c r="F49" s="21" t="s">
        <v>52</v>
      </c>
      <c r="G49" s="21">
        <v>32</v>
      </c>
      <c r="H49" s="21" t="s">
        <v>52</v>
      </c>
      <c r="I49" s="65" t="e">
        <f>SUM((C49+C50+E49+E50+G49+G50)*50)</f>
        <v>#VALUE!</v>
      </c>
      <c r="J49" s="66" t="s">
        <v>79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80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81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82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83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84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85</v>
      </c>
      <c r="J61" s="48"/>
      <c r="K61" s="84"/>
    </row>
    <row r="62" spans="1:13" customHeight="1" ht="109">
      <c r="A62" s="11" t="s">
        <v>86</v>
      </c>
      <c r="B62" s="12" t="e">
        <f>B59/J59</f>
        <v>#VALUE!</v>
      </c>
      <c r="C62" s="85"/>
      <c r="D62" s="86"/>
      <c r="E62" s="86"/>
      <c r="F62" s="86"/>
      <c r="G62" s="86"/>
      <c r="H62" s="86"/>
      <c r="I62" s="50" t="s">
        <v>87</v>
      </c>
      <c r="J62" s="7"/>
      <c r="K62" s="84"/>
    </row>
    <row r="63" spans="1:13" customHeight="1" ht="119">
      <c r="A63" s="13" t="s">
        <v>88</v>
      </c>
      <c r="B63" s="14" t="e">
        <f>(SUM(I47)/J59)</f>
        <v>#VALUE!</v>
      </c>
      <c r="C63" s="87"/>
      <c r="D63" s="88"/>
      <c r="E63" s="88"/>
      <c r="F63" s="88"/>
      <c r="G63" s="88"/>
      <c r="H63" s="88"/>
      <c r="I63" s="5" t="s">
        <v>89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90</v>
      </c>
      <c r="B64" s="14" t="e">
        <f>(SUM(I45)/J59)</f>
        <v>#VALUE!</v>
      </c>
      <c r="C64" s="87"/>
      <c r="D64" s="88"/>
      <c r="E64" s="88"/>
      <c r="F64" s="88"/>
      <c r="G64" s="88"/>
      <c r="H64" s="88"/>
      <c r="I64" s="5" t="s">
        <v>91</v>
      </c>
      <c r="J64" s="4" t="s">
        <v>11</v>
      </c>
      <c r="K64" s="84"/>
    </row>
    <row r="65" spans="1:13" customHeight="1" ht="47.25">
      <c r="A65" s="13" t="s">
        <v>92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93</v>
      </c>
      <c r="J65" s="4" t="s">
        <v>94</v>
      </c>
      <c r="K65" s="84"/>
    </row>
    <row r="66" spans="1:13" customHeight="1" ht="45.75">
      <c r="A66" s="51" t="s">
        <v>95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96</v>
      </c>
      <c r="J66" s="54"/>
      <c r="K66" s="84"/>
    </row>
    <row r="67" spans="1:13" customHeight="1" ht="45.75">
      <c r="A67" s="46" t="s">
        <v>97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98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