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<sst xmlns="http://schemas.openxmlformats.org/spreadsheetml/2006/main" uniqueCount="99">
  <si>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</si>
  <si>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</si>
  <si>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</si>
  <si>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</si>
  <si>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</si>
  <si>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</si>
  <si>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</si>
  <si>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2025-11-20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</si>
  <si>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</si>
  <si>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</si>
  <si>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</si>
  <si>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</si>
  <si>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</si>
  <si>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</si>
  <si>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</si>
  <si>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</si>
  <si>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</si>
  <si>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</si>
  <si>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</si>
  <si>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</si>
  <si>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201125P</t>
  </si>
  <si>
    <t>EMPAQUE EXTRA PAN  (60X100) X50</t>
  </si>
  <si>
    <t>MP-02124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</si>
  <si>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</si>
  <si>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</si>
  <si>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</si>
  <si>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</si>
  <si>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</si>
  <si>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</si>
  <si>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</si>
  <si>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</si>
  <si>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101125P</t>
  </si>
  <si>
    <t>LAMINA NARIÑO (CUARTO) 2500GR</t>
  </si>
  <si>
    <t>MP-02110</t>
  </si>
  <si>
    <t>HARINA DE TRIGO NARIÑO X1000GR</t>
  </si>
  <si>
    <t>111125P</t>
  </si>
  <si>
    <t xml:space="preserve">LAMINA NARIÑO (KILO) </t>
  </si>
  <si>
    <t>HARINA DE TRIGO NARIÑO X500GR</t>
  </si>
  <si>
    <t>191125P</t>
  </si>
  <si>
    <t>LAMINA NARIÑO (LIBRA)</t>
  </si>
  <si>
    <t xml:space="preserve"> MP-02112</t>
  </si>
  <si>
    <t>SUB MOGOLLA X 40</t>
  </si>
  <si>
    <t>051125P</t>
  </si>
  <si>
    <t>EMPAQUE GALERAS MOGOLLA (60X115) X 40</t>
  </si>
  <si>
    <t>(56)MP-02058. (189)MP-02167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</si>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</sst>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6d34d30a4bb17147a5c5442ac43d19.png"/><Relationship Id="rId2" Type="http://schemas.openxmlformats.org/officeDocument/2006/relationships/image" Target="../media/842177dc0c617101d189de852e43bee9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669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12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100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>
        <v>200</v>
      </c>
      <c r="D19" s="29" t="s">
        <v>20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130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/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1400</v>
      </c>
      <c r="D22" s="25" t="s">
        <v>38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245</v>
      </c>
      <c r="F24" s="25" t="s">
        <v>42</v>
      </c>
      <c r="G24" s="50">
        <f>SUM((C24+C25+E24+E25)*40)</f>
        <v>9800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60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400</v>
      </c>
      <c r="F28" s="25" t="s">
        <v>42</v>
      </c>
      <c r="G28" s="50">
        <f>SUM((C28+C29+E28+E29)*30)</f>
        <v>12000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>
        <v>0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42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1580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77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78</v>
      </c>
      <c r="H62" s="35"/>
      <c r="I62" s="70"/>
    </row>
    <row r="63" spans="1:10" customHeight="1" ht="108.95">
      <c r="A63" s="11" t="s">
        <v>79</v>
      </c>
      <c r="B63" s="12" t="e">
        <f>B60/H60</f>
        <v>#VALUE!</v>
      </c>
      <c r="C63" s="71" t="s">
        <v>80</v>
      </c>
      <c r="D63" s="72"/>
      <c r="E63" s="72" t="s">
        <v>81</v>
      </c>
      <c r="F63" s="72"/>
      <c r="G63" s="40" t="s">
        <v>82</v>
      </c>
      <c r="H63" s="7"/>
      <c r="I63" s="70"/>
    </row>
    <row r="64" spans="1:10" customHeight="1" ht="119.1">
      <c r="A64" s="13" t="s">
        <v>83</v>
      </c>
      <c r="B64" s="14" t="e">
        <f>(SUM(G24)/H60)</f>
        <v>#VALUE!</v>
      </c>
      <c r="C64" s="73" t="s">
        <v>84</v>
      </c>
      <c r="D64" s="74"/>
      <c r="E64" s="74" t="s">
        <v>85</v>
      </c>
      <c r="F64" s="74"/>
      <c r="G64" s="5" t="s">
        <v>86</v>
      </c>
      <c r="H64" s="4" t="s">
        <v>9</v>
      </c>
      <c r="I64" s="70"/>
    </row>
    <row r="65" spans="1:10" customHeight="1" ht="45.95">
      <c r="A65" s="34" t="s">
        <v>87</v>
      </c>
      <c r="B65" s="14" t="e">
        <f>(SUM(G28)/H60)</f>
        <v>#VALUE!</v>
      </c>
      <c r="C65" s="73" t="s">
        <v>88</v>
      </c>
      <c r="D65" s="74"/>
      <c r="E65" s="74" t="s">
        <v>89</v>
      </c>
      <c r="F65" s="74"/>
      <c r="G65" s="3" t="s">
        <v>90</v>
      </c>
      <c r="H65" s="4" t="s">
        <v>9</v>
      </c>
      <c r="I65" s="70"/>
    </row>
    <row r="66" spans="1:10" customHeight="1" ht="47.25">
      <c r="A66" s="13" t="s">
        <v>91</v>
      </c>
      <c r="B66" s="14" t="e">
        <f>(SUM(G26)/H60)</f>
        <v>#VALUE!</v>
      </c>
      <c r="C66" s="73" t="s">
        <v>92</v>
      </c>
      <c r="D66" s="74"/>
      <c r="E66" s="74" t="s">
        <v>93</v>
      </c>
      <c r="F66" s="74"/>
      <c r="G66" s="38" t="s">
        <v>94</v>
      </c>
      <c r="H66" s="4"/>
      <c r="I66" s="70"/>
    </row>
    <row r="67" spans="1:10" customHeight="1" ht="45.75">
      <c r="A67" s="36" t="s">
        <v>95</v>
      </c>
      <c r="B67" s="37" t="e">
        <f>(SUM(G32)/H60)</f>
        <v>#VALUE!</v>
      </c>
      <c r="C67" s="75" t="s">
        <v>96</v>
      </c>
      <c r="D67" s="76"/>
      <c r="E67" s="76" t="s">
        <v>97</v>
      </c>
      <c r="F67" s="76"/>
      <c r="G67" s="38"/>
      <c r="H67" s="39"/>
      <c r="I67" s="70"/>
    </row>
    <row r="68" spans="1:10" customHeight="1" ht="21">
      <c r="A68" s="42" t="s">
        <v>98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