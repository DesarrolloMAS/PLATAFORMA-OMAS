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<sst xmlns="http://schemas.openxmlformats.org/spreadsheetml/2006/main" uniqueCount="100">
  <si>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</si>
  <si>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</si>
  <si>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</si>
  <si>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</si>
  <si>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</si>
  <si>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</si>
  <si>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</si>
  <si>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2026-02-20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</si>
  <si>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</si>
  <si>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</si>
  <si>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</si>
  <si>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</si>
  <si>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</si>
  <si>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</si>
  <si>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</si>
  <si>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</si>
  <si>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</si>
  <si>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</si>
  <si>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</si>
  <si>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</si>
  <si>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200226P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</si>
  <si>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</si>
  <si>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</si>
  <si>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</si>
  <si>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</si>
  <si>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</si>
  <si>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</si>
  <si>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</si>
  <si>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</si>
  <si>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</si>
  <si>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</si>
  <si>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180226P</t>
  </si>
  <si>
    <t>LAMINA NARIÑO (CUARTO) 2500GR</t>
  </si>
  <si>
    <t>MP-02211</t>
  </si>
  <si>
    <t>HARINA DE TRIGO NARIÑO X1000GR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</si>
  <si>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</si>
  <si>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</si>
  <si>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</si>
  <si>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</si>
  <si>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</si>
  <si>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</si>
  <si>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</si>
  <si>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</si>
  <si>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</si>
  <si>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</si>
  <si>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</si>
  <si>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</si>
  <si>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</si>
  <si>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</si>
  <si>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</si>
  <si>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</si>
  <si>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</si>
  <si>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</si>
  <si>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</si>
  <si>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</si>
  <si>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</si>
  <si>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</si>
  <si>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</si>
  <si>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</si>
  <si>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</si>
  <si>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</si>
  <si>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</si>
  <si>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</si>
  <si>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</si>
  <si>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</si>
  <si>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</si>
  <si>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</si>
  <si>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</si>
  <si>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</si>
  <si>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</si>
  <si>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</si>
  <si>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</si>
  <si>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090226P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</si>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</sst>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14cd7716273de560c025a939707b77.png"/><Relationship Id="rId2" Type="http://schemas.openxmlformats.org/officeDocument/2006/relationships/image" Target="../media/736f6c274e4ec5cf6eefeaab45330af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53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100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100</v>
      </c>
      <c r="D20" s="25" t="s">
        <v>20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800</v>
      </c>
      <c r="D22" s="25" t="s">
        <v>20</v>
      </c>
      <c r="E22" s="25"/>
      <c r="F22" s="25"/>
      <c r="G22" s="46" t="e">
        <f>SUM(((C22+C23+E22+E23)/2))</f>
        <v>#VALUE!</v>
      </c>
      <c r="H22" s="43" t="s">
        <v>38</v>
      </c>
      <c r="I22" s="42" t="s">
        <v>39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40</v>
      </c>
      <c r="C24" s="25"/>
      <c r="D24" s="25"/>
      <c r="E24" s="25">
        <v>145</v>
      </c>
      <c r="F24" s="25" t="s">
        <v>41</v>
      </c>
      <c r="G24" s="46">
        <f>SUM((C24+C25+E24+E25)*40)</f>
        <v>5800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43</v>
      </c>
      <c r="F26" s="25" t="s">
        <v>41</v>
      </c>
      <c r="G26" s="46" t="e">
        <f>SUM((C26+C27+E26+E27)*50)</f>
        <v>#VALUE!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313</v>
      </c>
      <c r="F28" s="25" t="s">
        <v>41</v>
      </c>
      <c r="G28" s="46">
        <f>SUM((C28+C29+E28+E29)*30)</f>
        <v>9390</v>
      </c>
      <c r="H28" s="49" t="s">
        <v>49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50</v>
      </c>
      <c r="C30" s="25"/>
      <c r="D30" s="25"/>
      <c r="E30" s="25"/>
      <c r="F30" s="25"/>
      <c r="G30" s="46">
        <f>SUM((C30+C31+E30+E31)*50)</f>
        <v>0</v>
      </c>
      <c r="H30" s="49" t="s">
        <v>51</v>
      </c>
      <c r="I30" s="42" t="s">
        <v>52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 t="e">
        <f>SUM((C32+C33+E32+E33)*25)</f>
        <v>#VALUE!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 t="e">
        <f>SUM(((C34+C35+E34+E35)/4)*50)</f>
        <v>#VALUE!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 t="e">
        <f>SUM((C36+C37+E36+E37)*50)</f>
        <v>#VALUE!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 t="e">
        <f>SUM((C38+C39+E38+E39)*25)</f>
        <v>#VALUE!</v>
      </c>
      <c r="H38" s="43" t="s">
        <v>62</v>
      </c>
      <c r="I38" s="42" t="s">
        <v>63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 t="e">
        <f>SUM((C40+C41+E40+E41)*25)</f>
        <v>#VALUE!</v>
      </c>
      <c r="H40" s="43" t="s">
        <v>51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f>SUM((C42+C43+E42+E43)*1)</f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f>SUM((C44+C45+E44+E45)*1)</f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70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71</v>
      </c>
      <c r="I52" s="101">
        <v>0</v>
      </c>
      <c r="J52" s="42" t="s">
        <v>72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750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