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<sst xmlns="http://schemas.openxmlformats.org/spreadsheetml/2006/main" uniqueCount="99">
  <si>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</si>
  <si>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</si>
  <si>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</si>
  <si>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</si>
  <si>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</si>
  <si>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</si>
  <si>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</si>
  <si>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2026-03-17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</si>
  <si>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</si>
  <si>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</si>
  <si>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</si>
  <si>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</si>
  <si>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</si>
  <si>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</si>
  <si>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</si>
  <si>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</si>
  <si>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</si>
  <si>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</si>
  <si>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</si>
  <si>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</si>
  <si>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160326P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</si>
  <si>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</si>
  <si>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</si>
  <si>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</si>
  <si>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</si>
  <si>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</si>
  <si>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</si>
  <si>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</si>
  <si>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</si>
  <si>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</si>
  <si>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</si>
  <si>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LAMINA NARIÑO (CUARTO) 2500GR</t>
  </si>
  <si>
    <t>MP-02211</t>
  </si>
  <si>
    <t>HARINA DE TRIGO NARIÑO X1000GR</t>
  </si>
  <si>
    <t>130326P</t>
  </si>
  <si>
    <t xml:space="preserve">LAMINA NARIÑO (KILO) </t>
  </si>
  <si>
    <t>MP-02212</t>
  </si>
  <si>
    <t>HARINA DE TRIGO NARIÑO X500GR</t>
  </si>
  <si>
    <t>LAMINA NARIÑO (LIBRA)</t>
  </si>
  <si>
    <t>MP-02213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</si>
  <si>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</si>
  <si>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</si>
  <si>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</si>
  <si>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</si>
  <si>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</si>
  <si>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</si>
  <si>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</si>
  <si>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</si>
  <si>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</si>
  <si>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</si>
  <si>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</si>
  <si>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</si>
  <si>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</si>
  <si>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</si>
  <si>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</si>
  <si>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</si>
  <si>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</si>
  <si>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</si>
  <si>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</si>
  <si>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</si>
  <si>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</si>
  <si>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</si>
  <si>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</si>
  <si>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</si>
  <si>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</si>
  <si>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</si>
  <si>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</si>
  <si>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</si>
  <si>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</si>
  <si>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</si>
  <si>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</si>
  <si>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</si>
  <si>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050326P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</si>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</sst>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aa846726105289b6588957795f0d047.png"/><Relationship Id="rId2" Type="http://schemas.openxmlformats.org/officeDocument/2006/relationships/image" Target="../media/1d38c631942320e12ccd421ee66c679d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65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1060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300</v>
      </c>
      <c r="D18" s="25" t="s">
        <v>20</v>
      </c>
      <c r="E18" s="25"/>
      <c r="F18" s="25"/>
      <c r="G18" s="50" t="e">
        <f>SUM((C18+C19+E18+E19)*50)</f>
        <v>#VALUE!</v>
      </c>
      <c r="H18" s="67" t="s">
        <v>31</v>
      </c>
      <c r="I18" s="49" t="s">
        <v>32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33</v>
      </c>
      <c r="C20" s="25">
        <v>180</v>
      </c>
      <c r="D20" s="25" t="s">
        <v>34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1100</v>
      </c>
      <c r="D22" s="25" t="s">
        <v>34</v>
      </c>
      <c r="E22" s="25"/>
      <c r="F22" s="25"/>
      <c r="G22" s="50" t="e">
        <f>SUM(((C22+C23+E22+E23)*12.5))</f>
        <v>#VALUE!</v>
      </c>
      <c r="H22" s="51" t="s">
        <v>38</v>
      </c>
      <c r="I22" s="49" t="s">
        <v>39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40</v>
      </c>
      <c r="C24" s="25"/>
      <c r="D24" s="25"/>
      <c r="E24" s="25">
        <v>205</v>
      </c>
      <c r="F24" s="25" t="s">
        <v>41</v>
      </c>
      <c r="G24" s="50">
        <f>SUM((C24+C25+E24+E25)*40)</f>
        <v>8200</v>
      </c>
      <c r="H24" s="54" t="s">
        <v>42</v>
      </c>
      <c r="I24" s="49">
        <v>0</v>
      </c>
      <c r="J24" s="49" t="s">
        <v>43</v>
      </c>
    </row>
    <row r="25" spans="1:10">
      <c r="A25" s="22" t="s">
        <v>44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45</v>
      </c>
      <c r="C26" s="25"/>
      <c r="D26" s="25"/>
      <c r="E26" s="25">
        <v>50</v>
      </c>
      <c r="F26" s="25" t="s">
        <v>41</v>
      </c>
      <c r="G26" s="50" t="e">
        <f>SUM((C26+C27+E26+E27)*50)</f>
        <v>#VALUE!</v>
      </c>
      <c r="H26" s="54" t="s">
        <v>46</v>
      </c>
      <c r="I26" s="49">
        <v>0</v>
      </c>
      <c r="J26" s="49" t="s">
        <v>47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48</v>
      </c>
      <c r="C28" s="25"/>
      <c r="D28" s="25"/>
      <c r="E28" s="25">
        <v>480</v>
      </c>
      <c r="F28" s="25" t="s">
        <v>41</v>
      </c>
      <c r="G28" s="50">
        <f>SUM((C28+C29+E28+E29)*30)</f>
        <v>14400</v>
      </c>
      <c r="H28" s="54" t="s">
        <v>49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50</v>
      </c>
      <c r="C30" s="25"/>
      <c r="D30" s="25"/>
      <c r="E30" s="25"/>
      <c r="F30" s="25"/>
      <c r="G30" s="50">
        <f>SUM((C30+C31+E30+E31)*50)</f>
        <v>0</v>
      </c>
      <c r="H30" s="54" t="s">
        <v>51</v>
      </c>
      <c r="I30" s="49" t="s">
        <v>52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53</v>
      </c>
      <c r="C32" s="25"/>
      <c r="D32" s="25"/>
      <c r="E32" s="25"/>
      <c r="F32" s="25"/>
      <c r="G32" s="50" t="e">
        <f>SUM((C32+C33+E32+E33)*25)</f>
        <v>#VALUE!</v>
      </c>
      <c r="H32" s="56" t="s">
        <v>54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55</v>
      </c>
      <c r="C34" s="25"/>
      <c r="D34" s="25"/>
      <c r="E34" s="25"/>
      <c r="F34" s="25"/>
      <c r="G34" s="50" t="e">
        <f>SUM(((C34+C35+E34+E35)/4)*50)</f>
        <v>#VALUE!</v>
      </c>
      <c r="H34" s="67" t="s">
        <v>56</v>
      </c>
      <c r="I34" s="49" t="s">
        <v>57</v>
      </c>
      <c r="J34" s="49" t="s">
        <v>57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58</v>
      </c>
      <c r="C36" s="25"/>
      <c r="D36" s="25"/>
      <c r="E36" s="25"/>
      <c r="F36" s="25"/>
      <c r="G36" s="50" t="e">
        <f>SUM((C36+C37+E36+E37)*50)</f>
        <v>#VALUE!</v>
      </c>
      <c r="H36" s="51" t="s">
        <v>59</v>
      </c>
      <c r="I36" s="49" t="s">
        <v>60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61</v>
      </c>
      <c r="C38" s="25"/>
      <c r="D38" s="25"/>
      <c r="E38" s="25"/>
      <c r="F38" s="25"/>
      <c r="G38" s="50" t="e">
        <f>SUM((C38+C39+E38+E39)*25)</f>
        <v>#VALUE!</v>
      </c>
      <c r="H38" s="51" t="s">
        <v>62</v>
      </c>
      <c r="I38" s="49" t="s">
        <v>63</v>
      </c>
      <c r="J38" s="49" t="s">
        <v>63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64</v>
      </c>
      <c r="C40" s="25"/>
      <c r="D40" s="25"/>
      <c r="E40" s="25"/>
      <c r="F40" s="25"/>
      <c r="G40" s="50" t="e">
        <f>SUM((C40+C41+E40+E41)*25)</f>
        <v>#VALUE!</v>
      </c>
      <c r="H40" s="51" t="s">
        <v>51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65</v>
      </c>
      <c r="C42" s="25"/>
      <c r="D42" s="25"/>
      <c r="E42" s="25"/>
      <c r="F42" s="25"/>
      <c r="G42" s="50">
        <f>SUM((C42+C43+E42+E43)*1)</f>
        <v>0</v>
      </c>
      <c r="H42" s="51" t="s">
        <v>59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66</v>
      </c>
      <c r="C44" s="25"/>
      <c r="D44" s="25"/>
      <c r="E44" s="25"/>
      <c r="F44" s="25"/>
      <c r="G44" s="50">
        <f>SUM((C44+C45+E44+E45)*1)</f>
        <v>0</v>
      </c>
      <c r="H44" s="51" t="s">
        <v>62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67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68</v>
      </c>
      <c r="I48" s="49" t="s">
        <v>69</v>
      </c>
      <c r="J48" s="49" t="s">
        <v>69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70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71</v>
      </c>
      <c r="I52" s="53">
        <v>0</v>
      </c>
      <c r="J52" s="49" t="s">
        <v>72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1480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/>
      <c r="F67" s="76"/>
      <c r="G67" s="38"/>
      <c r="H67" s="39"/>
      <c r="I67" s="70"/>
    </row>
    <row r="68" spans="1:10" customHeight="1" ht="21">
      <c r="A68" s="42" t="s">
        <v>98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