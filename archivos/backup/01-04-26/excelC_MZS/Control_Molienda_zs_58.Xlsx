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<sst xmlns="http://schemas.openxmlformats.org/spreadsheetml/2006/main" uniqueCount="101">
  <si>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</si>
  <si>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</si>
  <si>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</si>
  <si>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</si>
  <si>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</si>
  <si>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</si>
  <si>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</si>
  <si>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2026-03-05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</si>
  <si>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</si>
  <si>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</si>
  <si>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</si>
  <si>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</si>
  <si>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</si>
  <si>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</si>
  <si>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</si>
  <si>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</si>
  <si>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</si>
  <si>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</si>
  <si>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</si>
  <si>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</si>
  <si>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280226P</t>
  </si>
  <si>
    <t>EMPAQUE EXTRA PAN  (60X100) X50</t>
  </si>
  <si>
    <t>MP-02202</t>
  </si>
  <si>
    <t>050326P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</si>
  <si>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</si>
  <si>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</si>
  <si>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</si>
  <si>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</si>
  <si>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</si>
  <si>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</si>
  <si>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</si>
  <si>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</si>
  <si>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250226P</t>
  </si>
  <si>
    <t>LAMINA NARIÑO (CUARTO) 2500GR</t>
  </si>
  <si>
    <t>MP-02211</t>
  </si>
  <si>
    <t>HARINA DE TRIGO NARIÑO X1000GR</t>
  </si>
  <si>
    <t>200226P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</si>
  <si>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</si>
  <si>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</si>
  <si>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</si>
  <si>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</si>
  <si>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</si>
  <si>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</si>
  <si>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</si>
  <si>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</si>
  <si>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</si>
  <si>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</si>
  <si>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</si>
  <si>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</si>
  <si>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</si>
  <si>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</si>
  <si>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</si>
  <si>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</si>
  <si>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</si>
  <si>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</si>
  <si>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</si>
  <si>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</si>
  <si>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</si>
  <si>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</si>
  <si>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</si>
  <si>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</si>
  <si>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</si>
  <si>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</si>
  <si>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</si>
  <si>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</si>
  <si>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</si>
  <si>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</si>
  <si>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</si>
  <si>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</si>
  <si>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</si>
  <si>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</si>
  <si>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</si>
  <si>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</si>
  <si>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</si>
  <si>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</si>
  <si>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</si>
  <si>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</si>
  <si>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</si>
  <si>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</si>
  <si>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</si>
  <si>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</si>
  <si>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</si>
  <si>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</si>
  <si>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</si>
  <si>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</si>
  <si>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</si>
  <si>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</si>
  <si>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</si>
  <si>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</si>
  <si>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</si>
  <si>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</si>
  <si>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</si>
  <si>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</si>
  <si>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</si>
  <si>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 xml:space="preserve">Robin tonguino </t>
  </si>
  <si>
    <t>Miguel Coral</t>
  </si>
  <si>
    <t>COORDINADOR DE OPERACIONES</t>
  </si>
  <si>
    <t>EXT. GERMEN</t>
  </si>
  <si>
    <t>Segundo ceballos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</si>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</sst>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059d5d363a7f896d0279d477cba04b1.png"/><Relationship Id="rId2" Type="http://schemas.openxmlformats.org/officeDocument/2006/relationships/image" Target="../media/e68d41e7460456c82ccfa4596f6a1e5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859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859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58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840</v>
      </c>
      <c r="F10" s="25" t="s">
        <v>20</v>
      </c>
      <c r="G10" s="46">
        <f>SUM((C10+C11+E10+E11)*50)</f>
        <v>55000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260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260</v>
      </c>
      <c r="D18" s="25" t="s">
        <v>32</v>
      </c>
      <c r="E18" s="25"/>
      <c r="F18" s="25"/>
      <c r="G18" s="46" t="e">
        <f>SUM((C18+C19+E18+E19)*2.5)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132</v>
      </c>
      <c r="D20" s="25" t="s">
        <v>36</v>
      </c>
      <c r="E20" s="25"/>
      <c r="F20" s="25"/>
      <c r="G20" s="46" t="e">
        <f>SUM((C20+C21+E20+E21))</f>
        <v>#VALUE!</v>
      </c>
      <c r="H20" s="48" t="s">
        <v>37</v>
      </c>
      <c r="I20" s="42" t="s">
        <v>38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39</v>
      </c>
      <c r="C22" s="25">
        <v>1100</v>
      </c>
      <c r="D22" s="25" t="s">
        <v>36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275</v>
      </c>
      <c r="F24" s="25" t="s">
        <v>43</v>
      </c>
      <c r="G24" s="46">
        <f>SUM((C24+C25+E24+E25)*40)</f>
        <v>11000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420</v>
      </c>
      <c r="F28" s="25" t="s">
        <v>43</v>
      </c>
      <c r="G28" s="46">
        <f>SUM((C28+C29+E28+E29)*30)</f>
        <v>12600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 t="s">
        <v>65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72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32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1332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 t="s">
        <v>94</v>
      </c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