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<sst xmlns="http://schemas.openxmlformats.org/spreadsheetml/2006/main" uniqueCount="99">
  <si>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</si>
  <si>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</si>
  <si>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</si>
  <si>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</si>
  <si>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</si>
  <si>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</si>
  <si>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</si>
  <si>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</si>
  <si>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</si>
  <si>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</si>
  <si>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</si>
  <si>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</si>
  <si>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</si>
  <si>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</si>
  <si>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</si>
  <si>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</si>
  <si>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</si>
  <si>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</si>
  <si>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</si>
  <si>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</si>
  <si>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220126P</t>
  </si>
  <si>
    <t>EMPAQUE EXTRA PAN  (60X100) X50</t>
  </si>
  <si>
    <t>MP-02172</t>
  </si>
  <si>
    <t>230126P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</si>
  <si>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</si>
  <si>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</si>
  <si>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</si>
  <si>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</si>
  <si>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</si>
  <si>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</si>
  <si>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</si>
  <si>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</si>
  <si>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200126P</t>
  </si>
  <si>
    <t>LAMINA NARIÑO (CUARTO) 2500GR</t>
  </si>
  <si>
    <t>(70)MP-02143. (160)MP-02184</t>
  </si>
  <si>
    <t>HARINA DE TRIGO NARIÑO X1000GR</t>
  </si>
  <si>
    <t xml:space="preserve">LAMINA NARIÑO (KILO) </t>
  </si>
  <si>
    <t>MP-02185</t>
  </si>
  <si>
    <t>HARINA DE TRIGO NARIÑO X500GR</t>
  </si>
  <si>
    <t>LAMINA NARIÑO (LIBRA)</t>
  </si>
  <si>
    <t>(730)MP-02145.(470)MP-02186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</si>
  <si>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</si>
  <si>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</si>
  <si>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</si>
  <si>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</si>
  <si>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</si>
  <si>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</si>
  <si>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</si>
  <si>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</si>
  <si>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</si>
  <si>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</si>
  <si>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</si>
  <si>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</si>
  <si>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MP-02204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</si>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</sst>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4359a762e7205974be281a671fa9d2.png"/><Relationship Id="rId2" Type="http://schemas.openxmlformats.org/officeDocument/2006/relationships/image" Target="../media/b78842440fe8d1d1e7086d6faf182c80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34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440</v>
      </c>
      <c r="F10" s="25" t="s">
        <v>20</v>
      </c>
      <c r="G10" s="46">
        <f>SUM((C10+C11+E10+E11)*50)</f>
        <v>61000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780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260</v>
      </c>
      <c r="D18" s="25" t="s">
        <v>32</v>
      </c>
      <c r="E18" s="25"/>
      <c r="F18" s="25"/>
      <c r="G18" s="46" t="e">
        <f>SUM((C18+C19+E18+E19)*2.5)</f>
        <v>#VALUE!</v>
      </c>
      <c r="H18" s="45" t="s">
        <v>33</v>
      </c>
      <c r="I18" s="42" t="s">
        <v>34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35</v>
      </c>
      <c r="C20" s="25">
        <v>250</v>
      </c>
      <c r="D20" s="25" t="s">
        <v>32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1200</v>
      </c>
      <c r="D22" s="25" t="s">
        <v>32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200</v>
      </c>
      <c r="F24" s="25" t="s">
        <v>42</v>
      </c>
      <c r="G24" s="46">
        <f>SUM((C24+C25+E24+E25)*40)</f>
        <v>8000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55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440</v>
      </c>
      <c r="F28" s="25" t="s">
        <v>42</v>
      </c>
      <c r="G28" s="46">
        <f>SUM((C28+C29+E28+E29)*30)</f>
        <v>13200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42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1500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/>
      <c r="D66" s="91"/>
      <c r="E66" s="91" t="s">
        <v>93</v>
      </c>
      <c r="F66" s="91"/>
      <c r="G66" s="38" t="s">
        <v>94</v>
      </c>
      <c r="H66" s="4"/>
      <c r="I66" s="87"/>
    </row>
    <row r="67" spans="1:10" customHeight="1" ht="45.75">
      <c r="A67" s="36" t="s">
        <v>95</v>
      </c>
      <c r="B67" s="37" t="e">
        <f>(SUM(G32)/H60)</f>
        <v>#VALUE!</v>
      </c>
      <c r="C67" s="92" t="s">
        <v>96</v>
      </c>
      <c r="D67" s="93"/>
      <c r="E67" s="93" t="s">
        <v>97</v>
      </c>
      <c r="F67" s="93"/>
      <c r="G67" s="38"/>
      <c r="H67" s="39"/>
      <c r="I67" s="87"/>
    </row>
    <row r="68" spans="1:10" customHeight="1" ht="21">
      <c r="A68" s="103" t="s">
        <v>98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