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<sst xmlns="http://schemas.openxmlformats.org/spreadsheetml/2006/main" uniqueCount="97">
  <si>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</si>
  <si>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</si>
  <si>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</si>
  <si>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</si>
  <si>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</si>
  <si>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</si>
  <si>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</si>
  <si>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2026-03-06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</si>
  <si>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</si>
  <si>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</si>
  <si>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</si>
  <si>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</si>
  <si>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</si>
  <si>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</si>
  <si>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</si>
  <si>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</si>
  <si>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</si>
  <si>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</si>
  <si>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</si>
  <si>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</si>
  <si>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050226P</t>
  </si>
  <si>
    <t>060326P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</si>
  <si>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</si>
  <si>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</si>
  <si>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</si>
  <si>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</si>
  <si>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</si>
  <si>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</si>
  <si>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</si>
  <si>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</si>
  <si>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</si>
  <si>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</si>
  <si>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</si>
  <si>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</si>
  <si>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</si>
  <si>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LAMINA NARIÑO (LIBRA)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</si>
  <si>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</si>
  <si>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</si>
  <si>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</si>
  <si>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</si>
  <si>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</si>
  <si>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</si>
  <si>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</si>
  <si>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</si>
  <si>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</si>
  <si>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</si>
  <si>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</si>
  <si>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</si>
  <si>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GERMEN DE TRIGO X 25 KG</t>
  </si>
  <si>
    <t>050326P</t>
  </si>
  <si>
    <t>EMPAQUE GALERAS GALERAS MULTI BEIGE (50X80) X25</t>
  </si>
  <si>
    <t>MP-02120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</si>
  <si>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</si>
  <si>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</si>
  <si>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</si>
  <si>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</si>
  <si>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</si>
  <si>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</si>
  <si>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</si>
  <si>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</si>
  <si>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</si>
  <si>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</si>
  <si>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</si>
  <si>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</si>
  <si>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</si>
  <si>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</si>
  <si>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MP-02210</t>
  </si>
  <si>
    <t xml:space="preserve">MEJORANTE ARTESANAL </t>
  </si>
  <si>
    <t>MEJORANTE EXTRAPAN</t>
  </si>
  <si>
    <t>250226P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</si>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</sst>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eaaca9cf1a4b18351c15bfb08318b5d.png"/><Relationship Id="rId2" Type="http://schemas.openxmlformats.org/officeDocument/2006/relationships/image" Target="../media/3dbffb238eeab3834ed9d57ea98c7152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59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>
        <v>780</v>
      </c>
      <c r="D10" s="25" t="s">
        <v>20</v>
      </c>
      <c r="E10" s="25">
        <v>1040</v>
      </c>
      <c r="F10" s="25" t="s">
        <v>21</v>
      </c>
      <c r="G10" s="46" t="e">
        <f>SUM((C10+C11+E10+E11)*50)</f>
        <v>#VALUE!</v>
      </c>
      <c r="H10" s="72" t="s">
        <v>22</v>
      </c>
      <c r="I10" s="42" t="s">
        <v>23</v>
      </c>
      <c r="J10" s="42" t="s">
        <v>23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>
        <v>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/>
      <c r="D18" s="25"/>
      <c r="E18" s="25"/>
      <c r="F18" s="25"/>
      <c r="G18" s="46" t="e">
        <f>SUM((C18+C19+E18+E19)*2.5)</f>
        <v>#VALUE!</v>
      </c>
      <c r="H18" s="45" t="s">
        <v>31</v>
      </c>
      <c r="I18" s="42">
        <v>0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32</v>
      </c>
      <c r="C20" s="25"/>
      <c r="D20" s="25"/>
      <c r="E20" s="25"/>
      <c r="F20" s="25"/>
      <c r="G20" s="46" t="e">
        <f>SUM((C20+C21+E20+E21))</f>
        <v>#VALUE!</v>
      </c>
      <c r="H20" s="48" t="s">
        <v>33</v>
      </c>
      <c r="I20" s="42">
        <v>0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34</v>
      </c>
      <c r="C22" s="25"/>
      <c r="D22" s="25"/>
      <c r="E22" s="25"/>
      <c r="F22" s="25"/>
      <c r="G22" s="46" t="e">
        <f>SUM(((C22+C23+E22+E23)/2))</f>
        <v>#VALUE!</v>
      </c>
      <c r="H22" s="43" t="s">
        <v>35</v>
      </c>
      <c r="I22" s="42">
        <v>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36</v>
      </c>
      <c r="C24" s="25"/>
      <c r="D24" s="25"/>
      <c r="E24" s="25">
        <v>240</v>
      </c>
      <c r="F24" s="25" t="s">
        <v>37</v>
      </c>
      <c r="G24" s="46">
        <f>SUM((C24+C25+E24+E25)*40)</f>
        <v>9600</v>
      </c>
      <c r="H24" s="49" t="s">
        <v>38</v>
      </c>
      <c r="I24" s="42">
        <v>0</v>
      </c>
      <c r="J24" s="42" t="s">
        <v>39</v>
      </c>
    </row>
    <row r="25" spans="1:10">
      <c r="A25" s="22" t="s">
        <v>40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41</v>
      </c>
      <c r="C26" s="25"/>
      <c r="D26" s="25"/>
      <c r="E26" s="25">
        <v>60</v>
      </c>
      <c r="F26" s="25" t="s">
        <v>37</v>
      </c>
      <c r="G26" s="46" t="e">
        <f>SUM((C26+C27+E26+E27)*50)</f>
        <v>#VALUE!</v>
      </c>
      <c r="H26" s="49" t="s">
        <v>42</v>
      </c>
      <c r="I26" s="42">
        <v>0</v>
      </c>
      <c r="J26" s="42" t="s">
        <v>43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44</v>
      </c>
      <c r="C28" s="25"/>
      <c r="D28" s="25"/>
      <c r="E28" s="25">
        <v>315</v>
      </c>
      <c r="F28" s="25" t="s">
        <v>37</v>
      </c>
      <c r="G28" s="46">
        <f>SUM((C28+C29+E28+E29)*30)</f>
        <v>9450</v>
      </c>
      <c r="H28" s="49" t="s">
        <v>45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46</v>
      </c>
      <c r="C30" s="25"/>
      <c r="D30" s="25"/>
      <c r="E30" s="25"/>
      <c r="F30" s="25"/>
      <c r="G30" s="46">
        <f>SUM((C30+C31+E30+E31)*50)</f>
        <v>0</v>
      </c>
      <c r="H30" s="49" t="s">
        <v>47</v>
      </c>
      <c r="I30" s="42">
        <v>0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48</v>
      </c>
      <c r="C32" s="25"/>
      <c r="D32" s="25"/>
      <c r="E32" s="25">
        <v>20</v>
      </c>
      <c r="F32" s="25" t="s">
        <v>49</v>
      </c>
      <c r="G32" s="46" t="e">
        <f>SUM((C32+C33+E32+E33)*25)</f>
        <v>#VALUE!</v>
      </c>
      <c r="H32" s="48" t="s">
        <v>50</v>
      </c>
      <c r="I32" s="42">
        <v>0</v>
      </c>
      <c r="J32" s="42" t="s">
        <v>51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52</v>
      </c>
      <c r="C34" s="25"/>
      <c r="D34" s="25"/>
      <c r="E34" s="25"/>
      <c r="F34" s="25"/>
      <c r="G34" s="46" t="e">
        <f>SUM(((C34+C35+E34+E35)/4)*50)</f>
        <v>#VALUE!</v>
      </c>
      <c r="H34" s="45" t="s">
        <v>53</v>
      </c>
      <c r="I34" s="42" t="s">
        <v>54</v>
      </c>
      <c r="J34" s="42" t="s">
        <v>54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55</v>
      </c>
      <c r="C36" s="25"/>
      <c r="D36" s="25"/>
      <c r="E36" s="25"/>
      <c r="F36" s="25"/>
      <c r="G36" s="46" t="e">
        <f>SUM((C36+C37+E36+E37)*50)</f>
        <v>#VALUE!</v>
      </c>
      <c r="H36" s="43" t="s">
        <v>56</v>
      </c>
      <c r="I36" s="42">
        <v>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57</v>
      </c>
      <c r="C38" s="25"/>
      <c r="D38" s="25"/>
      <c r="E38" s="25"/>
      <c r="F38" s="25"/>
      <c r="G38" s="46" t="e">
        <f>SUM((C38+C39+E38+E39)*25)</f>
        <v>#VALUE!</v>
      </c>
      <c r="H38" s="43" t="s">
        <v>58</v>
      </c>
      <c r="I38" s="42" t="s">
        <v>59</v>
      </c>
      <c r="J38" s="42" t="s">
        <v>59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60</v>
      </c>
      <c r="C40" s="25"/>
      <c r="D40" s="25"/>
      <c r="E40" s="25"/>
      <c r="F40" s="25"/>
      <c r="G40" s="46" t="e">
        <f>SUM((C40+C41+E40+E41)*25)</f>
        <v>#VALUE!</v>
      </c>
      <c r="H40" s="43" t="s">
        <v>47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61</v>
      </c>
      <c r="C42" s="25"/>
      <c r="D42" s="25"/>
      <c r="E42" s="25"/>
      <c r="F42" s="25"/>
      <c r="G42" s="46">
        <f>SUM((C42+C43+E42+E43)*1)</f>
        <v>0</v>
      </c>
      <c r="H42" s="43" t="s">
        <v>56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62</v>
      </c>
      <c r="C44" s="25"/>
      <c r="D44" s="25"/>
      <c r="E44" s="25"/>
      <c r="F44" s="25"/>
      <c r="G44" s="46">
        <f>SUM((C44+C45+E44+E45)*1)</f>
        <v>0</v>
      </c>
      <c r="H44" s="43" t="s">
        <v>58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63</v>
      </c>
      <c r="I46" s="42">
        <v>0</v>
      </c>
      <c r="J46" s="42" t="s">
        <v>64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65</v>
      </c>
      <c r="I48" s="42" t="s">
        <v>66</v>
      </c>
      <c r="J48" s="42" t="s">
        <v>66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67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68</v>
      </c>
      <c r="I52" s="101" t="s">
        <v>69</v>
      </c>
      <c r="J52" s="42" t="s">
        <v>69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70</v>
      </c>
      <c r="B60" s="23" t="e">
        <f>SUM(G10:G23,G34:G45)</f>
        <v>#VALUE!</v>
      </c>
      <c r="C60" s="26" t="s">
        <v>71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39000</v>
      </c>
      <c r="E60" s="23" t="s">
        <v>72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73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74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75</v>
      </c>
      <c r="H62" s="35"/>
      <c r="I62" s="87"/>
    </row>
    <row r="63" spans="1:10" customHeight="1" ht="108.95">
      <c r="A63" s="11" t="s">
        <v>76</v>
      </c>
      <c r="B63" s="12" t="e">
        <f>B60/H60</f>
        <v>#VALUE!</v>
      </c>
      <c r="C63" s="88" t="s">
        <v>77</v>
      </c>
      <c r="D63" s="89"/>
      <c r="E63" s="89" t="s">
        <v>78</v>
      </c>
      <c r="F63" s="89"/>
      <c r="G63" s="40" t="s">
        <v>79</v>
      </c>
      <c r="H63" s="7"/>
      <c r="I63" s="87"/>
    </row>
    <row r="64" spans="1:10" customHeight="1" ht="119.1">
      <c r="A64" s="13" t="s">
        <v>80</v>
      </c>
      <c r="B64" s="14" t="e">
        <f>(SUM(G24)/H60)</f>
        <v>#VALUE!</v>
      </c>
      <c r="C64" s="90" t="s">
        <v>81</v>
      </c>
      <c r="D64" s="91"/>
      <c r="E64" s="91" t="s">
        <v>82</v>
      </c>
      <c r="F64" s="91"/>
      <c r="G64" s="5" t="s">
        <v>83</v>
      </c>
      <c r="H64" s="4" t="s">
        <v>84</v>
      </c>
      <c r="I64" s="87"/>
    </row>
    <row r="65" spans="1:10" customHeight="1" ht="45.95">
      <c r="A65" s="34" t="s">
        <v>85</v>
      </c>
      <c r="B65" s="14" t="e">
        <f>(SUM(G28)/H60)</f>
        <v>#VALUE!</v>
      </c>
      <c r="C65" s="90" t="s">
        <v>86</v>
      </c>
      <c r="D65" s="91"/>
      <c r="E65" s="91" t="s">
        <v>87</v>
      </c>
      <c r="F65" s="91"/>
      <c r="G65" s="3" t="s">
        <v>88</v>
      </c>
      <c r="H65" s="4" t="s">
        <v>84</v>
      </c>
      <c r="I65" s="87"/>
    </row>
    <row r="66" spans="1:10" customHeight="1" ht="47.25">
      <c r="A66" s="13" t="s">
        <v>89</v>
      </c>
      <c r="B66" s="14" t="e">
        <f>(SUM(G26)/H60)</f>
        <v>#VALUE!</v>
      </c>
      <c r="C66" s="90" t="s">
        <v>90</v>
      </c>
      <c r="D66" s="91"/>
      <c r="E66" s="91" t="s">
        <v>91</v>
      </c>
      <c r="F66" s="91"/>
      <c r="G66" s="38" t="s">
        <v>92</v>
      </c>
      <c r="H66" s="4"/>
      <c r="I66" s="87"/>
    </row>
    <row r="67" spans="1:10" customHeight="1" ht="45.75">
      <c r="A67" s="36" t="s">
        <v>93</v>
      </c>
      <c r="B67" s="37" t="e">
        <f>(SUM(G32)/H60)</f>
        <v>#VALUE!</v>
      </c>
      <c r="C67" s="92" t="s">
        <v>94</v>
      </c>
      <c r="D67" s="93"/>
      <c r="E67" s="93" t="s">
        <v>95</v>
      </c>
      <c r="F67" s="93"/>
      <c r="G67" s="38"/>
      <c r="H67" s="39"/>
      <c r="I67" s="87"/>
    </row>
    <row r="68" spans="1:10" customHeight="1" ht="21">
      <c r="A68" s="103" t="s">
        <v>96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