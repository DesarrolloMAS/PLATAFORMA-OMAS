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<sst xmlns="http://schemas.openxmlformats.org/spreadsheetml/2006/main" uniqueCount="100">
  <si>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</si>
  <si>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</si>
  <si>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</si>
  <si>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</si>
  <si>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</si>
  <si>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</si>
  <si>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</si>
  <si>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2026-03-18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</si>
  <si>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</si>
  <si>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</si>
  <si>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</si>
  <si>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</si>
  <si>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</si>
  <si>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</si>
  <si>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</si>
  <si>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</si>
  <si>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</si>
  <si>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</si>
  <si>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</si>
  <si>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</si>
  <si>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160326P</t>
  </si>
  <si>
    <t>EMPAQUE EXTRA PAN  (60X100) X50</t>
  </si>
  <si>
    <t>MP-02202</t>
  </si>
  <si>
    <t>180326P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</si>
  <si>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</si>
  <si>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</si>
  <si>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</si>
  <si>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</si>
  <si>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</si>
  <si>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</si>
  <si>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MP-02233</t>
  </si>
  <si>
    <t>HARINA DE TRIGO NARIÑO X2500GR</t>
  </si>
  <si>
    <t>LAMINA NARIÑO (CUARTO) 2500GR</t>
  </si>
  <si>
    <t>MP-02211</t>
  </si>
  <si>
    <t>HARINA DE TRIGO NARIÑO X1000GR</t>
  </si>
  <si>
    <t>130326P</t>
  </si>
  <si>
    <t xml:space="preserve">LAMINA NARIÑO (KILO) </t>
  </si>
  <si>
    <t>(70)MP-02212. (190)MP-02274</t>
  </si>
  <si>
    <t>HARINA DE TRIGO NARIÑO X500GR</t>
  </si>
  <si>
    <t>LAMINA NARIÑO (LIBRA)</t>
  </si>
  <si>
    <t>MP-02213</t>
  </si>
  <si>
    <t>SUB MOGOLLA X 40</t>
  </si>
  <si>
    <t>040326P</t>
  </si>
  <si>
    <t>EMPAQUE GALERAS MOGOLLA (60X115) X 40</t>
  </si>
  <si>
    <t>MP-02193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</si>
  <si>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</si>
  <si>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</si>
  <si>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</si>
  <si>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</si>
  <si>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</si>
  <si>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</si>
  <si>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</si>
  <si>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</si>
  <si>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MP-02205</t>
  </si>
  <si>
    <t>GERMEN DE TRIGO X 25 KG</t>
  </si>
  <si>
    <t>EMPAQUE GALERAS GALERAS MULTI BEIGE (50X80) X25</t>
  </si>
  <si>
    <t>HARINA DE TRIGO NARIÑO X10</t>
  </si>
  <si>
    <t xml:space="preserve">HILO PISTER BLANCO </t>
  </si>
  <si>
    <t>MP-02244</t>
  </si>
  <si>
    <t>GRANZA X50</t>
  </si>
  <si>
    <t>CINTA TRANSFERENCIA TERMINA (45mmx122m)</t>
  </si>
  <si>
    <t>MP-02214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</si>
  <si>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</si>
  <si>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</si>
  <si>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</si>
  <si>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</si>
  <si>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</si>
  <si>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</si>
  <si>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</si>
  <si>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</si>
  <si>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MP-02210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</si>
  <si>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</si>
  <si>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</si>
  <si>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</si>
  <si>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</si>
  <si>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</si>
  <si>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</si>
  <si>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</si>
  <si>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</si>
  <si>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</si>
  <si>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</si>
  <si>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Jeison Zambrano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</si>
  <si>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</si>
  <si>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</si>
  <si>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</si>
  <si>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</si>
  <si>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</si>
  <si>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</si>
  <si>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</si>
  <si>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</si>
  <si>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</si>
  <si>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</si>
  <si>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</si>
  <si>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Cristian perez</t>
  </si>
  <si>
    <t>Miguel Coral</t>
  </si>
  <si>
    <t>COORDINADOR DE OPERACIONES</t>
  </si>
  <si>
    <t>EXT. GERMEN</t>
  </si>
  <si>
    <t xml:space="preserve">Jerferson ceballos 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</si>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</sst>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3a199bb11d7d7cfe6b4d66d88cc111b.png"/><Relationship Id="rId2" Type="http://schemas.openxmlformats.org/officeDocument/2006/relationships/image" Target="../media/a338a56a560e58a53388f017969a6266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70" zoomScaleNormal="70" showGridLines="true" showRowColHeaders="1">
      <selection activeCell="C23" sqref="C23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66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260</v>
      </c>
      <c r="F10" s="25" t="s">
        <v>20</v>
      </c>
      <c r="G10" s="50">
        <f>SUM((C10+C11+E10+E11)*50)</f>
        <v>50000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>
        <v>740</v>
      </c>
      <c r="F11" s="29" t="s">
        <v>23</v>
      </c>
      <c r="G11" s="50"/>
      <c r="H11" s="55"/>
      <c r="I11" s="49"/>
      <c r="J11" s="49"/>
    </row>
    <row r="12" spans="1:10">
      <c r="A12" s="20"/>
      <c r="B12" s="51" t="s">
        <v>24</v>
      </c>
      <c r="C12" s="25"/>
      <c r="D12" s="25"/>
      <c r="E12" s="25"/>
      <c r="F12" s="25"/>
      <c r="G12" s="50" t="e">
        <f>SUM((C12+C13+E12+E13)*50)</f>
        <v>#VALUE!</v>
      </c>
      <c r="H12" s="51" t="s">
        <v>25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26</v>
      </c>
      <c r="C14" s="25"/>
      <c r="D14" s="25"/>
      <c r="E14" s="25"/>
      <c r="F14" s="25"/>
      <c r="G14" s="50" t="e">
        <f>SUM((C14+C15+E14+E15)*10)</f>
        <v>#VALUE!</v>
      </c>
      <c r="H14" s="54" t="s">
        <v>27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28</v>
      </c>
      <c r="C16" s="25"/>
      <c r="D16" s="25"/>
      <c r="E16" s="25"/>
      <c r="F16" s="25"/>
      <c r="G16" s="50" t="e">
        <f>SUM((C16+C17+E16+E17)*50)</f>
        <v>#VALUE!</v>
      </c>
      <c r="H16" s="56" t="s">
        <v>29</v>
      </c>
      <c r="I16" s="49" t="s">
        <v>30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31</v>
      </c>
      <c r="C18" s="25">
        <v>160</v>
      </c>
      <c r="D18" s="25" t="s">
        <v>20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>
        <v>180</v>
      </c>
      <c r="D19" s="29" t="s">
        <v>23</v>
      </c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160</v>
      </c>
      <c r="D20" s="25" t="s">
        <v>35</v>
      </c>
      <c r="E20" s="25"/>
      <c r="F20" s="25"/>
      <c r="G20" s="50" t="e">
        <f>SUM((C20+C21+E20+E21)*50)</f>
        <v>#VALUE!</v>
      </c>
      <c r="H20" s="56" t="s">
        <v>36</v>
      </c>
      <c r="I20" s="49" t="s">
        <v>37</v>
      </c>
      <c r="J20" s="49">
        <v>0</v>
      </c>
    </row>
    <row r="21" spans="1:10">
      <c r="A21" s="22"/>
      <c r="B21" s="52"/>
      <c r="C21" s="29">
        <v>100</v>
      </c>
      <c r="D21" s="29" t="s">
        <v>23</v>
      </c>
      <c r="E21" s="29"/>
      <c r="F21" s="29"/>
      <c r="G21" s="50"/>
      <c r="H21" s="56"/>
      <c r="I21" s="49"/>
      <c r="J21" s="49"/>
    </row>
    <row r="22" spans="1:10">
      <c r="A22" s="20"/>
      <c r="B22" s="51" t="s">
        <v>38</v>
      </c>
      <c r="C22" s="25">
        <v>1000</v>
      </c>
      <c r="D22" s="25" t="s">
        <v>35</v>
      </c>
      <c r="E22" s="25"/>
      <c r="F22" s="25"/>
      <c r="G22" s="50" t="e">
        <f>SUM(((C22+C23+E22+E23)*12.5))</f>
        <v>#VALUE!</v>
      </c>
      <c r="H22" s="51" t="s">
        <v>39</v>
      </c>
      <c r="I22" s="49" t="s">
        <v>40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41</v>
      </c>
      <c r="C24" s="25"/>
      <c r="D24" s="25"/>
      <c r="E24" s="25">
        <v>255</v>
      </c>
      <c r="F24" s="25" t="s">
        <v>42</v>
      </c>
      <c r="G24" s="50">
        <f>SUM((C24+C25+E24+E25)*40)</f>
        <v>10200</v>
      </c>
      <c r="H24" s="54" t="s">
        <v>43</v>
      </c>
      <c r="I24" s="49">
        <v>0</v>
      </c>
      <c r="J24" s="49" t="s">
        <v>44</v>
      </c>
    </row>
    <row r="25" spans="1:10">
      <c r="A25" s="22" t="s">
        <v>45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46</v>
      </c>
      <c r="C26" s="25"/>
      <c r="D26" s="25"/>
      <c r="E26" s="25">
        <v>50</v>
      </c>
      <c r="F26" s="25" t="s">
        <v>42</v>
      </c>
      <c r="G26" s="50" t="e">
        <f>SUM((C26+C27+E26+E27)*50)</f>
        <v>#VALUE!</v>
      </c>
      <c r="H26" s="54" t="s">
        <v>47</v>
      </c>
      <c r="I26" s="49">
        <v>0</v>
      </c>
      <c r="J26" s="49" t="s">
        <v>48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49</v>
      </c>
      <c r="C28" s="25"/>
      <c r="D28" s="25"/>
      <c r="E28" s="25">
        <v>455</v>
      </c>
      <c r="F28" s="25" t="s">
        <v>42</v>
      </c>
      <c r="G28" s="50">
        <f>SUM((C28+C29+E28+E29)*30)</f>
        <v>13650</v>
      </c>
      <c r="H28" s="54" t="s">
        <v>50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51</v>
      </c>
      <c r="C30" s="25"/>
      <c r="D30" s="25"/>
      <c r="E30" s="25"/>
      <c r="F30" s="25"/>
      <c r="G30" s="50">
        <f>SUM((C30+C31+E30+E31)*50)</f>
        <v>0</v>
      </c>
      <c r="H30" s="54" t="s">
        <v>52</v>
      </c>
      <c r="I30" s="49" t="s">
        <v>53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54</v>
      </c>
      <c r="C32" s="25"/>
      <c r="D32" s="25"/>
      <c r="E32" s="25"/>
      <c r="F32" s="25"/>
      <c r="G32" s="50" t="e">
        <f>SUM((C32+C33+E32+E33)*25)</f>
        <v>#VALUE!</v>
      </c>
      <c r="H32" s="56" t="s">
        <v>55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56</v>
      </c>
      <c r="C34" s="25"/>
      <c r="D34" s="25"/>
      <c r="E34" s="25"/>
      <c r="F34" s="25"/>
      <c r="G34" s="50" t="e">
        <f>SUM(((C34+C35+E34+E35)/4)*50)</f>
        <v>#VALUE!</v>
      </c>
      <c r="H34" s="67" t="s">
        <v>57</v>
      </c>
      <c r="I34" s="49" t="s">
        <v>58</v>
      </c>
      <c r="J34" s="49" t="s">
        <v>58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59</v>
      </c>
      <c r="C36" s="25"/>
      <c r="D36" s="25"/>
      <c r="E36" s="25"/>
      <c r="F36" s="25"/>
      <c r="G36" s="50" t="e">
        <f>SUM((C36+C37+E36+E37)*50)</f>
        <v>#VALUE!</v>
      </c>
      <c r="H36" s="51" t="s">
        <v>60</v>
      </c>
      <c r="I36" s="49" t="s">
        <v>61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62</v>
      </c>
      <c r="C38" s="25"/>
      <c r="D38" s="25"/>
      <c r="E38" s="25"/>
      <c r="F38" s="25"/>
      <c r="G38" s="50" t="e">
        <f>SUM((C38+C39+E38+E39)*25)</f>
        <v>#VALUE!</v>
      </c>
      <c r="H38" s="51" t="s">
        <v>63</v>
      </c>
      <c r="I38" s="49" t="s">
        <v>64</v>
      </c>
      <c r="J38" s="49" t="s">
        <v>64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65</v>
      </c>
      <c r="C40" s="25"/>
      <c r="D40" s="25"/>
      <c r="E40" s="25"/>
      <c r="F40" s="25"/>
      <c r="G40" s="50" t="e">
        <f>SUM((C40+C41+E40+E41)*25)</f>
        <v>#VALUE!</v>
      </c>
      <c r="H40" s="51" t="s">
        <v>52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66</v>
      </c>
      <c r="C42" s="25"/>
      <c r="D42" s="25"/>
      <c r="E42" s="25"/>
      <c r="F42" s="25"/>
      <c r="G42" s="50">
        <f>SUM((C42+C43+E42+E43)*1)</f>
        <v>0</v>
      </c>
      <c r="H42" s="51" t="s">
        <v>60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67</v>
      </c>
      <c r="C44" s="25"/>
      <c r="D44" s="25"/>
      <c r="E44" s="25"/>
      <c r="F44" s="25"/>
      <c r="G44" s="50">
        <f>SUM((C44+C45+E44+E45)*1)</f>
        <v>0</v>
      </c>
      <c r="H44" s="51" t="s">
        <v>63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68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69</v>
      </c>
      <c r="I48" s="49" t="s">
        <v>70</v>
      </c>
      <c r="J48" s="49" t="s">
        <v>70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71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72</v>
      </c>
      <c r="I52" s="53">
        <v>0</v>
      </c>
      <c r="J52" s="49" t="s">
        <v>20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73</v>
      </c>
      <c r="B60" s="23" t="e">
        <f>SUM(G10:G23,G34:G45)</f>
        <v>#VALUE!</v>
      </c>
      <c r="C60" s="26" t="s">
        <v>74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1610</v>
      </c>
      <c r="E60" s="23" t="s">
        <v>75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76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77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78</v>
      </c>
      <c r="H62" s="35"/>
      <c r="I62" s="70"/>
    </row>
    <row r="63" spans="1:10" customHeight="1" ht="108.95">
      <c r="A63" s="11" t="s">
        <v>79</v>
      </c>
      <c r="B63" s="12" t="e">
        <f>B60/H60</f>
        <v>#VALUE!</v>
      </c>
      <c r="C63" s="71" t="s">
        <v>80</v>
      </c>
      <c r="D63" s="72"/>
      <c r="E63" s="72" t="s">
        <v>81</v>
      </c>
      <c r="F63" s="72"/>
      <c r="G63" s="40" t="s">
        <v>82</v>
      </c>
      <c r="H63" s="7"/>
      <c r="I63" s="70"/>
    </row>
    <row r="64" spans="1:10" customHeight="1" ht="119.1">
      <c r="A64" s="13" t="s">
        <v>83</v>
      </c>
      <c r="B64" s="14" t="e">
        <f>(SUM(G24)/H60)</f>
        <v>#VALUE!</v>
      </c>
      <c r="C64" s="73" t="s">
        <v>84</v>
      </c>
      <c r="D64" s="74"/>
      <c r="E64" s="74" t="s">
        <v>85</v>
      </c>
      <c r="F64" s="74"/>
      <c r="G64" s="5" t="s">
        <v>86</v>
      </c>
      <c r="H64" s="4" t="s">
        <v>87</v>
      </c>
      <c r="I64" s="70"/>
    </row>
    <row r="65" spans="1:10" customHeight="1" ht="45.95">
      <c r="A65" s="34" t="s">
        <v>88</v>
      </c>
      <c r="B65" s="14" t="e">
        <f>(SUM(G28)/H60)</f>
        <v>#VALUE!</v>
      </c>
      <c r="C65" s="73" t="s">
        <v>89</v>
      </c>
      <c r="D65" s="74"/>
      <c r="E65" s="74" t="s">
        <v>90</v>
      </c>
      <c r="F65" s="74"/>
      <c r="G65" s="3" t="s">
        <v>91</v>
      </c>
      <c r="H65" s="4" t="s">
        <v>87</v>
      </c>
      <c r="I65" s="70"/>
    </row>
    <row r="66" spans="1:10" customHeight="1" ht="47.25">
      <c r="A66" s="13" t="s">
        <v>92</v>
      </c>
      <c r="B66" s="14" t="e">
        <f>(SUM(G26)/H60)</f>
        <v>#VALUE!</v>
      </c>
      <c r="C66" s="73" t="s">
        <v>93</v>
      </c>
      <c r="D66" s="74"/>
      <c r="E66" s="74" t="s">
        <v>94</v>
      </c>
      <c r="F66" s="74"/>
      <c r="G66" s="38" t="s">
        <v>95</v>
      </c>
      <c r="H66" s="4"/>
      <c r="I66" s="70"/>
    </row>
    <row r="67" spans="1:10" customHeight="1" ht="45.75">
      <c r="A67" s="36" t="s">
        <v>96</v>
      </c>
      <c r="B67" s="37" t="e">
        <f>(SUM(G32)/H60)</f>
        <v>#VALUE!</v>
      </c>
      <c r="C67" s="75" t="s">
        <v>97</v>
      </c>
      <c r="D67" s="76"/>
      <c r="E67" s="76" t="s">
        <v>98</v>
      </c>
      <c r="F67" s="76"/>
      <c r="G67" s="38"/>
      <c r="H67" s="39"/>
      <c r="I67" s="70"/>
    </row>
    <row r="68" spans="1:10" customHeight="1" ht="21">
      <c r="A68" s="42" t="s">
        <v>99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2026-03-10T21:06:48+00:00</dcterms:modified>
  <dc:title/>
  <dc:description/>
  <dc:subject/>
  <cp:keywords/>
  <cp:category/>
</cp:coreProperties>
</file>