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<sst xmlns="http://schemas.openxmlformats.org/spreadsheetml/2006/main" uniqueCount="101">
  <si>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</si>
  <si>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</si>
  <si>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</si>
  <si>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</si>
  <si>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</si>
  <si>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</si>
  <si>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</si>
  <si>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2025-11-11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</si>
  <si>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</si>
  <si>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</si>
  <si>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</si>
  <si>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</si>
  <si>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</si>
  <si>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</si>
  <si>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</si>
  <si>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</si>
  <si>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</si>
  <si>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</si>
  <si>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</si>
  <si>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</si>
  <si>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121125P</t>
  </si>
  <si>
    <t>EMPAQUE EXTRA PAN  (60X100) X50</t>
  </si>
  <si>
    <t>MP-02119</t>
  </si>
  <si>
    <t>ARTESANAL X50</t>
  </si>
  <si>
    <t>111125P</t>
  </si>
  <si>
    <t>EMPAQUE GALERAS ROJO (60X100) X50</t>
  </si>
  <si>
    <t>MP-01846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</si>
  <si>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</si>
  <si>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</si>
  <si>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</si>
  <si>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</si>
  <si>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</si>
  <si>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</si>
  <si>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</si>
  <si>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</si>
  <si>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MP-02060</t>
  </si>
  <si>
    <t>HARINA DE TRIGO NARIÑO X1000GR</t>
  </si>
  <si>
    <t>061125P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</si>
  <si>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</si>
  <si>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</si>
  <si>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</si>
  <si>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</si>
  <si>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</si>
  <si>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</si>
  <si>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</si>
  <si>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</si>
  <si>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>MP-02058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</si>
  <si>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</si>
  <si>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</si>
  <si>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</si>
  <si>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</si>
  <si>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</si>
  <si>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</si>
  <si>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</si>
  <si>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</si>
  <si>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(24)P-02082. (486)MP-02114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</si>
  <si>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</si>
  <si>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</si>
  <si>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</si>
  <si>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</si>
  <si>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</si>
  <si>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</si>
  <si>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</si>
  <si>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</si>
  <si>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</si>
  <si>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</si>
  <si>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</si>
  <si>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</si>
  <si>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</si>
  <si>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</si>
  <si>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</si>
  <si>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</si>
  <si>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MP-02103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</si>
  <si>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</si>
  <si>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</si>
  <si>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</si>
  <si>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</si>
  <si>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</si>
  <si>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</si>
  <si>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</si>
  <si>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</si>
  <si>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</si>
  <si>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</si>
  <si>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</si>
  <si>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</si>
  <si>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</si>
  <si>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</si>
  <si>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</si>
  <si>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</si>
  <si>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</si>
  <si>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</si>
  <si>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</si>
  <si>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Marcial Diaz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</si>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</sst>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05ec2b2bb78d82049e15d5645463c0e.png"/><Relationship Id="rId2" Type="http://schemas.openxmlformats.org/officeDocument/2006/relationships/image" Target="../media/2dd56d22456968a2f4fc2ca0649cb2f1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3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400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>
        <v>800</v>
      </c>
      <c r="F12" s="25" t="s">
        <v>24</v>
      </c>
      <c r="G12" s="50" t="e">
        <f>SUM((C12+C13+E12+E13)*50)</f>
        <v>#VALUE!</v>
      </c>
      <c r="H12" s="51" t="s">
        <v>25</v>
      </c>
      <c r="I12" s="49">
        <v>0</v>
      </c>
      <c r="J12" s="49" t="s">
        <v>26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27</v>
      </c>
      <c r="C14" s="25"/>
      <c r="D14" s="25"/>
      <c r="E14" s="25"/>
      <c r="F14" s="25"/>
      <c r="G14" s="50" t="e">
        <f>SUM((C14+C15+E14+E15)*10)</f>
        <v>#VALUE!</v>
      </c>
      <c r="H14" s="54" t="s">
        <v>28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29</v>
      </c>
      <c r="C16" s="25"/>
      <c r="D16" s="25"/>
      <c r="E16" s="25"/>
      <c r="F16" s="25"/>
      <c r="G16" s="50" t="e">
        <f>SUM((C16+C17+E16+E17)*50)</f>
        <v>#VALUE!</v>
      </c>
      <c r="H16" s="56" t="s">
        <v>30</v>
      </c>
      <c r="I16" s="49" t="s">
        <v>31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32</v>
      </c>
      <c r="C18" s="25">
        <v>300</v>
      </c>
      <c r="D18" s="25" t="s">
        <v>33</v>
      </c>
      <c r="E18" s="25"/>
      <c r="F18" s="25"/>
      <c r="G18" s="50" t="e">
        <f>SUM((C18+C19+E18+E19)*50)</f>
        <v>#VALUE!</v>
      </c>
      <c r="H18" s="67" t="s">
        <v>34</v>
      </c>
      <c r="I18" s="49" t="s">
        <v>35</v>
      </c>
      <c r="J18" s="49">
        <v>0</v>
      </c>
    </row>
    <row r="19" spans="1:10">
      <c r="A19" s="22"/>
      <c r="B19" s="52"/>
      <c r="C19" s="29">
        <v>100</v>
      </c>
      <c r="D19" s="29" t="s">
        <v>24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36</v>
      </c>
      <c r="C20" s="25">
        <v>110</v>
      </c>
      <c r="D20" s="25" t="s">
        <v>37</v>
      </c>
      <c r="E20" s="25"/>
      <c r="F20" s="25"/>
      <c r="G20" s="50" t="e">
        <f>SUM((C20+C21+E20+E21)*50)</f>
        <v>#VALUE!</v>
      </c>
      <c r="H20" s="56" t="s">
        <v>38</v>
      </c>
      <c r="I20" s="49" t="s">
        <v>39</v>
      </c>
      <c r="J20" s="49">
        <v>0</v>
      </c>
    </row>
    <row r="21" spans="1:10">
      <c r="A21" s="22"/>
      <c r="B21" s="52"/>
      <c r="C21" s="29">
        <v>100</v>
      </c>
      <c r="D21" s="29" t="s">
        <v>24</v>
      </c>
      <c r="E21" s="29"/>
      <c r="F21" s="29"/>
      <c r="G21" s="50"/>
      <c r="H21" s="56"/>
      <c r="I21" s="49"/>
      <c r="J21" s="49"/>
    </row>
    <row r="22" spans="1:10">
      <c r="A22" s="20"/>
      <c r="B22" s="51" t="s">
        <v>40</v>
      </c>
      <c r="C22" s="25">
        <v>1000</v>
      </c>
      <c r="D22" s="25" t="s">
        <v>41</v>
      </c>
      <c r="E22" s="25"/>
      <c r="F22" s="25"/>
      <c r="G22" s="50" t="e">
        <f>SUM(((C22+C23+E22+E23)*12.5))</f>
        <v>#VALUE!</v>
      </c>
      <c r="H22" s="51" t="s">
        <v>42</v>
      </c>
      <c r="I22" s="49" t="s">
        <v>43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44</v>
      </c>
      <c r="C24" s="25"/>
      <c r="D24" s="25"/>
      <c r="E24" s="25">
        <v>245</v>
      </c>
      <c r="F24" s="25" t="s">
        <v>41</v>
      </c>
      <c r="G24" s="50">
        <f>SUM((C24+C25+E24+E25)*40)</f>
        <v>9800</v>
      </c>
      <c r="H24" s="54" t="s">
        <v>45</v>
      </c>
      <c r="I24" s="49">
        <v>0</v>
      </c>
      <c r="J24" s="49" t="s">
        <v>46</v>
      </c>
    </row>
    <row r="25" spans="1:10">
      <c r="A25" s="22" t="s">
        <v>47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48</v>
      </c>
      <c r="C26" s="25"/>
      <c r="D26" s="25"/>
      <c r="E26" s="25">
        <v>70</v>
      </c>
      <c r="F26" s="25" t="s">
        <v>41</v>
      </c>
      <c r="G26" s="50" t="e">
        <f>SUM((C26+C27+E26+E27)*50)</f>
        <v>#VALUE!</v>
      </c>
      <c r="H26" s="54" t="s">
        <v>49</v>
      </c>
      <c r="I26" s="49">
        <v>0</v>
      </c>
      <c r="J26" s="49" t="s">
        <v>50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51</v>
      </c>
      <c r="C28" s="25"/>
      <c r="D28" s="25"/>
      <c r="E28" s="25">
        <v>400</v>
      </c>
      <c r="F28" s="25" t="s">
        <v>41</v>
      </c>
      <c r="G28" s="50">
        <f>SUM((C28+C29+E28+E29)*30)</f>
        <v>12000</v>
      </c>
      <c r="H28" s="54" t="s">
        <v>52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53</v>
      </c>
      <c r="C30" s="25"/>
      <c r="D30" s="25"/>
      <c r="E30" s="25"/>
      <c r="F30" s="25"/>
      <c r="G30" s="50">
        <f>SUM((C30+C31+E30+E31)*50)</f>
        <v>0</v>
      </c>
      <c r="H30" s="54" t="s">
        <v>54</v>
      </c>
      <c r="I30" s="49" t="s">
        <v>55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56</v>
      </c>
      <c r="C32" s="25"/>
      <c r="D32" s="25"/>
      <c r="E32" s="25"/>
      <c r="F32" s="25"/>
      <c r="G32" s="50" t="e">
        <f>SUM((C32+C33+E32+E33)*25)</f>
        <v>#VALUE!</v>
      </c>
      <c r="H32" s="56" t="s">
        <v>57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58</v>
      </c>
      <c r="C34" s="25"/>
      <c r="D34" s="25"/>
      <c r="E34" s="25"/>
      <c r="F34" s="25"/>
      <c r="G34" s="50" t="e">
        <f>SUM(((C34+C35+E34+E35)/4)*50)</f>
        <v>#VALUE!</v>
      </c>
      <c r="H34" s="67" t="s">
        <v>59</v>
      </c>
      <c r="I34" s="49" t="s">
        <v>60</v>
      </c>
      <c r="J34" s="49" t="s">
        <v>60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61</v>
      </c>
      <c r="C36" s="25"/>
      <c r="D36" s="25"/>
      <c r="E36" s="25"/>
      <c r="F36" s="25"/>
      <c r="G36" s="50" t="e">
        <f>SUM((C36+C37+E36+E37)*50)</f>
        <v>#VALUE!</v>
      </c>
      <c r="H36" s="51" t="s">
        <v>62</v>
      </c>
      <c r="I36" s="49" t="s">
        <v>63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64</v>
      </c>
      <c r="C38" s="25"/>
      <c r="D38" s="25"/>
      <c r="E38" s="25"/>
      <c r="F38" s="25"/>
      <c r="G38" s="50" t="e">
        <f>SUM((C38+C39+E38+E39)*25)</f>
        <v>#VALUE!</v>
      </c>
      <c r="H38" s="51" t="s">
        <v>65</v>
      </c>
      <c r="I38" s="49">
        <v>0</v>
      </c>
      <c r="J38" s="49" t="s">
        <v>66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67</v>
      </c>
      <c r="C40" s="25"/>
      <c r="D40" s="25"/>
      <c r="E40" s="25"/>
      <c r="F40" s="25"/>
      <c r="G40" s="50" t="e">
        <f>SUM((C40+C41+E40+E41)*25)</f>
        <v>#VALUE!</v>
      </c>
      <c r="H40" s="51" t="s">
        <v>54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68</v>
      </c>
      <c r="C42" s="25"/>
      <c r="D42" s="25"/>
      <c r="E42" s="25"/>
      <c r="F42" s="25"/>
      <c r="G42" s="50">
        <f>SUM((C42+C43+E42+E43)*1)</f>
        <v>0</v>
      </c>
      <c r="H42" s="51" t="s">
        <v>62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69</v>
      </c>
      <c r="C44" s="25"/>
      <c r="D44" s="25"/>
      <c r="E44" s="25"/>
      <c r="F44" s="25"/>
      <c r="G44" s="50">
        <f>SUM((C44+C45+E44+E45)*1)</f>
        <v>0</v>
      </c>
      <c r="H44" s="51" t="s">
        <v>65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70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71</v>
      </c>
      <c r="I48" s="49" t="s">
        <v>72</v>
      </c>
      <c r="J48" s="49" t="s">
        <v>72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73</v>
      </c>
      <c r="I50" s="49">
        <v>0</v>
      </c>
      <c r="J50" s="49" t="s">
        <v>41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74</v>
      </c>
      <c r="I52" s="53">
        <v>0</v>
      </c>
      <c r="J52" s="49" t="s">
        <v>41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1710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 t="s">
        <v>83</v>
      </c>
      <c r="F63" s="72"/>
      <c r="G63" s="40" t="s">
        <v>84</v>
      </c>
      <c r="H63" s="7"/>
      <c r="I63" s="70"/>
    </row>
    <row r="64" spans="1:10" customHeight="1" ht="119.1">
      <c r="A64" s="13" t="s">
        <v>85</v>
      </c>
      <c r="B64" s="14" t="e">
        <f>(SUM(G24)/H60)</f>
        <v>#VALUE!</v>
      </c>
      <c r="C64" s="73" t="s">
        <v>86</v>
      </c>
      <c r="D64" s="74"/>
      <c r="E64" s="74" t="s">
        <v>87</v>
      </c>
      <c r="F64" s="74"/>
      <c r="G64" s="5" t="s">
        <v>88</v>
      </c>
      <c r="H64" s="4" t="s">
        <v>89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89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 t="s">
        <v>95</v>
      </c>
      <c r="D66" s="74"/>
      <c r="E66" s="74"/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