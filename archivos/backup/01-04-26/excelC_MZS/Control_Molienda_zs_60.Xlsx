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Analista Produccion</author>
  </authors>
  <commentList>
    <comment ref="B42" authorId="0">
      <text>
        <r>
          <rPr>
            <rFont val="Tahoma"/>
            <b val="true"/>
            <i val="false"/>
            <strike val="false"/>
            <color rgb="FF000000"/>
            <sz val="9"/>
            <u val="none"/>
          </rPr>
          <t xml:space="preserve">Analista Produccion:</t>
        </r>
        <r>
          <rPr>
            <rFont val="Tahoma"/>
            <b val="false"/>
            <i val="false"/>
            <strike val="false"/>
            <color rgb="FF000000"/>
            <sz val="9"/>
            <u val="none"/>
          </rPr>
          <t xml:space="preserve">
Agregue Harina o Sub producto si no se encuentra relacionado en la lista</t>
        </r>
      </text>
    </comment>
  </commentList>
</comments>
</file>

<file path=xl/sharedStrings.xml><?xml version="1.0" encoding="utf-8"?>
<sst xmlns="http://schemas.openxmlformats.org/spreadsheetml/2006/main" uniqueCount="92">
  <si>
    <t>CONTROL DE MOLIENDA ZONA SUR</t>
  </si>
  <si>
    <t>MOLIENDA DE TRIGO Nº</t>
  </si>
  <si>
    <t>Hora Turno1</t>
  </si>
  <si>
    <t>17:00</t>
  </si>
  <si>
    <t>Hora Turno2</t>
  </si>
  <si>
    <t>FECHA</t>
  </si>
  <si>
    <t>2026-03-09</t>
  </si>
  <si>
    <t>Responsable</t>
  </si>
  <si>
    <t>Dario Salas</t>
  </si>
  <si>
    <t>N SAP Orden de Trabajo</t>
  </si>
  <si>
    <t xml:space="preserve">REFERENCIA </t>
  </si>
  <si>
    <t>1 TURNO</t>
  </si>
  <si>
    <t>LOTE</t>
  </si>
  <si>
    <t>2 TURNO</t>
  </si>
  <si>
    <t>TOTAL KILOS</t>
  </si>
  <si>
    <t>MATERIALES</t>
  </si>
  <si>
    <t>LOTES TURNO 1</t>
  </si>
  <si>
    <t>LOTES TURNO 2</t>
  </si>
  <si>
    <t>EXTRAPAN X50</t>
  </si>
  <si>
    <t>EMPAQUE EXTRA PAN  (60X100) X50</t>
  </si>
  <si>
    <t>ARTESANAL X50</t>
  </si>
  <si>
    <t>EMPAQUE GALERAS ROJO (60X100) X50</t>
  </si>
  <si>
    <t>ARTESANAL X10</t>
  </si>
  <si>
    <t>EMPAQUE NARIÑO (40X56) x10</t>
  </si>
  <si>
    <t xml:space="preserve">HARINA DE TRIGO EXTRAPAN X10 (5Und) </t>
  </si>
  <si>
    <t>BOLSA FARDO (32x65) xLB</t>
  </si>
  <si>
    <t>MP-02233</t>
  </si>
  <si>
    <t>HARINA DE TRIGO NARIÑO X2500GR</t>
  </si>
  <si>
    <t>250226P</t>
  </si>
  <si>
    <t>LAMINA NARIÑO (CUARTO) 2500GR</t>
  </si>
  <si>
    <t>MP-02211</t>
  </si>
  <si>
    <t>090326P</t>
  </si>
  <si>
    <t>HARINA DE TRIGO NARIÑO X1000GR</t>
  </si>
  <si>
    <t xml:space="preserve">LAMINA NARIÑO (KILO) </t>
  </si>
  <si>
    <t>HARINA DE TRIGO NARIÑO X500GR</t>
  </si>
  <si>
    <t>090325P</t>
  </si>
  <si>
    <t>LAMINA NARIÑO (LIBRA)</t>
  </si>
  <si>
    <t>MP-02186</t>
  </si>
  <si>
    <t>SUB MOGOLLA X 40</t>
  </si>
  <si>
    <t>040326P</t>
  </si>
  <si>
    <t>EMPAQUE GALERAS MOGOLLA (60X115) X 40</t>
  </si>
  <si>
    <t>MP-02193</t>
  </si>
  <si>
    <t xml:space="preserve"> </t>
  </si>
  <si>
    <t>SUB SEGUNDA X50 KG</t>
  </si>
  <si>
    <t>EMPAQUE GALERAS SEGUNDA  X50</t>
  </si>
  <si>
    <t>MP-02168</t>
  </si>
  <si>
    <t>SUB SALVADO X30 KG</t>
  </si>
  <si>
    <t>EMPAQUE GALERAS SALVADO X25</t>
  </si>
  <si>
    <t>SUB GRANZA X50 KG</t>
  </si>
  <si>
    <t>EMPAQUE BLANCO (60X106)x50</t>
  </si>
  <si>
    <t>MP-02205</t>
  </si>
  <si>
    <t>GERMEN DE TRIGO X 25 KG</t>
  </si>
  <si>
    <t>EMPAQUE GALERAS GALERAS MULTI BEIGE (50X80) X25</t>
  </si>
  <si>
    <t>HARINA DE TRIGO NARIÑO X10</t>
  </si>
  <si>
    <t xml:space="preserve">HILO PISTER BLANCO </t>
  </si>
  <si>
    <t>MP-02244</t>
  </si>
  <si>
    <t>GRANZA X50</t>
  </si>
  <si>
    <t>CINTA TRANSFERENCIA TERMINA (45mmx122m)</t>
  </si>
  <si>
    <t>MP-02148</t>
  </si>
  <si>
    <t>SEMOLA FINA X25 KG</t>
  </si>
  <si>
    <t>CINTA TRANSFERENCIA TERMINA (85mmx122m)</t>
  </si>
  <si>
    <t>MP-02215</t>
  </si>
  <si>
    <t>HARINA INTEGRAL X25 KG</t>
  </si>
  <si>
    <t xml:space="preserve">MUESTRAS DE HARINA </t>
  </si>
  <si>
    <t>MUESTRAS ESPECIALES</t>
  </si>
  <si>
    <t>ETIQUETA ADHESIVA DE TRANSFERENCIA</t>
  </si>
  <si>
    <t>VITAMINA (Dec. 1944)</t>
  </si>
  <si>
    <t>MP-02210</t>
  </si>
  <si>
    <t xml:space="preserve">MEJORANTE ARTESANAL </t>
  </si>
  <si>
    <t>MEJORANTE EXTRAPAN</t>
  </si>
  <si>
    <t>TOTAL HARINA</t>
  </si>
  <si>
    <t>TOTAL TURNO 1</t>
  </si>
  <si>
    <t>TOTAL TURNO 2</t>
  </si>
  <si>
    <t>TOTAL</t>
  </si>
  <si>
    <t>RESPONSABLES INTERVENCIÓN</t>
  </si>
  <si>
    <t>ENCARGADO TURNO 1</t>
  </si>
  <si>
    <t>EXT. HARINA</t>
  </si>
  <si>
    <t>Carlos Carlozama</t>
  </si>
  <si>
    <t xml:space="preserve">Fredi naspiran </t>
  </si>
  <si>
    <t>ENCARGADO TURNO 2</t>
  </si>
  <si>
    <t>EXT. MOGOLLA</t>
  </si>
  <si>
    <t>Brayan Rosales</t>
  </si>
  <si>
    <t>ALMACENISTA 1</t>
  </si>
  <si>
    <t>Jorge Lara</t>
  </si>
  <si>
    <t>EXT.SALVADO X30</t>
  </si>
  <si>
    <t>Edison Paz</t>
  </si>
  <si>
    <t>ALMACENISTA 2</t>
  </si>
  <si>
    <t>EXT. SEGUNDA</t>
  </si>
  <si>
    <t>COORDINADOR DE OPERACIONES</t>
  </si>
  <si>
    <t>EXT. GERMEN</t>
  </si>
  <si>
    <t xml:space="preserve">Jerferson ceballos </t>
  </si>
  <si>
    <t>Observaciones</t>
  </si>
</sst>
</file>

<file path=xl/styles.xml><?xml version="1.0" encoding="utf-8"?>
<styleSheet xmlns="http://schemas.openxmlformats.org/spreadsheetml/2006/main" xml:space="preserve">
  <numFmts count="0"/>
  <fonts count="10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1"/>
      <name val="Arial"/>
    </font>
    <font>
      <b val="0"/>
      <i val="0"/>
      <strike val="0"/>
      <u val="none"/>
      <sz val="11"/>
      <color theme="1"/>
      <name val="Arial"/>
    </font>
    <font>
      <b val="0"/>
      <i val="0"/>
      <strike val="0"/>
      <u val="none"/>
      <sz val="16"/>
      <color theme="1"/>
      <name val="Arial"/>
    </font>
    <font>
      <b val="1"/>
      <i val="0"/>
      <strike val="0"/>
      <u val="none"/>
      <sz val="16"/>
      <color theme="1"/>
      <name val="Arial"/>
    </font>
    <font>
      <b val="1"/>
      <i val="0"/>
      <strike val="0"/>
      <u val="none"/>
      <sz val="20"/>
      <color rgb="FFFF0000"/>
      <name val="Arial"/>
    </font>
    <font>
      <b val="1"/>
      <i val="0"/>
      <strike val="0"/>
      <u val="none"/>
      <sz val="12"/>
      <color theme="1"/>
      <name val="Arial"/>
    </font>
    <font>
      <b val="1"/>
      <i val="0"/>
      <strike val="0"/>
      <u val="none"/>
      <sz val="18"/>
      <color theme="1"/>
      <name val="Arial"/>
    </font>
    <font>
      <b val="1"/>
      <i val="0"/>
      <strike val="0"/>
      <u val="single"/>
      <sz val="11"/>
      <color theme="1"/>
      <name val="Arial"/>
    </font>
    <font>
      <b val="1"/>
      <i val="0"/>
      <strike val="0"/>
      <u val="none"/>
      <sz val="16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BD3DE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D6DCE4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44546A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0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3" borderId="5" applyFont="1" applyNumberFormat="0" applyFill="1" applyBorder="1" applyAlignment="1">
      <alignment vertical="center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0" fillId="4" borderId="8" applyFont="1" applyNumberFormat="0" applyFill="1" applyBorder="1" applyAlignment="1">
      <alignment horizontal="center" vertical="center" textRotation="0" wrapText="false" shrinkToFit="false"/>
    </xf>
    <xf xfId="0" fontId="2" numFmtId="10" fillId="4" borderId="6" applyFont="1" applyNumberFormat="1" applyFill="1" applyBorder="1" applyAlignment="1">
      <alignment horizontal="center" vertical="center" textRotation="0" wrapText="false" shrinkToFit="false"/>
    </xf>
    <xf xfId="0" fontId="1" numFmtId="0" fillId="4" borderId="9" applyFont="1" applyNumberFormat="0" applyFill="1" applyBorder="1" applyAlignment="1">
      <alignment horizontal="center" vertical="center" textRotation="0" wrapText="false" shrinkToFit="false"/>
    </xf>
    <xf xfId="0" fontId="2" numFmtId="10" fillId="4" borderId="4" applyFont="1" applyNumberFormat="1" applyFill="1" applyBorder="1" applyAlignment="1">
      <alignment horizontal="center" vertical="center" textRotation="0" wrapText="false" shrinkToFit="false"/>
    </xf>
    <xf xfId="0" fontId="1" numFmtId="0" fillId="4" borderId="10" applyFont="1" applyNumberFormat="0" applyFill="1" applyBorder="1" applyAlignment="1">
      <alignment horizontal="center" vertical="center" textRotation="0" wrapText="false" shrinkToFit="false"/>
    </xf>
    <xf xfId="0" fontId="1" numFmtId="0" fillId="4" borderId="11" applyFont="1" applyNumberFormat="0" applyFill="1" applyBorder="1" applyAlignment="1">
      <alignment horizontal="center" vertical="center" textRotation="0" wrapText="false" shrinkToFit="false"/>
    </xf>
    <xf xfId="0" fontId="1" numFmtId="0" fillId="4" borderId="12" applyFont="1" applyNumberFormat="0" applyFill="1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2" numFmtId="0" fillId="0" borderId="15" applyFont="1" applyNumberFormat="0" applyFill="0" applyBorder="1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vertical="center" textRotation="0" wrapText="false" shrinkToFit="false"/>
    </xf>
    <xf xfId="0" fontId="2" numFmtId="0" fillId="3" borderId="1" applyFont="1" applyNumberFormat="0" applyFill="1" applyBorder="1" applyAlignment="1">
      <alignment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false" shrinkToFit="false"/>
    </xf>
    <xf xfId="0" fontId="2" numFmtId="0" fillId="3" borderId="18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vertical="center" textRotation="0" wrapText="false" shrinkToFit="false"/>
    </xf>
    <xf xfId="0" fontId="2" numFmtId="0" fillId="0" borderId="19" applyFont="1" applyNumberFormat="0" applyFill="0" applyBorder="1" applyAlignment="1">
      <alignment horizontal="center" vertical="center" textRotation="0" wrapText="false" shrinkToFit="false"/>
    </xf>
    <xf xfId="0" fontId="1" numFmtId="0" fillId="2" borderId="20" applyFont="1" applyNumberFormat="0" applyFill="1" applyBorder="1" applyAlignment="1">
      <alignment horizontal="center" vertical="center" textRotation="0" wrapText="false" shrinkToFit="false"/>
    </xf>
    <xf xfId="0" fontId="1" numFmtId="0" fillId="2" borderId="2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2" applyFont="1" applyNumberFormat="0" applyFill="1" applyBorder="1" applyAlignment="1">
      <alignment horizontal="center" vertical="center" textRotation="0" wrapText="true" shrinkToFit="false"/>
    </xf>
    <xf xfId="0" fontId="1" numFmtId="0" fillId="4" borderId="5" applyFont="1" applyNumberFormat="0" applyFill="1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4" borderId="23" applyFont="1" applyNumberFormat="0" applyFill="1" applyBorder="1" applyAlignment="1">
      <alignment horizontal="center" vertical="center" textRotation="0" wrapText="false" shrinkToFit="false"/>
    </xf>
    <xf xfId="0" fontId="2" numFmtId="10" fillId="4" borderId="24" applyFont="1" applyNumberFormat="1" applyFill="1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true" shrinkToFit="false"/>
    </xf>
    <xf xfId="0" fontId="1" numFmtId="0" fillId="0" borderId="24" applyFont="1" applyNumberFormat="0" applyFill="0" applyBorder="1" applyAlignment="1">
      <alignment horizontal="center" vertical="center" textRotation="0" wrapText="false" shrinkToFit="false"/>
    </xf>
    <xf xfId="0" fontId="1" numFmtId="0" fillId="5" borderId="26" applyFont="1" applyNumberFormat="0" applyFill="1" applyBorder="1" applyAlignment="1">
      <alignment horizontal="center" vertical="center" textRotation="0" wrapText="true" shrinkToFit="false"/>
    </xf>
    <xf xfId="0" fontId="1" numFmtId="0" fillId="5" borderId="27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28" applyFont="1" applyNumberFormat="0" applyFill="1" applyBorder="1" applyAlignment="1">
      <alignment horizontal="center" vertical="center" textRotation="0" wrapText="false" shrinkToFit="false"/>
    </xf>
    <xf xfId="0" fontId="1" numFmtId="0" fillId="5" borderId="1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5" borderId="29" applyFont="1" applyNumberFormat="0" applyFill="1" applyBorder="1" applyAlignment="1">
      <alignment horizontal="center" vertical="center" textRotation="0" wrapText="false" shrinkToFit="false"/>
    </xf>
    <xf xfId="0" fontId="1" numFmtId="0" fillId="5" borderId="3" applyFont="1" applyNumberFormat="0" applyFill="1" applyBorder="1" applyAlignment="1">
      <alignment horizontal="center" vertical="center" textRotation="0" wrapText="false" shrinkToFit="false"/>
    </xf>
    <xf xfId="0" fontId="1" numFmtId="0" fillId="5" borderId="28" applyFont="1" applyNumberFormat="0" applyFill="1" applyBorder="1" applyAlignment="1">
      <alignment horizontal="center" vertical="center" textRotation="0" wrapText="true" shrinkToFit="false"/>
    </xf>
    <xf xfId="0" fontId="1" numFmtId="0" fillId="5" borderId="19" applyFont="1" applyNumberFormat="0" applyFill="1" applyBorder="1" applyAlignment="1">
      <alignment horizontal="center" vertical="center" textRotation="0" wrapText="true" shrinkToFit="false"/>
    </xf>
    <xf xfId="0" fontId="2" numFmtId="0" fillId="0" borderId="30" applyFont="1" applyNumberFormat="0" applyFill="0" applyBorder="1" applyAlignment="1">
      <alignment horizontal="center" vertical="center" textRotation="0" wrapText="false" shrinkToFit="false"/>
    </xf>
    <xf xfId="0" fontId="2" numFmtId="0" fillId="0" borderId="26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false" shrinkToFit="false"/>
    </xf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2" numFmtId="0" fillId="0" borderId="15" applyFont="1" applyNumberFormat="0" applyFill="0" applyBorder="1" applyAlignment="1">
      <alignment horizontal="center" vertical="center" textRotation="0" wrapText="false" shrinkToFit="false"/>
    </xf>
    <xf xfId="0" fontId="2" numFmtId="0" fillId="0" borderId="28" applyFont="1" applyNumberFormat="0" applyFill="0" applyBorder="1" applyAlignment="1">
      <alignment horizontal="center" vertical="center" textRotation="0" wrapText="false" shrinkToFit="false"/>
    </xf>
    <xf xfId="0" fontId="2" numFmtId="0" fillId="0" borderId="32" applyFont="1" applyNumberFormat="0" applyFill="0" applyBorder="1" applyAlignment="1">
      <alignment horizontal="center" vertical="center" textRotation="0" wrapText="false" shrinkToFit="false"/>
    </xf>
    <xf xfId="0" fontId="2" numFmtId="0" fillId="3" borderId="33" applyFont="1" applyNumberFormat="0" applyFill="1" applyBorder="1" applyAlignment="1">
      <alignment horizontal="center" vertical="center" textRotation="0" wrapText="false" shrinkToFit="false"/>
    </xf>
    <xf xfId="0" fontId="2" numFmtId="0" fillId="0" borderId="18" applyFont="1" applyNumberFormat="0" applyFill="0" applyBorder="1" applyAlignment="1">
      <alignment horizontal="center" vertical="center" textRotation="0" wrapText="false" shrinkToFit="false"/>
    </xf>
    <xf xfId="0" fontId="2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4" borderId="30" applyFont="1" applyNumberFormat="0" applyFill="1" applyBorder="1" applyAlignment="1">
      <alignment horizontal="center" vertical="center" textRotation="0" wrapText="true" shrinkToFit="false"/>
    </xf>
    <xf xfId="0" fontId="4" numFmtId="0" fillId="4" borderId="6" applyFont="1" applyNumberFormat="0" applyFill="1" applyBorder="1" applyAlignment="1">
      <alignment horizontal="center" vertical="center" textRotation="0" wrapText="true" shrinkToFit="false"/>
    </xf>
    <xf xfId="0" fontId="4" numFmtId="0" fillId="4" borderId="31" applyFont="1" applyNumberFormat="0" applyFill="1" applyBorder="1" applyAlignment="1">
      <alignment horizontal="center" vertical="center" textRotation="0" wrapText="true" shrinkToFit="false"/>
    </xf>
    <xf xfId="0" fontId="4" numFmtId="0" fillId="4" borderId="4" applyFont="1" applyNumberFormat="0" applyFill="1" applyBorder="1" applyAlignment="1">
      <alignment horizontal="center" vertical="center" textRotation="0" wrapText="true" shrinkToFit="false"/>
    </xf>
    <xf xfId="0" fontId="5" numFmtId="0" fillId="4" borderId="15" applyFont="1" applyNumberFormat="0" applyFill="1" applyBorder="1" applyAlignment="1">
      <alignment horizontal="center" vertical="center" textRotation="0" wrapText="true" shrinkToFit="false"/>
    </xf>
    <xf xfId="0" fontId="5" numFmtId="0" fillId="4" borderId="24" applyFont="1" applyNumberFormat="0" applyFill="1" applyBorder="1" applyAlignment="1">
      <alignment horizontal="center" vertical="center" textRotation="0" wrapText="true" shrinkToFit="false"/>
    </xf>
    <xf xfId="0" fontId="2" numFmtId="0" fillId="0" borderId="34" applyFont="1" applyNumberFormat="0" applyFill="0" applyBorder="1" applyAlignment="1">
      <alignment horizontal="center" vertical="center" textRotation="0" wrapText="false" shrinkToFit="false"/>
    </xf>
    <xf xfId="0" fontId="2" numFmtId="0" fillId="0" borderId="35" applyFont="1" applyNumberFormat="0" applyFill="0" applyBorder="1" applyAlignment="1">
      <alignment horizontal="center" vertical="center" textRotation="0" wrapText="false" shrinkToFit="false"/>
    </xf>
    <xf xfId="0" fontId="1" numFmtId="0" fillId="5" borderId="36" applyFont="1" applyNumberFormat="0" applyFill="1" applyBorder="1" applyAlignment="1">
      <alignment horizontal="center" vertical="center" textRotation="0" wrapText="false" shrinkToFit="false"/>
    </xf>
    <xf xfId="0" fontId="1" numFmtId="0" fillId="5" borderId="37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true" shrinkToFit="false"/>
    </xf>
    <xf xfId="0" fontId="6" numFmtId="0" fillId="3" borderId="34" applyFont="1" applyNumberFormat="0" applyFill="1" applyBorder="1" applyAlignment="1">
      <alignment horizontal="center" vertical="center" textRotation="0" wrapText="false" shrinkToFit="false"/>
    </xf>
    <xf xfId="0" fontId="6" numFmtId="0" fillId="3" borderId="11" applyFont="1" applyNumberFormat="0" applyFill="1" applyBorder="1" applyAlignment="1">
      <alignment horizontal="center" vertical="center" textRotation="0" wrapText="false" shrinkToFit="false"/>
    </xf>
    <xf xfId="0" fontId="2" numFmtId="0" fillId="3" borderId="34" applyFont="1" applyNumberFormat="0" applyFill="1" applyBorder="1" applyAlignment="1">
      <alignment horizontal="center" vertical="center" textRotation="0" wrapText="false" shrinkToFit="false"/>
    </xf>
    <xf xfId="0" fontId="2" numFmtId="0" fillId="3" borderId="11" applyFont="1" applyNumberFormat="0" applyFill="1" applyBorder="1" applyAlignment="1">
      <alignment horizontal="center" vertical="center" textRotation="0" wrapText="false" shrinkToFit="false"/>
    </xf>
    <xf xfId="0" fontId="7" numFmtId="0" fillId="4" borderId="39" applyFont="1" applyNumberFormat="0" applyFill="1" applyBorder="1" applyAlignment="1">
      <alignment horizontal="center" vertical="center" textRotation="0" wrapText="true" shrinkToFit="false"/>
    </xf>
    <xf xfId="0" fontId="7" numFmtId="0" fillId="4" borderId="40" applyFont="1" applyNumberFormat="0" applyFill="1" applyBorder="1" applyAlignment="1">
      <alignment horizontal="center" vertical="center" textRotation="0" wrapText="true" shrinkToFit="false"/>
    </xf>
    <xf xfId="0" fontId="7" numFmtId="0" fillId="4" borderId="41" applyFont="1" applyNumberFormat="0" applyFill="1" applyBorder="1" applyAlignment="1">
      <alignment horizontal="center" vertical="center" textRotation="0" wrapText="true" shrinkToFit="false"/>
    </xf>
    <xf xfId="0" fontId="7" numFmtId="0" fillId="4" borderId="42" applyFont="1" applyNumberFormat="0" applyFill="1" applyBorder="1" applyAlignment="1">
      <alignment horizontal="center" vertical="center" textRotation="0" wrapText="true" shrinkToFit="false"/>
    </xf>
    <xf xfId="0" fontId="7" numFmtId="0" fillId="4" borderId="43" applyFont="1" applyNumberFormat="0" applyFill="1" applyBorder="1" applyAlignment="1">
      <alignment horizontal="center" vertical="center" textRotation="0" wrapText="true" shrinkToFit="false"/>
    </xf>
    <xf xfId="0" fontId="7" numFmtId="0" fillId="4" borderId="44" applyFont="1" applyNumberFormat="0" applyFill="1" applyBorder="1" applyAlignment="1">
      <alignment horizontal="center" vertical="center" textRotation="0" wrapText="true" shrinkToFit="false"/>
    </xf>
    <xf xfId="0" fontId="1" numFmtId="0" fillId="5" borderId="39" applyFont="1" applyNumberFormat="0" applyFill="1" applyBorder="1" applyAlignment="1">
      <alignment horizontal="center" vertical="center" textRotation="0" wrapText="false" shrinkToFit="false"/>
    </xf>
    <xf xfId="0" fontId="1" numFmtId="0" fillId="5" borderId="43" applyFont="1" applyNumberFormat="0" applyFill="1" applyBorder="1" applyAlignment="1">
      <alignment horizontal="center" vertical="center" textRotation="0" wrapText="false" shrinkToFit="false"/>
    </xf>
    <xf xfId="0" fontId="1" numFmtId="0" fillId="5" borderId="38" applyFont="1" applyNumberFormat="0" applyFill="1" applyBorder="1" applyAlignment="1">
      <alignment horizontal="center" vertical="center" textRotation="0" wrapText="false" shrinkToFit="false"/>
    </xf>
    <xf xfId="0" fontId="1" numFmtId="0" fillId="5" borderId="7" applyFont="1" applyNumberFormat="0" applyFill="1" applyBorder="1" applyAlignment="1">
      <alignment horizontal="center" vertical="center" textRotation="0" wrapText="false" shrinkToFit="false"/>
    </xf>
    <xf xfId="0" fontId="1" numFmtId="0" fillId="3" borderId="14" applyFont="1" applyNumberFormat="0" applyFill="1" applyBorder="1" applyAlignment="1">
      <alignment horizontal="center" vertical="center" textRotation="0" wrapText="false" shrinkToFit="false"/>
    </xf>
    <xf xfId="0" fontId="1" numFmtId="0" fillId="0" borderId="45" applyFont="1" applyNumberFormat="0" applyFill="0" applyBorder="1" applyAlignment="1">
      <alignment horizontal="center" vertical="center" textRotation="0" wrapText="false" shrinkToFit="false"/>
    </xf>
    <xf xfId="0" fontId="1" numFmtId="0" fillId="0" borderId="26" applyFont="1" applyNumberFormat="0" applyFill="0" applyBorder="1" applyAlignment="1">
      <alignment horizontal="center" vertical="center" textRotation="0" wrapText="false" shrinkToFit="false"/>
    </xf>
    <xf xfId="0" fontId="1" numFmtId="0" fillId="0" borderId="46" applyFont="1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center" vertical="center" textRotation="0" wrapText="false" shrinkToFit="false"/>
    </xf>
    <xf xfId="0" fontId="1" numFmtId="0" fillId="0" borderId="47" applyFont="1" applyNumberFormat="0" applyFill="0" applyBorder="1" applyAlignment="1">
      <alignment horizontal="center" vertical="center" textRotation="0" wrapText="false" shrinkToFit="false"/>
    </xf>
    <xf xfId="0" fontId="1" numFmtId="0" fillId="0" borderId="25" applyFont="1" applyNumberFormat="0" applyFill="0" applyBorder="1" applyAlignment="1">
      <alignment horizontal="center" vertical="center" textRotation="0" wrapText="false" shrinkToFit="false"/>
    </xf>
    <xf xfId="0" fontId="1" numFmtId="0" fillId="5" borderId="22" applyFont="1" applyNumberFormat="0" applyFill="1" applyBorder="1" applyAlignment="1">
      <alignment horizontal="center" vertical="center" textRotation="0" wrapText="false" shrinkToFit="false"/>
    </xf>
    <xf xfId="0" fontId="2" numFmtId="0" fillId="3" borderId="5" applyFont="1" applyNumberFormat="0" applyFill="1" applyBorder="1" applyAlignment="1">
      <alignment horizontal="center" vertical="center" textRotation="0" wrapText="false" shrinkToFit="false"/>
    </xf>
    <xf xfId="0" fontId="2" numFmtId="0" fillId="3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8" applyFont="1" applyNumberFormat="0" applyFill="0" applyBorder="1" applyAlignment="1">
      <alignment horizontal="center" vertical="center" textRotation="0" wrapText="false" shrinkToFit="false"/>
    </xf>
    <xf xfId="0" fontId="1" numFmtId="0" fillId="0" borderId="49" applyFont="1" applyNumberFormat="0" applyFill="0" applyBorder="1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8" numFmtId="0" fillId="0" borderId="4" applyFont="1" applyNumberFormat="0" applyFill="0" applyBorder="1" applyAlignment="1">
      <alignment horizontal="center" vertical="distributed" textRotation="0" wrapText="true" shrinkToFit="false"/>
    </xf>
    <xf xfId="0" fontId="1" numFmtId="0" fillId="5" borderId="17" applyFont="1" applyNumberFormat="0" applyFill="1" applyBorder="1" applyAlignment="1">
      <alignment horizontal="center" vertical="center" textRotation="0" wrapText="false" shrinkToFit="false"/>
    </xf>
    <xf xfId="0" fontId="9" numFmtId="0" fillId="6" borderId="30" applyFont="1" applyNumberFormat="0" applyFill="1" applyBorder="1" applyAlignment="1">
      <alignment horizontal="center" vertical="bottom" textRotation="0" wrapText="false" shrinkToFit="false"/>
    </xf>
    <xf xfId="0" fontId="9" numFmtId="0" fillId="6" borderId="26" applyFont="1" applyNumberFormat="0" applyFill="1" applyBorder="1" applyAlignment="1">
      <alignment horizontal="center" vertical="bottom" textRotation="0" wrapText="false" shrinkToFit="false"/>
    </xf>
    <xf xfId="0" fontId="9" numFmtId="0" fillId="6" borderId="19" applyFont="1" applyNumberFormat="0" applyFill="1" applyBorder="1" applyAlignment="1">
      <alignment horizontal="center" vertical="bottom" textRotation="0" wrapText="false" shrinkToFit="false"/>
    </xf>
    <xf xfId="0" fontId="9" numFmtId="0" fillId="6" borderId="6" applyFont="1" applyNumberFormat="0" applyFill="1" applyBorder="1" applyAlignment="1">
      <alignment horizontal="center" vertical="bottom" textRotation="0" wrapText="false" shrinkToFit="false"/>
    </xf>
    <xf xfId="0" fontId="0" numFmtId="0" fillId="0" borderId="50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96fde520ee556a9e898097a57504fa3.png"/><Relationship Id="rId2" Type="http://schemas.openxmlformats.org/officeDocument/2006/relationships/image" Target="../media/caa18ec0ab7f6f8657aace1ef44ee27d.png"/><Relationship Id="rId3" Type="http://schemas.openxmlformats.org/officeDocument/2006/relationships/image" Target="../media/6df0c3812622ca8d30f9e643084e02f0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61</xdr:row>
      <xdr:rowOff>0</xdr:rowOff>
    </xdr:from>
    <xdr:ext cx="1905000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0</xdr:colOff>
      <xdr:row>62</xdr:row>
      <xdr:rowOff>0</xdr:rowOff>
    </xdr:from>
    <xdr:ext cx="1666875" cy="9525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"/>
  <sheetViews>
    <sheetView tabSelected="1" workbookViewId="0" zoomScale="80" zoomScaleNormal="80" showGridLines="true" showRowColHeaders="1" topLeftCell="A20">
      <selection activeCell="F60" sqref="F60"/>
    </sheetView>
  </sheetViews>
  <sheetFormatPr defaultRowHeight="14.4" defaultColWidth="9.140625" outlineLevelRow="0" outlineLevelCol="0"/>
  <cols>
    <col min="1" max="1" width="26.140625" customWidth="true" style="0"/>
    <col min="2" max="2" width="53.42578125" customWidth="true" style="0"/>
    <col min="3" max="3" width="23.5703125" customWidth="true" style="0"/>
    <col min="4" max="4" width="22.5703125" customWidth="true" style="0"/>
    <col min="5" max="5" width="23.42578125" customWidth="true" style="0"/>
    <col min="6" max="6" width="25.140625" customWidth="true" style="0"/>
    <col min="7" max="7" width="26.7109375" customWidth="true" style="0"/>
    <col min="8" max="8" width="61.42578125" customWidth="true" style="0"/>
    <col min="9" max="9" width="26.42578125" customWidth="true" style="0"/>
    <col min="10" max="10" width="23.7109375" customWidth="true" style="0"/>
  </cols>
  <sheetData>
    <row r="1" spans="1:10" customHeight="1" ht="15.75">
      <c r="A1" s="51"/>
      <c r="B1" s="52"/>
      <c r="C1" s="53"/>
      <c r="D1" s="59"/>
      <c r="E1" s="59"/>
      <c r="F1" s="59"/>
      <c r="G1" s="59"/>
      <c r="H1" s="60"/>
      <c r="I1" s="61"/>
      <c r="J1" s="18"/>
    </row>
    <row r="2" spans="1:10" customHeight="1" ht="14.45">
      <c r="A2" s="54"/>
      <c r="B2" s="46"/>
      <c r="C2" s="55"/>
      <c r="D2" s="9"/>
      <c r="E2" s="77" t="s">
        <v>0</v>
      </c>
      <c r="F2" s="78"/>
      <c r="G2" s="9"/>
      <c r="H2" s="62" t="s">
        <v>1</v>
      </c>
      <c r="I2" s="63"/>
      <c r="J2" s="19"/>
    </row>
    <row r="3" spans="1:10" customHeight="1" ht="14.45">
      <c r="A3" s="54"/>
      <c r="B3" s="46"/>
      <c r="C3" s="55"/>
      <c r="D3" s="9"/>
      <c r="E3" s="79"/>
      <c r="F3" s="80"/>
      <c r="G3" s="9"/>
      <c r="H3" s="64"/>
      <c r="I3" s="65"/>
      <c r="J3" s="19"/>
    </row>
    <row r="4" spans="1:10" customHeight="1" ht="27">
      <c r="A4" s="54"/>
      <c r="B4" s="46"/>
      <c r="C4" s="55"/>
      <c r="D4" s="9"/>
      <c r="E4" s="79"/>
      <c r="F4" s="80"/>
      <c r="G4" s="9"/>
      <c r="H4" s="66">
        <v>60</v>
      </c>
      <c r="I4" s="67"/>
      <c r="J4" s="19"/>
    </row>
    <row r="5" spans="1:10" customHeight="1" ht="21">
      <c r="A5" s="54"/>
      <c r="B5" s="46"/>
      <c r="C5" s="55"/>
      <c r="D5" s="9"/>
      <c r="E5" s="81"/>
      <c r="F5" s="82"/>
      <c r="G5" s="9"/>
      <c r="H5" s="15" t="s">
        <v>2</v>
      </c>
      <c r="I5" s="16" t="s">
        <v>3</v>
      </c>
      <c r="J5" s="19"/>
    </row>
    <row r="6" spans="1:10" customHeight="1" ht="27">
      <c r="A6" s="54"/>
      <c r="B6" s="46"/>
      <c r="C6" s="55"/>
      <c r="D6" s="9"/>
      <c r="E6" s="9"/>
      <c r="F6" s="9"/>
      <c r="G6" s="9"/>
      <c r="H6" s="17" t="s">
        <v>4</v>
      </c>
      <c r="I6" s="16" t="s">
        <v>3</v>
      </c>
      <c r="J6" s="19"/>
    </row>
    <row r="7" spans="1:10" customHeight="1" ht="15.75">
      <c r="A7" s="54"/>
      <c r="B7" s="46"/>
      <c r="C7" s="55"/>
      <c r="D7" s="9"/>
      <c r="E7" s="21"/>
      <c r="F7" s="1" t="s">
        <v>5</v>
      </c>
      <c r="G7" s="68" t="s">
        <v>6</v>
      </c>
      <c r="H7" s="69"/>
      <c r="I7" s="61"/>
      <c r="J7" s="19"/>
    </row>
    <row r="8" spans="1:10" customHeight="1" ht="16.5">
      <c r="A8" s="56"/>
      <c r="B8" s="57"/>
      <c r="C8" s="58"/>
      <c r="D8" s="9"/>
      <c r="E8" s="9"/>
      <c r="F8" s="73" t="s">
        <v>7</v>
      </c>
      <c r="G8" s="74"/>
      <c r="H8" s="75" t="s">
        <v>8</v>
      </c>
      <c r="I8" s="76"/>
      <c r="J8" s="19"/>
    </row>
    <row r="9" spans="1:10" customHeight="1" ht="15.75">
      <c r="A9" s="33" t="s">
        <v>9</v>
      </c>
      <c r="B9" s="30" t="s">
        <v>10</v>
      </c>
      <c r="C9" s="32" t="s">
        <v>11</v>
      </c>
      <c r="D9" s="31" t="s">
        <v>12</v>
      </c>
      <c r="E9" s="2" t="s">
        <v>13</v>
      </c>
      <c r="F9" s="2" t="s">
        <v>12</v>
      </c>
      <c r="G9" s="2" t="s">
        <v>14</v>
      </c>
      <c r="H9" s="2" t="s">
        <v>15</v>
      </c>
      <c r="I9" s="10" t="s">
        <v>16</v>
      </c>
      <c r="J9" s="10" t="s">
        <v>17</v>
      </c>
    </row>
    <row r="10" spans="1:10">
      <c r="A10" s="20"/>
      <c r="B10" s="70" t="s">
        <v>18</v>
      </c>
      <c r="C10" s="25"/>
      <c r="D10" s="25"/>
      <c r="E10" s="25"/>
      <c r="F10" s="25"/>
      <c r="G10" s="46" t="e">
        <f>SUM((C10+C11+E10+E11)*50)</f>
        <v>#VALUE!</v>
      </c>
      <c r="H10" s="72" t="s">
        <v>19</v>
      </c>
      <c r="I10" s="42">
        <v>0</v>
      </c>
      <c r="J10" s="42">
        <v>0</v>
      </c>
    </row>
    <row r="11" spans="1:10">
      <c r="A11" s="22"/>
      <c r="B11" s="71"/>
      <c r="C11" s="29"/>
      <c r="D11" s="29"/>
      <c r="E11" s="29"/>
      <c r="F11" s="29"/>
      <c r="G11" s="46"/>
      <c r="H11" s="50"/>
      <c r="I11" s="42"/>
      <c r="J11" s="42"/>
    </row>
    <row r="12" spans="1:10">
      <c r="A12" s="20"/>
      <c r="B12" s="43" t="s">
        <v>20</v>
      </c>
      <c r="C12" s="25"/>
      <c r="D12" s="25"/>
      <c r="E12" s="25"/>
      <c r="F12" s="25"/>
      <c r="G12" s="46" t="e">
        <f>SUM((C12+C13+E12+E13)*50)</f>
        <v>#VALUE!</v>
      </c>
      <c r="H12" s="43" t="s">
        <v>21</v>
      </c>
      <c r="I12" s="42">
        <v>0</v>
      </c>
      <c r="J12" s="42">
        <v>0</v>
      </c>
    </row>
    <row r="13" spans="1:10">
      <c r="A13" s="22"/>
      <c r="B13" s="44"/>
      <c r="C13" s="29"/>
      <c r="D13" s="29"/>
      <c r="E13" s="29"/>
      <c r="F13" s="29"/>
      <c r="G13" s="46"/>
      <c r="H13" s="44"/>
      <c r="I13" s="42"/>
      <c r="J13" s="42"/>
    </row>
    <row r="14" spans="1:10">
      <c r="A14" s="20"/>
      <c r="B14" s="83" t="s">
        <v>22</v>
      </c>
      <c r="C14" s="25"/>
      <c r="D14" s="25"/>
      <c r="E14" s="25"/>
      <c r="F14" s="25"/>
      <c r="G14" s="46" t="e">
        <f>SUM((C14+C15+E14+E15)*10)</f>
        <v>#VALUE!</v>
      </c>
      <c r="H14" s="49" t="s">
        <v>23</v>
      </c>
      <c r="I14" s="42">
        <v>0</v>
      </c>
      <c r="J14" s="42">
        <v>0</v>
      </c>
    </row>
    <row r="15" spans="1:10">
      <c r="A15" s="22"/>
      <c r="B15" s="84"/>
      <c r="C15" s="29"/>
      <c r="D15" s="29"/>
      <c r="E15" s="29"/>
      <c r="F15" s="29"/>
      <c r="G15" s="46"/>
      <c r="H15" s="50"/>
      <c r="I15" s="42"/>
      <c r="J15" s="42"/>
    </row>
    <row r="16" spans="1:10">
      <c r="A16" s="20"/>
      <c r="B16" s="47" t="s">
        <v>24</v>
      </c>
      <c r="C16" s="25"/>
      <c r="D16" s="25"/>
      <c r="E16" s="25"/>
      <c r="F16" s="25"/>
      <c r="G16" s="46" t="e">
        <f>SUM((C16+C17+E16+E17)*50)</f>
        <v>#VALUE!</v>
      </c>
      <c r="H16" s="48" t="s">
        <v>25</v>
      </c>
      <c r="I16" s="42" t="s">
        <v>26</v>
      </c>
      <c r="J16" s="42">
        <v>0</v>
      </c>
    </row>
    <row r="17" spans="1:10">
      <c r="A17" s="22"/>
      <c r="B17" s="47"/>
      <c r="C17" s="29"/>
      <c r="D17" s="29"/>
      <c r="E17" s="29"/>
      <c r="F17" s="29"/>
      <c r="G17" s="46"/>
      <c r="H17" s="48"/>
      <c r="I17" s="42"/>
      <c r="J17" s="42"/>
    </row>
    <row r="18" spans="1:10">
      <c r="A18" s="20"/>
      <c r="B18" s="43" t="s">
        <v>27</v>
      </c>
      <c r="C18" s="25">
        <v>100</v>
      </c>
      <c r="D18" s="25" t="s">
        <v>28</v>
      </c>
      <c r="E18" s="25"/>
      <c r="F18" s="25"/>
      <c r="G18" s="46" t="e">
        <f>SUM((C18+C19+E18+E19)*2.5)</f>
        <v>#VALUE!</v>
      </c>
      <c r="H18" s="45" t="s">
        <v>29</v>
      </c>
      <c r="I18" s="42" t="s">
        <v>30</v>
      </c>
      <c r="J18" s="42">
        <v>0</v>
      </c>
    </row>
    <row r="19" spans="1:10">
      <c r="A19" s="22"/>
      <c r="B19" s="44"/>
      <c r="C19" s="29">
        <v>240</v>
      </c>
      <c r="D19" s="29" t="s">
        <v>31</v>
      </c>
      <c r="E19" s="29"/>
      <c r="F19" s="29"/>
      <c r="G19" s="46"/>
      <c r="H19" s="45"/>
      <c r="I19" s="42"/>
      <c r="J19" s="42"/>
    </row>
    <row r="20" spans="1:10">
      <c r="A20" s="20"/>
      <c r="B20" s="43" t="s">
        <v>32</v>
      </c>
      <c r="C20" s="25"/>
      <c r="D20" s="25"/>
      <c r="E20" s="25"/>
      <c r="F20" s="25"/>
      <c r="G20" s="46" t="e">
        <f>SUM((C20+C21+E20+E21))</f>
        <v>#VALUE!</v>
      </c>
      <c r="H20" s="48" t="s">
        <v>33</v>
      </c>
      <c r="I20" s="42">
        <v>0</v>
      </c>
      <c r="J20" s="42">
        <v>0</v>
      </c>
    </row>
    <row r="21" spans="1:10">
      <c r="A21" s="22"/>
      <c r="B21" s="44"/>
      <c r="C21" s="29"/>
      <c r="D21" s="29"/>
      <c r="E21" s="29"/>
      <c r="F21" s="29"/>
      <c r="G21" s="46"/>
      <c r="H21" s="48"/>
      <c r="I21" s="42"/>
      <c r="J21" s="42"/>
    </row>
    <row r="22" spans="1:10">
      <c r="A22" s="20"/>
      <c r="B22" s="43" t="s">
        <v>34</v>
      </c>
      <c r="C22" s="25">
        <v>1300</v>
      </c>
      <c r="D22" s="25" t="s">
        <v>35</v>
      </c>
      <c r="E22" s="25"/>
      <c r="F22" s="25"/>
      <c r="G22" s="46" t="e">
        <f>SUM(((C22+C23+E22+E23)/2))</f>
        <v>#VALUE!</v>
      </c>
      <c r="H22" s="43" t="s">
        <v>36</v>
      </c>
      <c r="I22" s="42" t="s">
        <v>37</v>
      </c>
      <c r="J22" s="42">
        <v>0</v>
      </c>
    </row>
    <row r="23" spans="1:10">
      <c r="A23" s="22"/>
      <c r="B23" s="44"/>
      <c r="C23" s="29"/>
      <c r="D23" s="29"/>
      <c r="E23" s="29"/>
      <c r="F23" s="29"/>
      <c r="G23" s="46"/>
      <c r="H23" s="44"/>
      <c r="I23" s="42"/>
      <c r="J23" s="42"/>
    </row>
    <row r="24" spans="1:10">
      <c r="A24" s="20"/>
      <c r="B24" s="47" t="s">
        <v>38</v>
      </c>
      <c r="C24" s="25"/>
      <c r="D24" s="25"/>
      <c r="E24" s="25">
        <v>85</v>
      </c>
      <c r="F24" s="25" t="s">
        <v>39</v>
      </c>
      <c r="G24" s="46">
        <f>SUM((C24+C25+E24+E25)*40)</f>
        <v>3400</v>
      </c>
      <c r="H24" s="49" t="s">
        <v>40</v>
      </c>
      <c r="I24" s="42">
        <v>0</v>
      </c>
      <c r="J24" s="42" t="s">
        <v>41</v>
      </c>
    </row>
    <row r="25" spans="1:10">
      <c r="A25" s="22" t="s">
        <v>42</v>
      </c>
      <c r="B25" s="47"/>
      <c r="C25" s="29"/>
      <c r="D25" s="29"/>
      <c r="E25" s="29"/>
      <c r="F25" s="29"/>
      <c r="G25" s="46"/>
      <c r="H25" s="50"/>
      <c r="I25" s="42"/>
      <c r="J25" s="42"/>
    </row>
    <row r="26" spans="1:10">
      <c r="A26" s="20"/>
      <c r="B26" s="83" t="s">
        <v>43</v>
      </c>
      <c r="C26" s="25"/>
      <c r="D26" s="25"/>
      <c r="E26" s="25">
        <v>20</v>
      </c>
      <c r="F26" s="25" t="s">
        <v>39</v>
      </c>
      <c r="G26" s="46" t="e">
        <f>SUM((C26+C27+E26+E27)*50)</f>
        <v>#VALUE!</v>
      </c>
      <c r="H26" s="49" t="s">
        <v>44</v>
      </c>
      <c r="I26" s="42">
        <v>0</v>
      </c>
      <c r="J26" s="42" t="s">
        <v>45</v>
      </c>
    </row>
    <row r="27" spans="1:10">
      <c r="A27" s="22"/>
      <c r="B27" s="84"/>
      <c r="C27" s="29"/>
      <c r="D27" s="29"/>
      <c r="E27" s="29"/>
      <c r="F27" s="29"/>
      <c r="G27" s="46"/>
      <c r="H27" s="50"/>
      <c r="I27" s="42"/>
      <c r="J27" s="42"/>
    </row>
    <row r="28" spans="1:10">
      <c r="A28" s="20"/>
      <c r="B28" s="43" t="s">
        <v>46</v>
      </c>
      <c r="C28" s="25"/>
      <c r="D28" s="25"/>
      <c r="E28" s="25">
        <v>160</v>
      </c>
      <c r="F28" s="25" t="s">
        <v>39</v>
      </c>
      <c r="G28" s="46">
        <f>SUM((C28+C29+E28+E29)*30)</f>
        <v>4800</v>
      </c>
      <c r="H28" s="49" t="s">
        <v>47</v>
      </c>
      <c r="I28" s="42">
        <v>0</v>
      </c>
      <c r="J28" s="42">
        <v>0</v>
      </c>
    </row>
    <row r="29" spans="1:10">
      <c r="A29" s="22"/>
      <c r="B29" s="44"/>
      <c r="C29" s="29"/>
      <c r="D29" s="29"/>
      <c r="E29" s="29"/>
      <c r="F29" s="29"/>
      <c r="G29" s="46"/>
      <c r="H29" s="50"/>
      <c r="I29" s="42"/>
      <c r="J29" s="42"/>
    </row>
    <row r="30" spans="1:10">
      <c r="A30" s="20"/>
      <c r="B30" s="43" t="s">
        <v>48</v>
      </c>
      <c r="C30" s="25"/>
      <c r="D30" s="25"/>
      <c r="E30" s="25"/>
      <c r="F30" s="25"/>
      <c r="G30" s="46">
        <f>SUM((C30+C31+E30+E31)*50)</f>
        <v>0</v>
      </c>
      <c r="H30" s="49" t="s">
        <v>49</v>
      </c>
      <c r="I30" s="42" t="s">
        <v>50</v>
      </c>
      <c r="J30" s="42">
        <v>0</v>
      </c>
    </row>
    <row r="31" spans="1:10">
      <c r="A31" s="22"/>
      <c r="B31" s="44"/>
      <c r="C31" s="29"/>
      <c r="D31" s="29"/>
      <c r="E31" s="29"/>
      <c r="F31" s="29"/>
      <c r="G31" s="46"/>
      <c r="H31" s="50"/>
      <c r="I31" s="42"/>
      <c r="J31" s="42"/>
    </row>
    <row r="32" spans="1:10">
      <c r="A32" s="20"/>
      <c r="B32" s="83" t="s">
        <v>51</v>
      </c>
      <c r="C32" s="25"/>
      <c r="D32" s="25"/>
      <c r="E32" s="25"/>
      <c r="F32" s="25"/>
      <c r="G32" s="46" t="e">
        <f>SUM((C32+C33+E32+E33)*25)</f>
        <v>#VALUE!</v>
      </c>
      <c r="H32" s="48" t="s">
        <v>52</v>
      </c>
      <c r="I32" s="42">
        <v>0</v>
      </c>
      <c r="J32" s="42">
        <v>0</v>
      </c>
    </row>
    <row r="33" spans="1:10">
      <c r="A33" s="22"/>
      <c r="B33" s="84"/>
      <c r="C33" s="29"/>
      <c r="D33" s="29"/>
      <c r="E33" s="29"/>
      <c r="F33" s="29"/>
      <c r="G33" s="46"/>
      <c r="H33" s="48"/>
      <c r="I33" s="42"/>
      <c r="J33" s="42"/>
    </row>
    <row r="34" spans="1:10">
      <c r="A34" s="20"/>
      <c r="B34" s="43" t="s">
        <v>53</v>
      </c>
      <c r="C34" s="25"/>
      <c r="D34" s="25"/>
      <c r="E34" s="25"/>
      <c r="F34" s="25"/>
      <c r="G34" s="46" t="e">
        <f>SUM(((C34+C35+E34+E35)/4)*50)</f>
        <v>#VALUE!</v>
      </c>
      <c r="H34" s="45" t="s">
        <v>54</v>
      </c>
      <c r="I34" s="42" t="s">
        <v>55</v>
      </c>
      <c r="J34" s="42" t="s">
        <v>55</v>
      </c>
    </row>
    <row r="35" spans="1:10">
      <c r="A35" s="22"/>
      <c r="B35" s="44"/>
      <c r="C35" s="29"/>
      <c r="D35" s="29"/>
      <c r="E35" s="29"/>
      <c r="F35" s="29"/>
      <c r="G35" s="46"/>
      <c r="H35" s="45"/>
      <c r="I35" s="42"/>
      <c r="J35" s="42"/>
    </row>
    <row r="36" spans="1:10">
      <c r="A36" s="20"/>
      <c r="B36" s="43" t="s">
        <v>56</v>
      </c>
      <c r="C36" s="25"/>
      <c r="D36" s="25"/>
      <c r="E36" s="25"/>
      <c r="F36" s="25"/>
      <c r="G36" s="46" t="e">
        <f>SUM((C36+C37+E36+E37)*50)</f>
        <v>#VALUE!</v>
      </c>
      <c r="H36" s="43" t="s">
        <v>57</v>
      </c>
      <c r="I36" s="42" t="s">
        <v>58</v>
      </c>
      <c r="J36" s="42">
        <v>0</v>
      </c>
    </row>
    <row r="37" spans="1:10">
      <c r="A37" s="22"/>
      <c r="B37" s="44"/>
      <c r="C37" s="29"/>
      <c r="D37" s="29"/>
      <c r="E37" s="29"/>
      <c r="F37" s="29"/>
      <c r="G37" s="46"/>
      <c r="H37" s="44"/>
      <c r="I37" s="42"/>
      <c r="J37" s="42"/>
    </row>
    <row r="38" spans="1:10">
      <c r="A38" s="20"/>
      <c r="B38" s="83" t="s">
        <v>59</v>
      </c>
      <c r="C38" s="25"/>
      <c r="D38" s="25"/>
      <c r="E38" s="25"/>
      <c r="F38" s="25"/>
      <c r="G38" s="46" t="e">
        <f>SUM((C38+C39+E38+E39)*25)</f>
        <v>#VALUE!</v>
      </c>
      <c r="H38" s="43" t="s">
        <v>60</v>
      </c>
      <c r="I38" s="42" t="s">
        <v>61</v>
      </c>
      <c r="J38" s="42" t="s">
        <v>61</v>
      </c>
    </row>
    <row r="39" spans="1:10">
      <c r="A39" s="22"/>
      <c r="B39" s="84"/>
      <c r="C39" s="29"/>
      <c r="D39" s="29"/>
      <c r="E39" s="29"/>
      <c r="F39" s="29"/>
      <c r="G39" s="46"/>
      <c r="H39" s="44"/>
      <c r="I39" s="42"/>
      <c r="J39" s="42"/>
    </row>
    <row r="40" spans="1:10">
      <c r="A40" s="20"/>
      <c r="B40" s="102" t="s">
        <v>62</v>
      </c>
      <c r="C40" s="25"/>
      <c r="D40" s="25"/>
      <c r="E40" s="25"/>
      <c r="F40" s="25"/>
      <c r="G40" s="46" t="e">
        <f>SUM((C40+C41+E40+E41)*25)</f>
        <v>#VALUE!</v>
      </c>
      <c r="H40" s="43" t="s">
        <v>49</v>
      </c>
      <c r="I40" s="42"/>
      <c r="J40" s="42"/>
    </row>
    <row r="41" spans="1:10">
      <c r="A41" s="22"/>
      <c r="B41" s="44"/>
      <c r="C41" s="29"/>
      <c r="D41" s="29"/>
      <c r="E41" s="29"/>
      <c r="F41" s="29"/>
      <c r="G41" s="46"/>
      <c r="H41" s="44"/>
      <c r="I41" s="42"/>
      <c r="J41" s="42"/>
    </row>
    <row r="42" spans="1:10">
      <c r="A42" s="20"/>
      <c r="B42" s="43" t="s">
        <v>63</v>
      </c>
      <c r="C42" s="25"/>
      <c r="D42" s="25"/>
      <c r="E42" s="25"/>
      <c r="F42" s="25"/>
      <c r="G42" s="46">
        <f>SUM((C42+C43+E42+E43)*1)</f>
        <v>0</v>
      </c>
      <c r="H42" s="43" t="s">
        <v>57</v>
      </c>
      <c r="I42" s="42"/>
      <c r="J42" s="42"/>
    </row>
    <row r="43" spans="1:10">
      <c r="A43" s="22"/>
      <c r="B43" s="44"/>
      <c r="C43" s="29"/>
      <c r="D43" s="29"/>
      <c r="E43" s="29"/>
      <c r="F43" s="29"/>
      <c r="G43" s="46"/>
      <c r="H43" s="44"/>
      <c r="I43" s="42"/>
      <c r="J43" s="42"/>
    </row>
    <row r="44" spans="1:10">
      <c r="A44" s="20"/>
      <c r="B44" s="47" t="s">
        <v>64</v>
      </c>
      <c r="C44" s="25"/>
      <c r="D44" s="25"/>
      <c r="E44" s="25"/>
      <c r="F44" s="25"/>
      <c r="G44" s="46">
        <f>SUM((C44+C45+E44+E45)*1)</f>
        <v>0</v>
      </c>
      <c r="H44" s="43" t="s">
        <v>60</v>
      </c>
      <c r="I44" s="42"/>
      <c r="J44" s="42"/>
    </row>
    <row r="45" spans="1:10">
      <c r="A45" s="22"/>
      <c r="B45" s="47"/>
      <c r="C45" s="29"/>
      <c r="D45" s="29"/>
      <c r="E45" s="29"/>
      <c r="F45" s="29"/>
      <c r="G45" s="46"/>
      <c r="H45" s="44"/>
      <c r="I45" s="42"/>
      <c r="J45" s="42"/>
    </row>
    <row r="46" spans="1:10">
      <c r="A46" s="20"/>
      <c r="B46" s="47"/>
      <c r="C46" s="25"/>
      <c r="D46" s="25"/>
      <c r="E46" s="25"/>
      <c r="F46" s="25"/>
      <c r="G46" s="46">
        <f>SUM((C46+C47+E46+E47)*50)</f>
        <v>0</v>
      </c>
      <c r="H46" s="43" t="s">
        <v>65</v>
      </c>
      <c r="I46" s="42">
        <v>0</v>
      </c>
      <c r="J46" s="42">
        <v>0</v>
      </c>
    </row>
    <row r="47" spans="1:10">
      <c r="A47" s="22"/>
      <c r="B47" s="47"/>
      <c r="C47" s="29"/>
      <c r="D47" s="29"/>
      <c r="E47" s="29"/>
      <c r="F47" s="29"/>
      <c r="G47" s="46"/>
      <c r="H47" s="44"/>
      <c r="I47" s="42"/>
      <c r="J47" s="42"/>
    </row>
    <row r="48" spans="1:10">
      <c r="A48" s="20"/>
      <c r="B48" s="47"/>
      <c r="C48" s="25"/>
      <c r="D48" s="25"/>
      <c r="E48" s="25"/>
      <c r="F48" s="25"/>
      <c r="G48" s="46" t="e">
        <f>SUM((C48+C49+E48+E49)*50)</f>
        <v>#VALUE!</v>
      </c>
      <c r="H48" s="43" t="s">
        <v>66</v>
      </c>
      <c r="I48" s="42" t="s">
        <v>67</v>
      </c>
      <c r="J48" s="42">
        <v>0</v>
      </c>
    </row>
    <row r="49" spans="1:10">
      <c r="A49" s="22"/>
      <c r="B49" s="47"/>
      <c r="C49" s="29"/>
      <c r="D49" s="29"/>
      <c r="E49" s="29"/>
      <c r="F49" s="29"/>
      <c r="G49" s="46"/>
      <c r="H49" s="44"/>
      <c r="I49" s="42"/>
      <c r="J49" s="42"/>
    </row>
    <row r="50" spans="1:10">
      <c r="A50" s="20"/>
      <c r="B50" s="83"/>
      <c r="C50" s="25"/>
      <c r="D50" s="25"/>
      <c r="E50" s="25"/>
      <c r="F50" s="25"/>
      <c r="G50" s="46">
        <f>SUM((C50+C51+E50+E51)*50)</f>
        <v>0</v>
      </c>
      <c r="H50" s="49" t="s">
        <v>68</v>
      </c>
      <c r="I50" s="42">
        <v>0</v>
      </c>
      <c r="J50" s="42">
        <v>0</v>
      </c>
    </row>
    <row r="51" spans="1:10">
      <c r="A51" s="22"/>
      <c r="B51" s="84"/>
      <c r="C51" s="29"/>
      <c r="D51" s="29"/>
      <c r="E51" s="29"/>
      <c r="F51" s="29"/>
      <c r="G51" s="46"/>
      <c r="H51" s="50"/>
      <c r="I51" s="42"/>
      <c r="J51" s="42"/>
    </row>
    <row r="52" spans="1:10">
      <c r="A52" s="20"/>
      <c r="B52" s="83"/>
      <c r="C52" s="25"/>
      <c r="D52" s="25"/>
      <c r="E52" s="25"/>
      <c r="F52" s="25"/>
      <c r="G52" s="46">
        <f>SUM((C52+C53+E52+E53)*50)</f>
        <v>0</v>
      </c>
      <c r="H52" s="49" t="s">
        <v>69</v>
      </c>
      <c r="I52" s="101">
        <v>0</v>
      </c>
      <c r="J52" s="42">
        <v>0</v>
      </c>
    </row>
    <row r="53" spans="1:10">
      <c r="A53" s="22"/>
      <c r="B53" s="84"/>
      <c r="C53" s="29"/>
      <c r="D53" s="29"/>
      <c r="E53" s="29"/>
      <c r="F53" s="29"/>
      <c r="G53" s="46"/>
      <c r="H53" s="50"/>
      <c r="I53" s="101"/>
      <c r="J53" s="42"/>
    </row>
    <row r="54" spans="1:10">
      <c r="A54" s="20"/>
      <c r="B54" s="83"/>
      <c r="C54" s="25"/>
      <c r="D54" s="25"/>
      <c r="E54" s="25"/>
      <c r="F54" s="25"/>
      <c r="G54" s="46">
        <f>SUM((C54+C55+E54+E55)*50)</f>
        <v>0</v>
      </c>
      <c r="H54" s="49"/>
      <c r="I54" s="42"/>
      <c r="J54" s="42"/>
    </row>
    <row r="55" spans="1:10">
      <c r="A55" s="22"/>
      <c r="B55" s="84"/>
      <c r="C55" s="29"/>
      <c r="D55" s="29"/>
      <c r="E55" s="29"/>
      <c r="F55" s="29"/>
      <c r="G55" s="46"/>
      <c r="H55" s="50"/>
      <c r="I55" s="42"/>
      <c r="J55" s="42"/>
    </row>
    <row r="56" spans="1:10">
      <c r="A56" s="20"/>
      <c r="B56" s="83"/>
      <c r="C56" s="25"/>
      <c r="D56" s="25"/>
      <c r="E56" s="25"/>
      <c r="F56" s="25"/>
      <c r="G56" s="46">
        <f>SUM((C56+C57+E56+E57)*50)</f>
        <v>0</v>
      </c>
      <c r="H56" s="45"/>
      <c r="I56" s="42"/>
      <c r="J56" s="42"/>
    </row>
    <row r="57" spans="1:10">
      <c r="A57" s="22"/>
      <c r="B57" s="84"/>
      <c r="C57" s="29"/>
      <c r="D57" s="29"/>
      <c r="E57" s="29"/>
      <c r="F57" s="29"/>
      <c r="G57" s="46"/>
      <c r="H57" s="45"/>
      <c r="I57" s="42"/>
      <c r="J57" s="42"/>
    </row>
    <row r="58" spans="1:10">
      <c r="A58" s="20"/>
      <c r="B58" s="83"/>
      <c r="C58" s="25">
        <v>0</v>
      </c>
      <c r="D58" s="25"/>
      <c r="E58" s="25"/>
      <c r="F58" s="25"/>
      <c r="G58" s="46">
        <v>0</v>
      </c>
      <c r="H58" s="48"/>
      <c r="I58" s="101"/>
      <c r="J58" s="42"/>
    </row>
    <row r="59" spans="1:10" customHeight="1" ht="15.75">
      <c r="A59" s="22"/>
      <c r="B59" s="84"/>
      <c r="C59" s="29"/>
      <c r="D59" s="29"/>
      <c r="E59" s="29"/>
      <c r="F59" s="29"/>
      <c r="G59" s="46"/>
      <c r="H59" s="48"/>
      <c r="I59" s="101"/>
      <c r="J59" s="42"/>
    </row>
    <row r="60" spans="1:10" customHeight="1" ht="21">
      <c r="A60" s="24" t="s">
        <v>70</v>
      </c>
      <c r="B60" s="23" t="e">
        <f>SUM(G10:G23,G34:G45)</f>
        <v>#VALUE!</v>
      </c>
      <c r="C60" s="26" t="s">
        <v>71</v>
      </c>
      <c r="D60" s="23">
        <f>(((C10+C11)*50)+((C12+C13)*50)+((C14+C15)*10)+((C18+C19)*2.5)+((C20+C21))+(((C22+C23)/2))+((C24+C25)*40)+((C26+C27)*50)+((C28+C29)*30)+((C30+C31)*50)+((C32+C33)*25)+(((C34+C35)/4)*50)+((C36+C37)*50)+((C38+C39)*25)+((C40+C41)*25)+(C42+C43)+((C16+C17)*50)+((C44+C45)*1))</f>
        <v>1500</v>
      </c>
      <c r="E60" s="23" t="s">
        <v>72</v>
      </c>
      <c r="F60" s="23" t="e">
        <f>(((E10+E11)*50)+((E12+E13)*50)+((E14+E15)*10)+((E18+E19)*2.5)+((E20+E21))+(((E22+E23)/2))+((E24+E25)*40)+((E26+E27)*50)+((E28+E29)*30)+((E30+E31)*50)+((E32+E33)*25)+(((E34+E35)/4)*50)+((E36+E37)*50)+((E38+E39)*25)+((E40+E41)*25)+(E42+E43)+((E16+E17)*50)+((E44+E45)*1))</f>
        <v>#VALUE!</v>
      </c>
      <c r="G60" s="27" t="s">
        <v>73</v>
      </c>
      <c r="H60" s="23" t="e">
        <f>SUM(G10:G59)</f>
        <v>#VALUE!</v>
      </c>
      <c r="I60" s="28"/>
    </row>
    <row r="61" spans="1:10" customHeight="1" ht="29.25">
      <c r="A61" s="95"/>
      <c r="B61" s="96"/>
      <c r="C61" s="97" t="s">
        <v>74</v>
      </c>
      <c r="D61" s="98"/>
      <c r="E61" s="99"/>
      <c r="F61" s="99"/>
      <c r="G61" s="99"/>
      <c r="H61" s="99"/>
      <c r="I61" s="100"/>
    </row>
    <row r="62" spans="1:10" customHeight="1" ht="90.75">
      <c r="A62" s="6"/>
      <c r="B62" s="8"/>
      <c r="C62" s="94">
        <v>1</v>
      </c>
      <c r="D62" s="85"/>
      <c r="E62" s="85">
        <v>2</v>
      </c>
      <c r="F62" s="86"/>
      <c r="G62" s="41" t="s">
        <v>75</v>
      </c>
      <c r="H62" s="35"/>
      <c r="I62" s="87"/>
    </row>
    <row r="63" spans="1:10" customHeight="1" ht="108.95">
      <c r="A63" s="11" t="s">
        <v>76</v>
      </c>
      <c r="B63" s="12" t="e">
        <f>B60/H60</f>
        <v>#VALUE!</v>
      </c>
      <c r="C63" s="88" t="s">
        <v>77</v>
      </c>
      <c r="D63" s="89"/>
      <c r="E63" s="89" t="s">
        <v>78</v>
      </c>
      <c r="F63" s="89"/>
      <c r="G63" s="40" t="s">
        <v>79</v>
      </c>
      <c r="H63" s="7"/>
      <c r="I63" s="87"/>
    </row>
    <row r="64" spans="1:10" customHeight="1" ht="119.1">
      <c r="A64" s="13" t="s">
        <v>80</v>
      </c>
      <c r="B64" s="14" t="e">
        <f>(SUM(G24)/H60)</f>
        <v>#VALUE!</v>
      </c>
      <c r="C64" s="90" t="s">
        <v>81</v>
      </c>
      <c r="D64" s="91"/>
      <c r="E64" s="91"/>
      <c r="F64" s="91"/>
      <c r="G64" s="5" t="s">
        <v>82</v>
      </c>
      <c r="H64" s="4" t="s">
        <v>83</v>
      </c>
      <c r="I64" s="87"/>
    </row>
    <row r="65" spans="1:10" customHeight="1" ht="45.95">
      <c r="A65" s="34" t="s">
        <v>84</v>
      </c>
      <c r="B65" s="14" t="e">
        <f>(SUM(G28)/H60)</f>
        <v>#VALUE!</v>
      </c>
      <c r="C65" s="90" t="s">
        <v>85</v>
      </c>
      <c r="D65" s="91"/>
      <c r="E65" s="91"/>
      <c r="F65" s="91"/>
      <c r="G65" s="3" t="s">
        <v>86</v>
      </c>
      <c r="H65" s="4" t="s">
        <v>83</v>
      </c>
      <c r="I65" s="87"/>
    </row>
    <row r="66" spans="1:10" customHeight="1" ht="47.25">
      <c r="A66" s="13" t="s">
        <v>87</v>
      </c>
      <c r="B66" s="14" t="e">
        <f>(SUM(G26)/H60)</f>
        <v>#VALUE!</v>
      </c>
      <c r="C66" s="90"/>
      <c r="D66" s="91"/>
      <c r="E66" s="91"/>
      <c r="F66" s="91"/>
      <c r="G66" s="38" t="s">
        <v>88</v>
      </c>
      <c r="H66" s="4"/>
      <c r="I66" s="87"/>
    </row>
    <row r="67" spans="1:10" customHeight="1" ht="45.75">
      <c r="A67" s="36" t="s">
        <v>89</v>
      </c>
      <c r="B67" s="37" t="e">
        <f>(SUM(G32)/H60)</f>
        <v>#VALUE!</v>
      </c>
      <c r="C67" s="92" t="s">
        <v>90</v>
      </c>
      <c r="D67" s="93"/>
      <c r="E67" s="93"/>
      <c r="F67" s="93"/>
      <c r="G67" s="38"/>
      <c r="H67" s="39"/>
      <c r="I67" s="87"/>
    </row>
    <row r="68" spans="1:10" customHeight="1" ht="21">
      <c r="A68" s="103" t="s">
        <v>91</v>
      </c>
      <c r="B68" s="104"/>
      <c r="C68" s="105"/>
      <c r="D68" s="105"/>
      <c r="E68" s="105"/>
      <c r="F68" s="105"/>
      <c r="G68" s="105"/>
      <c r="H68" s="105"/>
      <c r="I68" s="106"/>
    </row>
    <row r="69" spans="1:10" customHeight="1" ht="43.5">
      <c r="A69" s="107"/>
      <c r="B69" s="108"/>
      <c r="C69" s="108"/>
      <c r="D69" s="108"/>
      <c r="E69" s="108"/>
      <c r="F69" s="108"/>
      <c r="G69" s="108"/>
      <c r="H69" s="108"/>
      <c r="I69" s="109"/>
    </row>
  </sheetData>
  <mergeCells>
    <mergeCell ref="A68:I68"/>
    <mergeCell ref="A69:I69"/>
    <mergeCell ref="I22:I23"/>
    <mergeCell ref="I24:I25"/>
    <mergeCell ref="I26:I27"/>
    <mergeCell ref="I28:I29"/>
    <mergeCell ref="G52:G53"/>
    <mergeCell ref="G44:G45"/>
    <mergeCell ref="H44:H45"/>
    <mergeCell ref="G46:G47"/>
    <mergeCell ref="H46:H47"/>
    <mergeCell ref="I52:I53"/>
    <mergeCell ref="I46:I47"/>
    <mergeCell ref="I48:I49"/>
    <mergeCell ref="H50:H51"/>
    <mergeCell ref="H52:H53"/>
    <mergeCell ref="I44:I45"/>
    <mergeCell ref="I32:I33"/>
    <mergeCell ref="I34:I35"/>
    <mergeCell ref="I36:I37"/>
    <mergeCell ref="I40:I41"/>
    <mergeCell ref="H30:H31"/>
    <mergeCell ref="H32:H33"/>
    <mergeCell ref="G34:G35"/>
    <mergeCell ref="G36:G37"/>
    <mergeCell ref="H36:H37"/>
    <mergeCell ref="G40:G41"/>
    <mergeCell ref="G42:G43"/>
    <mergeCell ref="I38:I39"/>
    <mergeCell ref="H42:H43"/>
    <mergeCell ref="B24:B25"/>
    <mergeCell ref="B36:B37"/>
    <mergeCell ref="B38:B39"/>
    <mergeCell ref="B40:B41"/>
    <mergeCell ref="H40:H41"/>
    <mergeCell ref="G38:G39"/>
    <mergeCell ref="B42:B43"/>
    <mergeCell ref="A61:B61"/>
    <mergeCell ref="C61:D61"/>
    <mergeCell ref="E61:I61"/>
    <mergeCell ref="B54:B55"/>
    <mergeCell ref="G54:G55"/>
    <mergeCell ref="B56:B57"/>
    <mergeCell ref="G56:G57"/>
    <mergeCell ref="B58:B59"/>
    <mergeCell ref="G58:G59"/>
    <mergeCell ref="H56:H57"/>
    <mergeCell ref="H58:H59"/>
    <mergeCell ref="I54:I55"/>
    <mergeCell ref="I56:I57"/>
    <mergeCell ref="I58:I59"/>
    <mergeCell ref="H54:H55"/>
    <mergeCell ref="I50:I51"/>
    <mergeCell ref="G48:G49"/>
    <mergeCell ref="I42:I43"/>
    <mergeCell ref="H38:H39"/>
    <mergeCell ref="E62:F62"/>
    <mergeCell ref="I62:I67"/>
    <mergeCell ref="C63:D63"/>
    <mergeCell ref="E63:F63"/>
    <mergeCell ref="C64:D64"/>
    <mergeCell ref="E64:F64"/>
    <mergeCell ref="C67:D67"/>
    <mergeCell ref="E67:F67"/>
    <mergeCell ref="E66:F66"/>
    <mergeCell ref="C62:D62"/>
    <mergeCell ref="C65:D65"/>
    <mergeCell ref="E65:F65"/>
    <mergeCell ref="C66:D66"/>
    <mergeCell ref="G50:G51"/>
    <mergeCell ref="B48:B49"/>
    <mergeCell ref="B50:B51"/>
    <mergeCell ref="B52:B53"/>
    <mergeCell ref="B14:B15"/>
    <mergeCell ref="G14:G15"/>
    <mergeCell ref="H14:H15"/>
    <mergeCell ref="G30:G31"/>
    <mergeCell ref="B34:B35"/>
    <mergeCell ref="B30:B31"/>
    <mergeCell ref="B26:B27"/>
    <mergeCell ref="B22:B23"/>
    <mergeCell ref="B18:B19"/>
    <mergeCell ref="B32:B33"/>
    <mergeCell ref="G32:G33"/>
    <mergeCell ref="G26:G27"/>
    <mergeCell ref="H26:H27"/>
    <mergeCell ref="B28:B29"/>
    <mergeCell ref="G28:G29"/>
    <mergeCell ref="H28:H29"/>
    <mergeCell ref="G22:G23"/>
    <mergeCell ref="B44:B45"/>
    <mergeCell ref="B46:B47"/>
    <mergeCell ref="H18:H19"/>
    <mergeCell ref="H48:H49"/>
    <mergeCell ref="A1:C8"/>
    <mergeCell ref="D1:G1"/>
    <mergeCell ref="H1:I1"/>
    <mergeCell ref="H2:I3"/>
    <mergeCell ref="H4:I4"/>
    <mergeCell ref="G7:I7"/>
    <mergeCell ref="B10:B11"/>
    <mergeCell ref="G10:G11"/>
    <mergeCell ref="H10:H11"/>
    <mergeCell ref="I10:I11"/>
    <mergeCell ref="F8:G8"/>
    <mergeCell ref="H8:I8"/>
    <mergeCell ref="E2:F5"/>
    <mergeCell ref="B12:B13"/>
    <mergeCell ref="G12:G13"/>
    <mergeCell ref="H12:H13"/>
    <mergeCell ref="I30:I31"/>
    <mergeCell ref="I12:I13"/>
    <mergeCell ref="B16:B17"/>
    <mergeCell ref="B20:B21"/>
    <mergeCell ref="J10:J11"/>
    <mergeCell ref="G18:G19"/>
    <mergeCell ref="J12:J13"/>
    <mergeCell ref="J14:J15"/>
    <mergeCell ref="J16:J17"/>
    <mergeCell ref="J18:J19"/>
    <mergeCell ref="G20:G21"/>
    <mergeCell ref="H20:H21"/>
    <mergeCell ref="G16:G17"/>
    <mergeCell ref="H16:H17"/>
    <mergeCell ref="I18:I19"/>
    <mergeCell ref="I20:I21"/>
    <mergeCell ref="I14:I15"/>
    <mergeCell ref="I16:I17"/>
    <mergeCell ref="G24:G25"/>
    <mergeCell ref="H24:H25"/>
    <mergeCell ref="J20:J21"/>
    <mergeCell ref="J56:J57"/>
    <mergeCell ref="J58:J59"/>
    <mergeCell ref="J38:J39"/>
    <mergeCell ref="J40:J41"/>
    <mergeCell ref="J42:J43"/>
    <mergeCell ref="J44:J45"/>
    <mergeCell ref="J46:J47"/>
    <mergeCell ref="J48:J49"/>
    <mergeCell ref="J50:J51"/>
    <mergeCell ref="J52:J53"/>
    <mergeCell ref="J54:J55"/>
    <mergeCell ref="J22:J23"/>
    <mergeCell ref="J24:J25"/>
    <mergeCell ref="H22:H23"/>
    <mergeCell ref="J26:J27"/>
    <mergeCell ref="J28:J29"/>
    <mergeCell ref="J30:J31"/>
    <mergeCell ref="J32:J33"/>
    <mergeCell ref="J34:J35"/>
    <mergeCell ref="J36:J37"/>
    <mergeCell ref="H34:H35"/>
  </mergeCells>
  <printOptions gridLines="false" gridLinesSet="true"/>
  <pageMargins left="0.7" right="0.7" top="0.75" bottom="0.75" header="0.3" footer="0.3"/>
  <pageSetup paperSize="3" orientation="landscape" scale="100" fitToHeight="1" fitToWidth="1" pageOrder="downThenOver" r:id="rId1ps"/>
  <drawing r:id="rId1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 - Desarrollador Junior ZC - Organización M</cp:lastModifiedBy>
  <dcterms:created xsi:type="dcterms:W3CDTF">2015-06-05T18:19:34+00:00</dcterms:created>
  <dcterms:modified xsi:type="dcterms:W3CDTF">2025-07-25T12:26:54+00:00</dcterms:modified>
  <dc:title/>
  <dc:description/>
  <dc:subject/>
  <cp:keywords/>
  <cp:category/>
</cp:coreProperties>
</file>