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<sst xmlns="http://schemas.openxmlformats.org/spreadsheetml/2006/main" uniqueCount="101">
  <si>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</si>
  <si>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</si>
  <si>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</si>
  <si>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17:16</t>
  </si>
  <si>
    <t>Hora Turno2</t>
  </si>
  <si>
    <t>07:00</t>
  </si>
  <si>
    <t>FECHA</t>
  </si>
  <si>
    <t>2025-11-14</t>
  </si>
  <si>
    <t>Responsable</t>
  </si>
  <si>
    <t>Jorge Lara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</si>
  <si>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</si>
  <si>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</si>
  <si>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</si>
  <si>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</si>
  <si>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</si>
  <si>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</si>
  <si>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</si>
  <si>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</si>
  <si>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</si>
  <si>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</si>
  <si>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141125P</t>
  </si>
  <si>
    <t>EMPAQUE EXTRA PAN  (60X100) X50</t>
  </si>
  <si>
    <t>MP-02119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</si>
  <si>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</si>
  <si>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</si>
  <si>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</si>
  <si>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</si>
  <si>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</si>
  <si>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</si>
  <si>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</si>
  <si>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</si>
  <si>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101125P</t>
  </si>
  <si>
    <t>LAMINA NARIÑO (CUARTO) 2500GR</t>
  </si>
  <si>
    <t>MP-02110</t>
  </si>
  <si>
    <t>HARINA DE TRIGO NARIÑO X1000GR</t>
  </si>
  <si>
    <t>111125P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</si>
  <si>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</si>
  <si>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</si>
  <si>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</si>
  <si>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</si>
  <si>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</si>
  <si>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</si>
  <si>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</si>
  <si>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</si>
  <si>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>MP-02058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</si>
  <si>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</si>
  <si>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</si>
  <si>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</si>
  <si>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</si>
  <si>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</si>
  <si>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</si>
  <si>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</si>
  <si>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</si>
  <si>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</si>
  <si>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</si>
  <si>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</si>
  <si>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</si>
  <si>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</si>
  <si>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</si>
  <si>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</si>
  <si>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</si>
  <si>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</si>
  <si>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</si>
  <si>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</si>
  <si>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</si>
  <si>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</si>
  <si>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</si>
  <si>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</si>
  <si>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</si>
  <si>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</si>
  <si>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</si>
  <si>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</si>
  <si>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</si>
  <si>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</si>
  <si>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</si>
  <si>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</si>
  <si>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</si>
  <si>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</si>
  <si>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</si>
  <si>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</si>
  <si>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</si>
  <si>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</si>
  <si>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Javier Acosta</t>
  </si>
  <si>
    <t>Jhon Popayan</t>
  </si>
  <si>
    <t>ENCARGADO TURNO 2</t>
  </si>
  <si>
    <t>EXT. MOGOLLA</t>
  </si>
  <si>
    <t>Carlos Carosama</t>
  </si>
  <si>
    <t>Erain Chachinoy</t>
  </si>
  <si>
    <t>ALMACENISTA 1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</si>
  <si>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</si>
  <si>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</si>
  <si>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</si>
  <si>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</si>
  <si>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</si>
  <si>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</si>
  <si>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</si>
  <si>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</si>
  <si>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</si>
  <si>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>Robin tonguino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</si>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</sst>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7bb4e8b52ce76713c3461caaf4a34d3.png"/><Relationship Id="rId2" Type="http://schemas.openxmlformats.org/officeDocument/2006/relationships/image" Target="../media/f43ee3a52061d08b8856fef26f3fd1a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10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420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210</v>
      </c>
      <c r="D20" s="25" t="s">
        <v>35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700</v>
      </c>
      <c r="D22" s="25" t="s">
        <v>39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205</v>
      </c>
      <c r="F24" s="25" t="s">
        <v>39</v>
      </c>
      <c r="G24" s="50">
        <f>SUM((C24+C25+E24+E25)*40)</f>
        <v>8200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71</v>
      </c>
      <c r="F26" s="25" t="s">
        <v>39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407</v>
      </c>
      <c r="F28" s="25" t="s">
        <v>39</v>
      </c>
      <c r="G28" s="50">
        <f>SUM((C28+C29+E28+E29)*30)</f>
        <v>12210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>
        <v>35</v>
      </c>
      <c r="F32" s="25" t="s">
        <v>39</v>
      </c>
      <c r="G32" s="50" t="e">
        <f>SUM((C32+C33+E32+E33)*25)</f>
        <v>#VALUE!</v>
      </c>
      <c r="H32" s="56" t="s">
        <v>55</v>
      </c>
      <c r="I32" s="49">
        <v>0</v>
      </c>
      <c r="J32" s="49" t="s">
        <v>56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57</v>
      </c>
      <c r="C34" s="25"/>
      <c r="D34" s="25"/>
      <c r="E34" s="25"/>
      <c r="F34" s="25"/>
      <c r="G34" s="50" t="e">
        <f>SUM(((C34+C35+E34+E35)/4)*50)</f>
        <v>#VALUE!</v>
      </c>
      <c r="H34" s="67" t="s">
        <v>58</v>
      </c>
      <c r="I34" s="49" t="s">
        <v>59</v>
      </c>
      <c r="J34" s="49" t="s">
        <v>59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60</v>
      </c>
      <c r="C36" s="25"/>
      <c r="D36" s="25"/>
      <c r="E36" s="25"/>
      <c r="F36" s="25"/>
      <c r="G36" s="50" t="e">
        <f>SUM((C36+C37+E36+E37)*50)</f>
        <v>#VALUE!</v>
      </c>
      <c r="H36" s="51" t="s">
        <v>61</v>
      </c>
      <c r="I36" s="49" t="s">
        <v>62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63</v>
      </c>
      <c r="C38" s="25"/>
      <c r="D38" s="25"/>
      <c r="E38" s="25"/>
      <c r="F38" s="25"/>
      <c r="G38" s="50" t="e">
        <f>SUM((C38+C39+E38+E39)*25)</f>
        <v>#VALUE!</v>
      </c>
      <c r="H38" s="51" t="s">
        <v>64</v>
      </c>
      <c r="I38" s="49">
        <v>0</v>
      </c>
      <c r="J38" s="49" t="s">
        <v>65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66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67</v>
      </c>
      <c r="C42" s="25"/>
      <c r="D42" s="25"/>
      <c r="E42" s="25"/>
      <c r="F42" s="25"/>
      <c r="G42" s="50">
        <f>SUM((C42+C43+E42+E43)*1)</f>
        <v>0</v>
      </c>
      <c r="H42" s="51" t="s">
        <v>61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68</v>
      </c>
      <c r="C44" s="25"/>
      <c r="D44" s="25"/>
      <c r="E44" s="25"/>
      <c r="F44" s="25"/>
      <c r="G44" s="50">
        <f>SUM((C44+C45+E44+E45)*1)</f>
        <v>0</v>
      </c>
      <c r="H44" s="51" t="s">
        <v>64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69</v>
      </c>
      <c r="I46" s="49">
        <v>0</v>
      </c>
      <c r="J46" s="49" t="s">
        <v>70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71</v>
      </c>
      <c r="I48" s="49" t="s">
        <v>72</v>
      </c>
      <c r="J48" s="49" t="s">
        <v>72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73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74</v>
      </c>
      <c r="I52" s="53">
        <v>0</v>
      </c>
      <c r="J52" s="49" t="s">
        <v>39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1610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82</v>
      </c>
      <c r="D63" s="72"/>
      <c r="E63" s="72" t="s">
        <v>83</v>
      </c>
      <c r="F63" s="72"/>
      <c r="G63" s="40" t="s">
        <v>84</v>
      </c>
      <c r="H63" s="7"/>
      <c r="I63" s="70"/>
    </row>
    <row r="64" spans="1:10" customHeight="1" ht="119.1">
      <c r="A64" s="13" t="s">
        <v>85</v>
      </c>
      <c r="B64" s="14" t="e">
        <f>(SUM(G24)/H60)</f>
        <v>#VALUE!</v>
      </c>
      <c r="C64" s="73" t="s">
        <v>86</v>
      </c>
      <c r="D64" s="74"/>
      <c r="E64" s="74" t="s">
        <v>87</v>
      </c>
      <c r="F64" s="74"/>
      <c r="G64" s="5" t="s">
        <v>88</v>
      </c>
      <c r="H64" s="4" t="s">
        <v>9</v>
      </c>
      <c r="I64" s="70"/>
    </row>
    <row r="65" spans="1:10" customHeight="1" ht="45.95">
      <c r="A65" s="34" t="s">
        <v>89</v>
      </c>
      <c r="B65" s="14" t="e">
        <f>(SUM(G28)/H60)</f>
        <v>#VALUE!</v>
      </c>
      <c r="C65" s="73" t="s">
        <v>90</v>
      </c>
      <c r="D65" s="74"/>
      <c r="E65" s="74" t="s">
        <v>91</v>
      </c>
      <c r="F65" s="74"/>
      <c r="G65" s="3" t="s">
        <v>92</v>
      </c>
      <c r="H65" s="4" t="s">
        <v>9</v>
      </c>
      <c r="I65" s="70"/>
    </row>
    <row r="66" spans="1:10" customHeight="1" ht="47.25">
      <c r="A66" s="13" t="s">
        <v>93</v>
      </c>
      <c r="B66" s="14" t="e">
        <f>(SUM(G26)/H60)</f>
        <v>#VALUE!</v>
      </c>
      <c r="C66" s="73" t="s">
        <v>94</v>
      </c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