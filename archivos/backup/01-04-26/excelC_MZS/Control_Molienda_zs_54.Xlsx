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<sst xmlns="http://schemas.openxmlformats.org/spreadsheetml/2006/main" uniqueCount="100">
  <si>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</si>
  <si>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</si>
  <si>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</si>
  <si>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</si>
  <si>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</si>
  <si>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</si>
  <si>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</si>
  <si>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2026-02-25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</si>
  <si>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</si>
  <si>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</si>
  <si>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</si>
  <si>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</si>
  <si>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</si>
  <si>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</si>
  <si>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</si>
  <si>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</si>
  <si>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</si>
  <si>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</si>
  <si>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</si>
  <si>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</si>
  <si>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250226P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</si>
  <si>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</si>
  <si>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</si>
  <si>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</si>
  <si>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</si>
  <si>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</si>
  <si>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</si>
  <si>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</si>
  <si>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</si>
  <si>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(130)MP-02171. (1140)MP-02233</t>
  </si>
  <si>
    <t>HARINA DE TRIGO NARIÑO X2500GR</t>
  </si>
  <si>
    <t>180226P</t>
  </si>
  <si>
    <t>LAMINA NARIÑO (CUARTO) 2500GR</t>
  </si>
  <si>
    <t>MP-02211</t>
  </si>
  <si>
    <t>HARINA DE TRIGO NARIÑO X1000GR</t>
  </si>
  <si>
    <t>200226P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</si>
  <si>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</si>
  <si>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</si>
  <si>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</si>
  <si>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</si>
  <si>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</si>
  <si>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</si>
  <si>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020226P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</si>
  <si>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</si>
  <si>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</si>
  <si>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</si>
  <si>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</si>
  <si>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</si>
  <si>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</si>
  <si>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</si>
  <si>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</si>
  <si>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</si>
  <si>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</si>
  <si>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</si>
  <si>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</si>
  <si>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</si>
  <si>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</si>
  <si>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</si>
  <si>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</si>
  <si>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</si>
  <si>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</si>
  <si>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</si>
  <si>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</si>
  <si>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</si>
  <si>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</si>
  <si>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</si>
  <si>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</si>
  <si>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</si>
  <si>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</si>
  <si>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</si>
  <si>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</si>
  <si>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</si>
  <si>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090226P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</si>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</sst>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27a024bfbd186c833e48bb38530e0d8.png"/><Relationship Id="rId2" Type="http://schemas.openxmlformats.org/officeDocument/2006/relationships/image" Target="../media/69bedd7f1e0107ee46908f61313ba577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54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100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>
        <v>207</v>
      </c>
      <c r="D19" s="29" t="s">
        <v>20</v>
      </c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168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1270</v>
      </c>
      <c r="D22" s="25" t="s">
        <v>35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280</v>
      </c>
      <c r="F24" s="25" t="s">
        <v>42</v>
      </c>
      <c r="G24" s="46">
        <f>SUM((C24+C25+E24+E25)*40)</f>
        <v>11200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65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450</v>
      </c>
      <c r="F28" s="25" t="s">
        <v>42</v>
      </c>
      <c r="G28" s="46">
        <f>SUM((C28+C29+E28+E29)*30)</f>
        <v>13500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>
        <v>0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53</v>
      </c>
      <c r="C32" s="25"/>
      <c r="D32" s="25"/>
      <c r="E32" s="25"/>
      <c r="F32" s="25"/>
      <c r="G32" s="46" t="e">
        <f>SUM((C32+C33+E32+E33)*25)</f>
        <v>#VALUE!</v>
      </c>
      <c r="H32" s="48" t="s">
        <v>54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55</v>
      </c>
      <c r="C34" s="25"/>
      <c r="D34" s="25"/>
      <c r="E34" s="25"/>
      <c r="F34" s="25"/>
      <c r="G34" s="46" t="e">
        <f>SUM(((C34+C35+E34+E35)/4)*50)</f>
        <v>#VALUE!</v>
      </c>
      <c r="H34" s="45" t="s">
        <v>56</v>
      </c>
      <c r="I34" s="42" t="s">
        <v>57</v>
      </c>
      <c r="J34" s="42" t="s">
        <v>57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58</v>
      </c>
      <c r="C36" s="25"/>
      <c r="D36" s="25"/>
      <c r="E36" s="25"/>
      <c r="F36" s="25"/>
      <c r="G36" s="46" t="e">
        <f>SUM((C36+C37+E36+E37)*50)</f>
        <v>#VALUE!</v>
      </c>
      <c r="H36" s="43" t="s">
        <v>59</v>
      </c>
      <c r="I36" s="42" t="s">
        <v>60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61</v>
      </c>
      <c r="C38" s="25"/>
      <c r="D38" s="25"/>
      <c r="E38" s="25"/>
      <c r="F38" s="25"/>
      <c r="G38" s="46" t="e">
        <f>SUM((C38+C39+E38+E39)*25)</f>
        <v>#VALUE!</v>
      </c>
      <c r="H38" s="43" t="s">
        <v>62</v>
      </c>
      <c r="I38" s="42" t="s">
        <v>63</v>
      </c>
      <c r="J38" s="42" t="s">
        <v>63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64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65</v>
      </c>
      <c r="C42" s="25"/>
      <c r="D42" s="25"/>
      <c r="E42" s="25"/>
      <c r="F42" s="25"/>
      <c r="G42" s="46">
        <f>SUM((C42+C43+E42+E43)*1)</f>
        <v>0</v>
      </c>
      <c r="H42" s="43" t="s">
        <v>59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66</v>
      </c>
      <c r="C44" s="25"/>
      <c r="D44" s="25"/>
      <c r="E44" s="25"/>
      <c r="F44" s="25"/>
      <c r="G44" s="46">
        <f>SUM((C44+C45+E44+E45)*1)</f>
        <v>0</v>
      </c>
      <c r="H44" s="43" t="s">
        <v>62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67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68</v>
      </c>
      <c r="I48" s="42" t="s">
        <v>69</v>
      </c>
      <c r="J48" s="42" t="s">
        <v>69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70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71</v>
      </c>
      <c r="I52" s="101">
        <v>0</v>
      </c>
      <c r="J52" s="42" t="s">
        <v>72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1570.5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 t="e">
        <f>(SUM(G24)/H60)</f>
        <v>#VALUE!</v>
      </c>
      <c r="C64" s="90" t="s">
        <v>84</v>
      </c>
      <c r="D64" s="91"/>
      <c r="E64" s="91" t="s">
        <v>85</v>
      </c>
      <c r="F64" s="91"/>
      <c r="G64" s="5" t="s">
        <v>86</v>
      </c>
      <c r="H64" s="4" t="s">
        <v>87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87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 t="s">
        <v>93</v>
      </c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