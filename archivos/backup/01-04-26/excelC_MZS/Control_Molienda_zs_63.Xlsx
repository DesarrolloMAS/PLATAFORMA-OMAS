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<sst xmlns="http://schemas.openxmlformats.org/spreadsheetml/2006/main" uniqueCount="102">
  <si>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</si>
  <si>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</si>
  <si>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</si>
  <si>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17:10</t>
  </si>
  <si>
    <t>Hora Turno2</t>
  </si>
  <si>
    <t>07:43</t>
  </si>
  <si>
    <t>FECHA</t>
  </si>
  <si>
    <t>2026-03-13</t>
  </si>
  <si>
    <t>Responsable</t>
  </si>
  <si>
    <t>Jorge Lara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</si>
  <si>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</si>
  <si>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</si>
  <si>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</si>
  <si>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</si>
  <si>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</si>
  <si>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</si>
  <si>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</si>
  <si>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</si>
  <si>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</si>
  <si>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</si>
  <si>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130326P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</si>
  <si>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</si>
  <si>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</si>
  <si>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</si>
  <si>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</si>
  <si>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</si>
  <si>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</si>
  <si>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</si>
  <si>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</si>
  <si>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</si>
  <si>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</si>
  <si>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120326P</t>
  </si>
  <si>
    <t>LAMINA NARIÑO (CUARTO) 2500GR</t>
  </si>
  <si>
    <t>MP-02211</t>
  </si>
  <si>
    <t>HARINA DE TRIGO NARIÑO X1000GR</t>
  </si>
  <si>
    <t xml:space="preserve">LAMINA NARIÑO (KILO) </t>
  </si>
  <si>
    <t>MP-02212</t>
  </si>
  <si>
    <t>HARINA DE TRIGO NARIÑO X500GR</t>
  </si>
  <si>
    <t>090326P</t>
  </si>
  <si>
    <t>LAMINA NARIÑO (LIBRA)</t>
  </si>
  <si>
    <t>MP-02213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</si>
  <si>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</si>
  <si>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</si>
  <si>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</si>
  <si>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</si>
  <si>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</si>
  <si>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</si>
  <si>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</si>
  <si>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</si>
  <si>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</si>
  <si>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</si>
  <si>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</si>
  <si>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</si>
  <si>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</si>
  <si>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</si>
  <si>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050326P</t>
  </si>
  <si>
    <t>EMPAQUE GALERAS GALERAS MULTI BEIGE (50X80) X25</t>
  </si>
  <si>
    <t>MP-02120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</si>
  <si>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</si>
  <si>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</si>
  <si>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</si>
  <si>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</si>
  <si>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</si>
  <si>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</si>
  <si>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</si>
  <si>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</si>
  <si>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</si>
  <si>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</si>
  <si>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</si>
  <si>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</si>
  <si>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</si>
  <si>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</si>
  <si>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</si>
  <si>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</si>
  <si>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</si>
  <si>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</si>
  <si>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</si>
  <si>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</si>
  <si>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</si>
  <si>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</si>
  <si>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</si>
  <si>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</si>
  <si>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</si>
  <si>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Javier Acosta</t>
  </si>
  <si>
    <t>Moises Delgado</t>
  </si>
  <si>
    <t>ENCARGADO TURNO 2</t>
  </si>
  <si>
    <t>EXT. MOGOLLA</t>
  </si>
  <si>
    <t>Carlos Carosama</t>
  </si>
  <si>
    <t>Erain Chachinoy</t>
  </si>
  <si>
    <t>ALMACENISTA 1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</si>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</sst>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40de9bbdf30046d26d6540969300bb.png"/><Relationship Id="rId2" Type="http://schemas.openxmlformats.org/officeDocument/2006/relationships/image" Target="../media/762db352bb44a501c4f646c2adc5a63f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63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230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120</v>
      </c>
      <c r="D20" s="25" t="s">
        <v>20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700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>
        <v>300</v>
      </c>
      <c r="D23" s="29" t="s">
        <v>20</v>
      </c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210</v>
      </c>
      <c r="F24" s="25" t="s">
        <v>42</v>
      </c>
      <c r="G24" s="50">
        <f>SUM((C24+C25+E24+E25)*40)</f>
        <v>8400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46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435</v>
      </c>
      <c r="F28" s="25" t="s">
        <v>42</v>
      </c>
      <c r="G28" s="50">
        <f>SUM((C28+C29+E28+E29)*30)</f>
        <v>13050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>
        <v>15</v>
      </c>
      <c r="F32" s="25" t="s">
        <v>55</v>
      </c>
      <c r="G32" s="50" t="e">
        <f>SUM((C32+C33+E32+E33)*25)</f>
        <v>#VALUE!</v>
      </c>
      <c r="H32" s="56" t="s">
        <v>56</v>
      </c>
      <c r="I32" s="49">
        <v>0</v>
      </c>
      <c r="J32" s="49" t="s">
        <v>57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58</v>
      </c>
      <c r="C34" s="25"/>
      <c r="D34" s="25"/>
      <c r="E34" s="25"/>
      <c r="F34" s="25"/>
      <c r="G34" s="50" t="e">
        <f>SUM(((C34+C35+E34+E35)/4)*50)</f>
        <v>#VALUE!</v>
      </c>
      <c r="H34" s="67" t="s">
        <v>59</v>
      </c>
      <c r="I34" s="49" t="s">
        <v>60</v>
      </c>
      <c r="J34" s="49" t="s">
        <v>60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61</v>
      </c>
      <c r="C36" s="25"/>
      <c r="D36" s="25"/>
      <c r="E36" s="25"/>
      <c r="F36" s="25"/>
      <c r="G36" s="50" t="e">
        <f>SUM((C36+C37+E36+E37)*50)</f>
        <v>#VALUE!</v>
      </c>
      <c r="H36" s="51" t="s">
        <v>62</v>
      </c>
      <c r="I36" s="49" t="s">
        <v>63</v>
      </c>
      <c r="J36" s="49" t="s">
        <v>63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64</v>
      </c>
      <c r="C38" s="25"/>
      <c r="D38" s="25"/>
      <c r="E38" s="25"/>
      <c r="F38" s="25"/>
      <c r="G38" s="50" t="e">
        <f>SUM((C38+C39+E38+E39)*25)</f>
        <v>#VALUE!</v>
      </c>
      <c r="H38" s="51" t="s">
        <v>65</v>
      </c>
      <c r="I38" s="49" t="s">
        <v>66</v>
      </c>
      <c r="J38" s="49">
        <v>0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67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68</v>
      </c>
      <c r="C42" s="25"/>
      <c r="D42" s="25"/>
      <c r="E42" s="25"/>
      <c r="F42" s="25"/>
      <c r="G42" s="50">
        <f>SUM((C42+C43+E42+E43)*1)</f>
        <v>0</v>
      </c>
      <c r="H42" s="51" t="s">
        <v>62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69</v>
      </c>
      <c r="C44" s="25"/>
      <c r="D44" s="25"/>
      <c r="E44" s="25"/>
      <c r="F44" s="25"/>
      <c r="G44" s="50">
        <f>SUM((C44+C45+E44+E45)*1)</f>
        <v>0</v>
      </c>
      <c r="H44" s="51" t="s">
        <v>65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70</v>
      </c>
      <c r="I46" s="49">
        <v>0</v>
      </c>
      <c r="J46" s="49" t="s">
        <v>71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72</v>
      </c>
      <c r="I48" s="49" t="s">
        <v>73</v>
      </c>
      <c r="J48" s="49" t="s">
        <v>73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74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75</v>
      </c>
      <c r="I52" s="53">
        <v>0</v>
      </c>
      <c r="J52" s="49" t="s">
        <v>55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1195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80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81</v>
      </c>
      <c r="H62" s="35"/>
      <c r="I62" s="70"/>
    </row>
    <row r="63" spans="1:10" customHeight="1" ht="108.95">
      <c r="A63" s="11" t="s">
        <v>82</v>
      </c>
      <c r="B63" s="12" t="e">
        <f>B60/H60</f>
        <v>#VALUE!</v>
      </c>
      <c r="C63" s="71" t="s">
        <v>83</v>
      </c>
      <c r="D63" s="72"/>
      <c r="E63" s="72" t="s">
        <v>84</v>
      </c>
      <c r="F63" s="72"/>
      <c r="G63" s="40" t="s">
        <v>85</v>
      </c>
      <c r="H63" s="7"/>
      <c r="I63" s="70"/>
    </row>
    <row r="64" spans="1:10" customHeight="1" ht="119.1">
      <c r="A64" s="13" t="s">
        <v>86</v>
      </c>
      <c r="B64" s="14" t="e">
        <f>(SUM(G24)/H60)</f>
        <v>#VALUE!</v>
      </c>
      <c r="C64" s="73" t="s">
        <v>87</v>
      </c>
      <c r="D64" s="74"/>
      <c r="E64" s="74" t="s">
        <v>88</v>
      </c>
      <c r="F64" s="74"/>
      <c r="G64" s="5" t="s">
        <v>89</v>
      </c>
      <c r="H64" s="4" t="s">
        <v>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 t="s">
        <v>95</v>
      </c>
      <c r="D66" s="74"/>
      <c r="E66" s="74" t="s">
        <v>96</v>
      </c>
      <c r="F66" s="74"/>
      <c r="G66" s="38" t="s">
        <v>97</v>
      </c>
      <c r="H66" s="4"/>
      <c r="I66" s="70"/>
    </row>
    <row r="67" spans="1:10" customHeight="1" ht="45.75">
      <c r="A67" s="36" t="s">
        <v>98</v>
      </c>
      <c r="B67" s="37" t="e">
        <f>(SUM(G32)/H60)</f>
        <v>#VALUE!</v>
      </c>
      <c r="C67" s="75" t="s">
        <v>99</v>
      </c>
      <c r="D67" s="76"/>
      <c r="E67" s="76" t="s">
        <v>100</v>
      </c>
      <c r="F67" s="76"/>
      <c r="G67" s="38"/>
      <c r="H67" s="39"/>
      <c r="I67" s="70"/>
    </row>
    <row r="68" spans="1:10" customHeight="1" ht="21">
      <c r="A68" s="42" t="s">
        <v>101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