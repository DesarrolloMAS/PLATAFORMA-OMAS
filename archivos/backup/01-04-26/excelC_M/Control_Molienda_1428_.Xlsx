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<sst xmlns="http://schemas.openxmlformats.org/spreadsheetml/2006/main" uniqueCount="108">
  <si>
    <t>CONTROL DE MOLIENDA ZONA CENTRO</t>
  </si>
  <si>
    <t>MOLIENDA DE TRIGO Nº</t>
  </si>
  <si>
    <t>Hora Turno1</t>
  </si>
  <si>
    <t>14:00</t>
  </si>
  <si>
    <t>Hora Turno2</t>
  </si>
  <si>
    <t>06:00</t>
  </si>
  <si>
    <t>Hora Turno3</t>
  </si>
  <si>
    <t>FECHA</t>
  </si>
  <si>
    <t>2026-03-10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</si>
  <si>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</si>
  <si>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</si>
  <si>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</si>
  <si>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</si>
  <si>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</si>
  <si>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</si>
  <si>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</si>
  <si>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</si>
  <si>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</si>
  <si>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</si>
  <si>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</si>
  <si>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</si>
  <si>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</si>
  <si>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17102-10-20</t>
  </si>
  <si>
    <t>EXTRAPAN X50</t>
  </si>
  <si>
    <t>090326B1</t>
  </si>
  <si>
    <t>100326B</t>
  </si>
  <si>
    <t>EMPAQUE EXTRA PAN X50</t>
  </si>
  <si>
    <t>MP-02192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</si>
  <si>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</si>
  <si>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</si>
  <si>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</si>
  <si>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</si>
  <si>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</si>
  <si>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</si>
  <si>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</si>
  <si>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</si>
  <si>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MP-01990</t>
  </si>
  <si>
    <t>17102-40</t>
  </si>
  <si>
    <t>FUERTE X25</t>
  </si>
  <si>
    <t>110326B</t>
  </si>
  <si>
    <t>EMPAQUE GALERAS CAFÉ X50</t>
  </si>
  <si>
    <t>MP-01461</t>
  </si>
  <si>
    <t>EMPAQUE LETRA CAFE X25</t>
  </si>
  <si>
    <t>MP-01953</t>
  </si>
  <si>
    <t>17102-30</t>
  </si>
  <si>
    <t>NATURAL X50</t>
  </si>
  <si>
    <t>EMPAQUE GALERAS AZUL X50</t>
  </si>
  <si>
    <t>ESPECIAL X50</t>
  </si>
  <si>
    <t>EMPAQUE GALERAS NARANJA X25</t>
  </si>
  <si>
    <t>MP-02303</t>
  </si>
  <si>
    <t>ESPECIAL X25</t>
  </si>
  <si>
    <t>EMPAQUE GALERAS KRAFT X25</t>
  </si>
  <si>
    <t>17102-50</t>
  </si>
  <si>
    <t>EXCLUSIVA X50</t>
  </si>
  <si>
    <t>EMPAQUE MULTI BEIGE X25</t>
  </si>
  <si>
    <t>17102-60</t>
  </si>
  <si>
    <t>EXCLUSIVA X25</t>
  </si>
  <si>
    <t>DESARROLLO X1</t>
  </si>
  <si>
    <t>EMPAQUE GALERAS MOG X40</t>
  </si>
  <si>
    <t>MP-02289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</si>
  <si>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</si>
  <si>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</si>
  <si>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</si>
  <si>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</si>
  <si>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</si>
  <si>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</si>
  <si>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</si>
  <si>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</si>
  <si>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MP02243</t>
  </si>
  <si>
    <t>ARTESANAL X1</t>
  </si>
  <si>
    <t xml:space="preserve">MEJORANTE EXTRA PAN </t>
  </si>
  <si>
    <t>090326B-090326B1</t>
  </si>
  <si>
    <t xml:space="preserve">FUERTE EXPORTACIÓN </t>
  </si>
  <si>
    <t>MEJORANTE ARTESANAL</t>
  </si>
  <si>
    <t>HARINA T1 X 50</t>
  </si>
  <si>
    <t>HILO BLANCO</t>
  </si>
  <si>
    <t>17102-70</t>
  </si>
  <si>
    <t>SALVADO X25</t>
  </si>
  <si>
    <t>090326B</t>
  </si>
  <si>
    <t xml:space="preserve">HILO VERDE  </t>
  </si>
  <si>
    <t>MP-02234</t>
  </si>
  <si>
    <t>17102-80</t>
  </si>
  <si>
    <t>MOGOLLA X40</t>
  </si>
  <si>
    <t>HILO NARANJA</t>
  </si>
  <si>
    <t>MP-01747</t>
  </si>
  <si>
    <t>17102-90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</si>
  <si>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</si>
  <si>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</si>
  <si>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</si>
  <si>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</si>
  <si>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</si>
  <si>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</si>
  <si>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</si>
  <si>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</si>
  <si>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</si>
  <si>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Hernando</t>
  </si>
  <si>
    <t>ENCARGADO TURNO 2</t>
  </si>
  <si>
    <t>EXT. MOGOLLA</t>
  </si>
  <si>
    <t>Ferney</t>
  </si>
  <si>
    <t>ENCARGADO TURNO 3</t>
  </si>
  <si>
    <t>EXT. SALVADO x25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</si>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</sst>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233b3db84174202d288779b93fbcef2.png"/><Relationship Id="rId2" Type="http://schemas.openxmlformats.org/officeDocument/2006/relationships/image" Target="../media/a7317eef1234d082f33c35d43fa71a87.png"/><Relationship Id="rId3" Type="http://schemas.openxmlformats.org/officeDocument/2006/relationships/image" Target="../media/8ae8db9eb9e24f3c407d25fc94252eaf.png"/><Relationship Id="rId4" Type="http://schemas.openxmlformats.org/officeDocument/2006/relationships/image" Target="../media/acc7a20c94814c249a27fbd2584e5bb6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68592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907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1428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5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7</v>
      </c>
      <c r="I8" s="118" t="s">
        <v>8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9</v>
      </c>
      <c r="I9" s="124"/>
      <c r="J9" s="125" t="s">
        <v>10</v>
      </c>
      <c r="K9" s="126"/>
      <c r="M9" s="24"/>
    </row>
    <row r="10" spans="1:13" customHeight="1" ht="15">
      <c r="A10" s="44" t="s">
        <v>11</v>
      </c>
      <c r="B10" s="41" t="s">
        <v>12</v>
      </c>
      <c r="C10" s="43" t="s">
        <v>13</v>
      </c>
      <c r="D10" s="42" t="s">
        <v>14</v>
      </c>
      <c r="E10" s="2" t="s">
        <v>15</v>
      </c>
      <c r="F10" s="2" t="s">
        <v>14</v>
      </c>
      <c r="G10" s="2" t="s">
        <v>16</v>
      </c>
      <c r="H10" s="2" t="s">
        <v>14</v>
      </c>
      <c r="I10" s="2" t="s">
        <v>17</v>
      </c>
      <c r="J10" s="2" t="s">
        <v>18</v>
      </c>
      <c r="K10" s="10" t="s">
        <v>19</v>
      </c>
      <c r="L10" s="10" t="s">
        <v>20</v>
      </c>
      <c r="M10" s="10" t="s">
        <v>21</v>
      </c>
    </row>
    <row r="11" spans="1:13">
      <c r="A11" s="27" t="s">
        <v>22</v>
      </c>
      <c r="B11" s="120" t="s">
        <v>23</v>
      </c>
      <c r="C11" s="35">
        <v>360</v>
      </c>
      <c r="D11" s="39" t="s">
        <v>24</v>
      </c>
      <c r="E11" s="28">
        <v>625</v>
      </c>
      <c r="F11" s="19" t="s">
        <v>25</v>
      </c>
      <c r="G11" s="19"/>
      <c r="H11" s="19"/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>
        <v>52</v>
      </c>
      <c r="D12" t="s">
        <v>25</v>
      </c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29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30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31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32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33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34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35</v>
      </c>
      <c r="K19" s="64" t="s">
        <v>36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37</v>
      </c>
      <c r="B21" s="81" t="s">
        <v>38</v>
      </c>
      <c r="C21" s="34"/>
      <c r="D21" s="21"/>
      <c r="E21" s="21"/>
      <c r="F21" s="21"/>
      <c r="G21" s="21">
        <v>265</v>
      </c>
      <c r="H21" s="21" t="s">
        <v>39</v>
      </c>
      <c r="I21" s="70" t="e">
        <f>SUM((C21+C22+E21+E22+G21+G22)*25)</f>
        <v>#VALUE!</v>
      </c>
      <c r="J21" s="66" t="s">
        <v>40</v>
      </c>
      <c r="K21" s="64" t="s">
        <v>41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 t="s">
        <v>42</v>
      </c>
      <c r="K22" s="64" t="s">
        <v>43</v>
      </c>
      <c r="L22" s="64"/>
      <c r="M22" s="64"/>
    </row>
    <row r="23" spans="1:13">
      <c r="A23" s="27" t="s">
        <v>44</v>
      </c>
      <c r="B23" s="55" t="s">
        <v>45</v>
      </c>
      <c r="C23" s="34"/>
      <c r="D23" s="21"/>
      <c r="E23" s="21">
        <v>11</v>
      </c>
      <c r="F23" s="21" t="s">
        <v>39</v>
      </c>
      <c r="G23" s="21">
        <v>490</v>
      </c>
      <c r="H23" s="21" t="s">
        <v>39</v>
      </c>
      <c r="I23" s="70" t="e">
        <f>SUM((C23+C24+E23+E24+G23+G24)*50)</f>
        <v>#VALUE!</v>
      </c>
      <c r="J23" s="66" t="s">
        <v>46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48</v>
      </c>
      <c r="K25" s="64" t="s">
        <v>49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50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51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 t="s">
        <v>52</v>
      </c>
      <c r="B29" s="55" t="s">
        <v>53</v>
      </c>
      <c r="C29" s="34">
        <v>160</v>
      </c>
      <c r="D29" s="21" t="s">
        <v>25</v>
      </c>
      <c r="E29" s="21"/>
      <c r="F29" s="21"/>
      <c r="G29" s="21"/>
      <c r="H29" s="21"/>
      <c r="I29" s="70" t="e">
        <f>SUM((C29+C30+E29+E30+G29+G30)*50)</f>
        <v>#VALUE!</v>
      </c>
      <c r="J29" s="66" t="s">
        <v>54</v>
      </c>
      <c r="K29" s="64">
        <v>0</v>
      </c>
      <c r="L29" s="64"/>
      <c r="M29" s="64"/>
    </row>
    <row r="30" spans="1:13">
      <c r="A30" s="31" t="s">
        <v>55</v>
      </c>
      <c r="B30" s="56" t="s">
        <v>56</v>
      </c>
      <c r="C30" s="40">
        <v>99</v>
      </c>
      <c r="D30" s="20" t="s">
        <v>25</v>
      </c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57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58</v>
      </c>
      <c r="K31" s="64" t="s">
        <v>59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60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61</v>
      </c>
      <c r="K33" s="64" t="s">
        <v>62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63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64</v>
      </c>
      <c r="K35" s="64" t="s">
        <v>65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66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67</v>
      </c>
      <c r="K37" s="64" t="s">
        <v>68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69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70</v>
      </c>
      <c r="K39" s="64" t="s">
        <v>71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72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73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74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75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76</v>
      </c>
      <c r="B45" s="71" t="s">
        <v>77</v>
      </c>
      <c r="C45" s="34">
        <v>60</v>
      </c>
      <c r="D45" s="21" t="s">
        <v>78</v>
      </c>
      <c r="E45" s="21">
        <v>76</v>
      </c>
      <c r="F45" s="21" t="s">
        <v>78</v>
      </c>
      <c r="G45" s="21">
        <v>58</v>
      </c>
      <c r="H45" s="21" t="s">
        <v>78</v>
      </c>
      <c r="I45" s="65" t="e">
        <f>SUM((C45+C46+E45+E46+G45+G46)*25)</f>
        <v>#VALUE!</v>
      </c>
      <c r="J45" s="66" t="s">
        <v>79</v>
      </c>
      <c r="K45" s="64" t="s">
        <v>80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81</v>
      </c>
      <c r="B47" s="71" t="s">
        <v>82</v>
      </c>
      <c r="C47" s="34">
        <v>121</v>
      </c>
      <c r="D47" s="21" t="s">
        <v>78</v>
      </c>
      <c r="E47" s="21">
        <v>147</v>
      </c>
      <c r="F47" s="21" t="s">
        <v>78</v>
      </c>
      <c r="G47" s="21">
        <v>137</v>
      </c>
      <c r="H47" s="21" t="s">
        <v>78</v>
      </c>
      <c r="I47" s="65" t="e">
        <f>SUM((C47+C48+E47+E48+G47+G48)*40)</f>
        <v>#VALUE!</v>
      </c>
      <c r="J47" s="66" t="s">
        <v>83</v>
      </c>
      <c r="K47" s="64" t="s">
        <v>84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85</v>
      </c>
      <c r="B49" s="71" t="s">
        <v>86</v>
      </c>
      <c r="C49" s="34"/>
      <c r="D49" s="21"/>
      <c r="E49" s="21">
        <v>59</v>
      </c>
      <c r="F49" s="21" t="s">
        <v>78</v>
      </c>
      <c r="G49" s="21">
        <v>32</v>
      </c>
      <c r="H49" s="21" t="s">
        <v>78</v>
      </c>
      <c r="I49" s="65" t="e">
        <f>SUM((C49+C50+E49+E50+G49+G50)*50)</f>
        <v>#VALUE!</v>
      </c>
      <c r="J49" s="66" t="s">
        <v>87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88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89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90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91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92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93</v>
      </c>
      <c r="J61" s="48"/>
      <c r="K61" s="84"/>
    </row>
    <row r="62" spans="1:13" customHeight="1" ht="109">
      <c r="A62" s="11" t="s">
        <v>94</v>
      </c>
      <c r="B62" s="12" t="e">
        <f>B59/J59</f>
        <v>#VALUE!</v>
      </c>
      <c r="C62" s="85"/>
      <c r="D62" s="86"/>
      <c r="E62" s="86" t="s">
        <v>95</v>
      </c>
      <c r="F62" s="86"/>
      <c r="G62" s="86"/>
      <c r="H62" s="86"/>
      <c r="I62" s="50" t="s">
        <v>96</v>
      </c>
      <c r="J62" s="7"/>
      <c r="K62" s="84"/>
    </row>
    <row r="63" spans="1:13" customHeight="1" ht="119">
      <c r="A63" s="13" t="s">
        <v>97</v>
      </c>
      <c r="B63" s="14" t="e">
        <f>(SUM(I47)/J59)</f>
        <v>#VALUE!</v>
      </c>
      <c r="C63" s="87"/>
      <c r="D63" s="88"/>
      <c r="E63" s="88" t="s">
        <v>98</v>
      </c>
      <c r="F63" s="88"/>
      <c r="G63" s="88"/>
      <c r="H63" s="88"/>
      <c r="I63" s="5" t="s">
        <v>99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100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101</v>
      </c>
      <c r="J64" s="4" t="s">
        <v>10</v>
      </c>
      <c r="K64" s="84"/>
    </row>
    <row r="65" spans="1:13" customHeight="1" ht="47.25">
      <c r="A65" s="13" t="s">
        <v>102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103</v>
      </c>
      <c r="J65" s="4" t="s">
        <v>10</v>
      </c>
      <c r="K65" s="84"/>
    </row>
    <row r="66" spans="1:13" customHeight="1" ht="45.75">
      <c r="A66" s="51" t="s">
        <v>104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105</v>
      </c>
      <c r="J66" s="54"/>
      <c r="K66" s="84"/>
    </row>
    <row r="67" spans="1:13" customHeight="1" ht="45.75">
      <c r="A67" s="46" t="s">
        <v>106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107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