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<sst xmlns="http://schemas.openxmlformats.org/spreadsheetml/2006/main" uniqueCount="101">
  <si>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CENTRO</t>
  </si>
  <si>
    <t>MOLIENDA DE TRIGO Nº</t>
  </si>
  <si>
    <t>Hora Turno1</t>
  </si>
  <si>
    <t>14:03</t>
  </si>
  <si>
    <t>Hora Turno2</t>
  </si>
  <si>
    <t>06:07</t>
  </si>
  <si>
    <t>Hora Turno3</t>
  </si>
  <si>
    <t>06:17</t>
  </si>
  <si>
    <t>FECHA</t>
  </si>
  <si>
    <t>2026-03-26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</si>
  <si>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</si>
  <si>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</si>
  <si>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</si>
  <si>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</si>
  <si>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</si>
  <si>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</si>
  <si>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</si>
  <si>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</si>
  <si>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</si>
  <si>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</si>
  <si>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</si>
  <si>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</si>
  <si>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</si>
  <si>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17252-10-20</t>
  </si>
  <si>
    <t>EXTRAPAN X50</t>
  </si>
  <si>
    <t>210326B</t>
  </si>
  <si>
    <t>260326B</t>
  </si>
  <si>
    <t>EMPAQUE EXTRA PAN X50</t>
  </si>
  <si>
    <t>17252-30</t>
  </si>
  <si>
    <t>240326B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</si>
  <si>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</si>
  <si>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</si>
  <si>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</si>
  <si>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</si>
  <si>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</si>
  <si>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</si>
  <si>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</si>
  <si>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</si>
  <si>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17252-40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</si>
  <si>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</si>
  <si>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</si>
  <si>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</si>
  <si>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</si>
  <si>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</si>
  <si>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</si>
  <si>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</si>
  <si>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</si>
  <si>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</si>
  <si>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</si>
  <si>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</si>
  <si>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</si>
  <si>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17252-50</t>
  </si>
  <si>
    <t>HARINA ALTA PROTEINA X1</t>
  </si>
  <si>
    <t>280326B</t>
  </si>
  <si>
    <t>EMPAQUE GALERAS SAL X25</t>
  </si>
  <si>
    <t>HARINA MEDIA PROTEINA X1</t>
  </si>
  <si>
    <t>EMPAQUE GALERAS SEG X50</t>
  </si>
  <si>
    <t>17252-60</t>
  </si>
  <si>
    <t>HARINA BAJA PROTEINA X1</t>
  </si>
  <si>
    <t>VITAMINA</t>
  </si>
  <si>
    <t>ARTESANAL X1</t>
  </si>
  <si>
    <t xml:space="preserve">MEJORANTE EXTRA PAN </t>
  </si>
  <si>
    <t>17252-70</t>
  </si>
  <si>
    <t xml:space="preserve">FUERTE EXPORTACIÓN </t>
  </si>
  <si>
    <t>260326BP</t>
  </si>
  <si>
    <t>MEJORANTE ARTESANAL</t>
  </si>
  <si>
    <t>HARINA T1 X 50</t>
  </si>
  <si>
    <t>HILO BLANCO</t>
  </si>
  <si>
    <t>17252-80</t>
  </si>
  <si>
    <t>SALVADO X25</t>
  </si>
  <si>
    <t>160326B</t>
  </si>
  <si>
    <t xml:space="preserve">HILO VERDE  </t>
  </si>
  <si>
    <t>17252-90</t>
  </si>
  <si>
    <t>MOGOLLA X40</t>
  </si>
  <si>
    <t>HILO NARANJA</t>
  </si>
  <si>
    <t>17252-100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</si>
  <si>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</si>
  <si>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</si>
  <si>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</si>
  <si>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</si>
  <si>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</si>
  <si>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</si>
  <si>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</si>
  <si>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</si>
  <si>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</si>
  <si>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Luis poloche</t>
  </si>
  <si>
    <t>Alex</t>
  </si>
  <si>
    <t>ENCARGADO TURNO 2</t>
  </si>
  <si>
    <t>EXT. MOGOLLA</t>
  </si>
  <si>
    <t>Fernando</t>
  </si>
  <si>
    <t>ENCARGADO TURNO 3</t>
  </si>
  <si>
    <t>EXT. SALVADO x25</t>
  </si>
  <si>
    <t>Juvenal</t>
  </si>
  <si>
    <t>Sayco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</si>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</sst>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93cb0fb6c328cb8ce85a9765eae4d4.png"/><Relationship Id="rId2" Type="http://schemas.openxmlformats.org/officeDocument/2006/relationships/image" Target="../media/5f5a16cc4fdf2d4be93516a4f1d0c283.png"/><Relationship Id="rId3" Type="http://schemas.openxmlformats.org/officeDocument/2006/relationships/image" Target="../media/e384b6219b2760756809e8713e30fba6.png"/><Relationship Id="rId4" Type="http://schemas.openxmlformats.org/officeDocument/2006/relationships/image" Target="../media/38092128d23e3a3d120680544232c69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192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192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1441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13</v>
      </c>
      <c r="D11" s="39" t="s">
        <v>25</v>
      </c>
      <c r="E11" s="28">
        <v>291</v>
      </c>
      <c r="F11" s="19" t="s">
        <v>26</v>
      </c>
      <c r="G11" s="19">
        <v>397</v>
      </c>
      <c r="H11" s="19" t="s">
        <v>26</v>
      </c>
      <c r="I11" s="70" t="e">
        <f>SUM((C11+C12+E11+E12+G11+G12)*50)</f>
        <v>#VALUE!</v>
      </c>
      <c r="J11" s="122" t="s">
        <v>27</v>
      </c>
      <c r="K11" s="64">
        <v>0</v>
      </c>
      <c r="L11" s="64"/>
      <c r="M11" s="64"/>
    </row>
    <row r="12" spans="1:13">
      <c r="A12" s="31" t="s">
        <v>28</v>
      </c>
      <c r="B12" s="121"/>
      <c r="C12" s="40"/>
      <c r="E12" s="20">
        <v>20</v>
      </c>
      <c r="F12" s="20" t="s">
        <v>29</v>
      </c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30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31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34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35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36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37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38</v>
      </c>
      <c r="B21" s="81" t="s">
        <v>39</v>
      </c>
      <c r="C21" s="34">
        <v>868</v>
      </c>
      <c r="D21" s="21" t="s">
        <v>26</v>
      </c>
      <c r="E21" s="21"/>
      <c r="F21" s="21"/>
      <c r="G21" s="21"/>
      <c r="H21" s="21"/>
      <c r="I21" s="70" t="e">
        <f>SUM((C21+C22+E21+E22+G21+G22)*25)</f>
        <v>#VALUE!</v>
      </c>
      <c r="J21" s="66" t="s">
        <v>40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>
        <v>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51</v>
      </c>
      <c r="B33" s="55" t="s">
        <v>52</v>
      </c>
      <c r="C33" s="34"/>
      <c r="D33" s="21"/>
      <c r="E33" s="21"/>
      <c r="F33" s="21"/>
      <c r="G33" s="21">
        <v>15456</v>
      </c>
      <c r="H33" s="21" t="s">
        <v>53</v>
      </c>
      <c r="I33" s="70" t="e">
        <f>SUM((C33+C34+E33+E34+G33+G34)*1)</f>
        <v>#VALUE!</v>
      </c>
      <c r="J33" s="66" t="s">
        <v>54</v>
      </c>
      <c r="K33" s="64">
        <v>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>
        <v>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57</v>
      </c>
      <c r="B37" s="55" t="s">
        <v>58</v>
      </c>
      <c r="C37" s="34">
        <v>5760</v>
      </c>
      <c r="D37" s="21" t="s">
        <v>26</v>
      </c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>
        <v>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61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 t="s">
        <v>62</v>
      </c>
      <c r="B41" s="81" t="s">
        <v>63</v>
      </c>
      <c r="C41" s="34">
        <v>80</v>
      </c>
      <c r="D41" s="21" t="s">
        <v>64</v>
      </c>
      <c r="E41" s="21"/>
      <c r="F41" s="21"/>
      <c r="G41" s="21"/>
      <c r="H41" s="21"/>
      <c r="I41" s="70" t="e">
        <f>SUM((C41+C42+E41+E42+G41+G42)*1)</f>
        <v>#VALUE!</v>
      </c>
      <c r="J41" s="66" t="s">
        <v>65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66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67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68</v>
      </c>
      <c r="B45" s="71" t="s">
        <v>69</v>
      </c>
      <c r="C45" s="34">
        <v>60</v>
      </c>
      <c r="D45" s="21" t="s">
        <v>70</v>
      </c>
      <c r="E45" s="21">
        <v>54</v>
      </c>
      <c r="F45" s="21" t="s">
        <v>70</v>
      </c>
      <c r="G45" s="21">
        <v>53</v>
      </c>
      <c r="H45" s="21" t="s">
        <v>70</v>
      </c>
      <c r="I45" s="65" t="e">
        <f>SUM((C45+C46+E45+E46+G45+G46)*25)</f>
        <v>#VALUE!</v>
      </c>
      <c r="J45" s="66" t="s">
        <v>71</v>
      </c>
      <c r="K45" s="64">
        <v>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104</v>
      </c>
      <c r="D47" s="21" t="s">
        <v>70</v>
      </c>
      <c r="E47" s="21">
        <v>165</v>
      </c>
      <c r="F47" s="21" t="s">
        <v>70</v>
      </c>
      <c r="G47" s="21">
        <v>117</v>
      </c>
      <c r="H47" s="21" t="s">
        <v>70</v>
      </c>
      <c r="I47" s="65" t="e">
        <f>SUM((C47+C48+E47+E48+G47+G48)*40)</f>
        <v>#VALUE!</v>
      </c>
      <c r="J47" s="66" t="s">
        <v>74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75</v>
      </c>
      <c r="B49" s="71" t="s">
        <v>76</v>
      </c>
      <c r="C49" s="34">
        <v>52</v>
      </c>
      <c r="D49" s="21" t="s">
        <v>70</v>
      </c>
      <c r="E49" s="21">
        <v>51</v>
      </c>
      <c r="F49" s="21" t="s">
        <v>70</v>
      </c>
      <c r="G49" s="21">
        <v>28</v>
      </c>
      <c r="H49" s="21" t="s">
        <v>70</v>
      </c>
      <c r="I49" s="65" t="e">
        <f>SUM((C49+C50+E49+E50+G49+G50)*50)</f>
        <v>#VALUE!</v>
      </c>
      <c r="J49" s="66" t="s">
        <v>77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78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80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81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82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83</v>
      </c>
      <c r="J61" s="48"/>
      <c r="K61" s="84"/>
    </row>
    <row r="62" spans="1:13" customHeight="1" ht="109">
      <c r="A62" s="11" t="s">
        <v>84</v>
      </c>
      <c r="B62" s="12" t="e">
        <f>B59/J59</f>
        <v>#VALUE!</v>
      </c>
      <c r="C62" s="85" t="s">
        <v>85</v>
      </c>
      <c r="D62" s="86"/>
      <c r="E62" s="86" t="s">
        <v>86</v>
      </c>
      <c r="F62" s="86"/>
      <c r="G62" s="86"/>
      <c r="H62" s="86"/>
      <c r="I62" s="50" t="s">
        <v>87</v>
      </c>
      <c r="J62" s="7"/>
      <c r="K62" s="84"/>
    </row>
    <row r="63" spans="1:13" customHeight="1" ht="119">
      <c r="A63" s="13" t="s">
        <v>88</v>
      </c>
      <c r="B63" s="14" t="e">
        <f>(SUM(I47)/J59)</f>
        <v>#VALUE!</v>
      </c>
      <c r="C63" s="87" t="s">
        <v>89</v>
      </c>
      <c r="D63" s="88"/>
      <c r="E63" s="88" t="s">
        <v>89</v>
      </c>
      <c r="F63" s="88"/>
      <c r="G63" s="88"/>
      <c r="H63" s="88"/>
      <c r="I63" s="5" t="s">
        <v>90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91</v>
      </c>
      <c r="B64" s="14" t="e">
        <f>(SUM(I45)/J59)</f>
        <v>#VALUE!</v>
      </c>
      <c r="C64" s="87" t="s">
        <v>92</v>
      </c>
      <c r="D64" s="88"/>
      <c r="E64" s="88" t="s">
        <v>93</v>
      </c>
      <c r="F64" s="88"/>
      <c r="G64" s="88"/>
      <c r="H64" s="88"/>
      <c r="I64" s="5" t="s">
        <v>94</v>
      </c>
      <c r="J64" s="4" t="s">
        <v>11</v>
      </c>
      <c r="K64" s="84"/>
    </row>
    <row r="65" spans="1:13" customHeight="1" ht="47.25">
      <c r="A65" s="13" t="s">
        <v>95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96</v>
      </c>
      <c r="J65" s="4" t="s">
        <v>11</v>
      </c>
      <c r="K65" s="84"/>
    </row>
    <row r="66" spans="1:13" customHeight="1" ht="45.75">
      <c r="A66" s="51" t="s">
        <v>97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98</v>
      </c>
      <c r="J66" s="54"/>
      <c r="K66" s="84"/>
    </row>
    <row r="67" spans="1:13" customHeight="1" ht="45.75">
      <c r="A67" s="46" t="s">
        <v>99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100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