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<sst xmlns="http://schemas.openxmlformats.org/spreadsheetml/2006/main" uniqueCount="109">
  <si>
    <t>CONTROL DE MOLIENDA ZONA CENTRO</t>
  </si>
  <si>
    <t>MOLIENDA DE TRIGO Nº</t>
  </si>
  <si>
    <t>Hora Turno1</t>
  </si>
  <si>
    <t>14:01</t>
  </si>
  <si>
    <t>Hora Turno2</t>
  </si>
  <si>
    <t>06:02</t>
  </si>
  <si>
    <t>Hora Turno3</t>
  </si>
  <si>
    <t>06:23</t>
  </si>
  <si>
    <t>FECHA</t>
  </si>
  <si>
    <t>2026-03-25</t>
  </si>
  <si>
    <t>Responsable</t>
  </si>
  <si>
    <t>Gleimer Paez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</si>
  <si>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</si>
  <si>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</si>
  <si>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</si>
  <si>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</si>
  <si>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</si>
  <si>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</si>
  <si>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</si>
  <si>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</si>
  <si>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</si>
  <si>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</si>
  <si>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</si>
  <si>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17246-10</t>
  </si>
  <si>
    <t>EXTRAPAN X50</t>
  </si>
  <si>
    <t>240326B</t>
  </si>
  <si>
    <t>210326B</t>
  </si>
  <si>
    <t>EMPAQUE EXTRA PAN X50</t>
  </si>
  <si>
    <t>MP-02197</t>
  </si>
  <si>
    <t>17246-20</t>
  </si>
  <si>
    <t>17246-30</t>
  </si>
  <si>
    <t>EXTRAPAN X25</t>
  </si>
  <si>
    <t>EMPAQUE EXTRA PAN X25</t>
  </si>
  <si>
    <t>MP-02053</t>
  </si>
  <si>
    <t>EXTRAPAN X10</t>
  </si>
  <si>
    <t>EMPAQUE EXTRAPAN X10</t>
  </si>
  <si>
    <t>ARTESANAL X50</t>
  </si>
  <si>
    <t>EMPAQUE GALERAS ROJO X50</t>
  </si>
  <si>
    <t>ARTESANAL X25</t>
  </si>
  <si>
    <t>EMPAQUE GALERAS VERDE X50</t>
  </si>
  <si>
    <t>FUERTE X25</t>
  </si>
  <si>
    <t>EMPAQUE GALERAS CAFÉ X50</t>
  </si>
  <si>
    <t>NATURAL X50</t>
  </si>
  <si>
    <t>EMPAQUE GALERAS AZUL X50</t>
  </si>
  <si>
    <t>ESPECIAL X50</t>
  </si>
  <si>
    <t>EMPAQUE GALERAS NARANJA X25</t>
  </si>
  <si>
    <t>ESPECIAL X25</t>
  </si>
  <si>
    <t>EMPAQUE GALERAS KRAFT X25</t>
  </si>
  <si>
    <t>EXCLUSIVA X50</t>
  </si>
  <si>
    <t>EMPAQUE MULTI BEIGE X25</t>
  </si>
  <si>
    <t>DESARROLLO X1</t>
  </si>
  <si>
    <t>EMPAQUE GALERAS MOG X40</t>
  </si>
  <si>
    <t>MP-02289</t>
  </si>
  <si>
    <t>HARINA ALTA PROTEINA X1</t>
  </si>
  <si>
    <t>EMPAQUE GALERAS SAL X25</t>
  </si>
  <si>
    <t>MP-02152</t>
  </si>
  <si>
    <t>HARINA MEDIA PROTEINA X1</t>
  </si>
  <si>
    <t>EMPAQUE GALERAS SEG X50</t>
  </si>
  <si>
    <t>MP-02153</t>
  </si>
  <si>
    <t>17246-40</t>
  </si>
  <si>
    <t>HARINA BAJA PROTEINA X1</t>
  </si>
  <si>
    <t>250326B</t>
  </si>
  <si>
    <t>VITAMINA</t>
  </si>
  <si>
    <t>MP-02327</t>
  </si>
  <si>
    <t>ARTESANAL X1</t>
  </si>
  <si>
    <t xml:space="preserve">MEJORANTE EXTRA PAN </t>
  </si>
  <si>
    <t>190326B1-240326B</t>
  </si>
  <si>
    <t xml:space="preserve">FUERTE EXPORTACIÓN </t>
  </si>
  <si>
    <t>MEJORANTE ARTESANAL</t>
  </si>
  <si>
    <t>HARINA T1 X 50</t>
  </si>
  <si>
    <t>HILO BLANCO</t>
  </si>
  <si>
    <t>17246-50</t>
  </si>
  <si>
    <t>SALVADO X25</t>
  </si>
  <si>
    <t>160326B</t>
  </si>
  <si>
    <t xml:space="preserve">HILO VERDE  </t>
  </si>
  <si>
    <t>MP-02325</t>
  </si>
  <si>
    <t>17246-60</t>
  </si>
  <si>
    <t>MOGOLLA X40</t>
  </si>
  <si>
    <t>HILO NARANJA</t>
  </si>
  <si>
    <t>MP-01747</t>
  </si>
  <si>
    <t>17246-70</t>
  </si>
  <si>
    <t>SEGUNDA X50</t>
  </si>
  <si>
    <t>EMPAQUE FUERTE EXPORTACION</t>
  </si>
  <si>
    <t>SÉMOLA FINA X25</t>
  </si>
  <si>
    <t>SEMOLA GRUESA X25</t>
  </si>
  <si>
    <t>GERMEN X25</t>
  </si>
  <si>
    <t>TOTAL HARINA</t>
  </si>
  <si>
    <t>TOTAL</t>
  </si>
  <si>
    <t>ENCARGADO TURNO 1</t>
  </si>
  <si>
    <t>EXT. HARINA</t>
  </si>
  <si>
    <t>Luis poloche</t>
  </si>
  <si>
    <t>Rolando</t>
  </si>
  <si>
    <t>ENCARGADO TURNO 2</t>
  </si>
  <si>
    <t>EXT. MOGOLLA</t>
  </si>
  <si>
    <t>Ferney</t>
  </si>
  <si>
    <t>Julio</t>
  </si>
  <si>
    <t>Fernando</t>
  </si>
  <si>
    <t>ENCARGADO TURNO 3</t>
  </si>
  <si>
    <t>EXT. SALVADO x25</t>
  </si>
  <si>
    <t>Andres</t>
  </si>
  <si>
    <t>Antonio</t>
  </si>
  <si>
    <t>ALMACENISTA 1</t>
  </si>
  <si>
    <t>EXT. SEGUNDA</t>
  </si>
  <si>
    <t>ALMACENISTA 2</t>
  </si>
  <si>
    <t>Elkin Polania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</si>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</sst>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ce3d5695fb2f765958a4da2b683ecf7.png"/><Relationship Id="rId2" Type="http://schemas.openxmlformats.org/officeDocument/2006/relationships/image" Target="../media/f59ffe7c1e43f637a00d2ed1faa00a8d.png"/><Relationship Id="rId3" Type="http://schemas.openxmlformats.org/officeDocument/2006/relationships/image" Target="../media/ccc654d675b6c1d419faad113f5e8a74.png"/><Relationship Id="rId4" Type="http://schemas.openxmlformats.org/officeDocument/2006/relationships/image" Target="../media/b256ffd60ad785e4a720e6f1178328e1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90500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9050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73355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1440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7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8</v>
      </c>
      <c r="I8" s="118" t="s">
        <v>9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10</v>
      </c>
      <c r="I9" s="124"/>
      <c r="J9" s="125" t="s">
        <v>11</v>
      </c>
      <c r="K9" s="126"/>
      <c r="M9" s="24"/>
    </row>
    <row r="10" spans="1:13" customHeight="1" ht="15">
      <c r="A10" s="44" t="s">
        <v>12</v>
      </c>
      <c r="B10" s="41" t="s">
        <v>13</v>
      </c>
      <c r="C10" s="43" t="s">
        <v>14</v>
      </c>
      <c r="D10" s="42" t="s">
        <v>15</v>
      </c>
      <c r="E10" s="2" t="s">
        <v>16</v>
      </c>
      <c r="F10" s="2" t="s">
        <v>15</v>
      </c>
      <c r="G10" s="2" t="s">
        <v>17</v>
      </c>
      <c r="H10" s="2" t="s">
        <v>15</v>
      </c>
      <c r="I10" s="2" t="s">
        <v>18</v>
      </c>
      <c r="J10" s="2" t="s">
        <v>19</v>
      </c>
      <c r="K10" s="10" t="s">
        <v>20</v>
      </c>
      <c r="L10" s="10" t="s">
        <v>21</v>
      </c>
      <c r="M10" s="10" t="s">
        <v>22</v>
      </c>
    </row>
    <row r="11" spans="1:13">
      <c r="A11" s="27" t="s">
        <v>23</v>
      </c>
      <c r="B11" s="120" t="s">
        <v>24</v>
      </c>
      <c r="C11" s="35">
        <v>191</v>
      </c>
      <c r="D11" s="39" t="s">
        <v>25</v>
      </c>
      <c r="E11" s="28">
        <v>89</v>
      </c>
      <c r="F11" s="19" t="s">
        <v>26</v>
      </c>
      <c r="G11" s="19"/>
      <c r="H11" s="19"/>
      <c r="I11" s="70" t="e">
        <f>SUM((C11+C12+E11+E12+G11+G12)*50)</f>
        <v>#VALUE!</v>
      </c>
      <c r="J11" s="122" t="s">
        <v>27</v>
      </c>
      <c r="K11" s="64" t="s">
        <v>28</v>
      </c>
      <c r="L11" s="64"/>
      <c r="M11" s="64"/>
    </row>
    <row r="12" spans="1:13">
      <c r="A12" s="31" t="s">
        <v>29</v>
      </c>
      <c r="B12" s="121"/>
      <c r="C12" s="40">
        <v>450</v>
      </c>
      <c r="D12" t="s">
        <v>26</v>
      </c>
      <c r="E12" s="20">
        <v>166</v>
      </c>
      <c r="F12" s="20" t="s">
        <v>25</v>
      </c>
      <c r="G12" s="20"/>
      <c r="H12" s="20"/>
      <c r="I12" s="70"/>
      <c r="J12" s="67"/>
      <c r="K12" s="64"/>
      <c r="L12" s="64"/>
      <c r="M12" s="64"/>
    </row>
    <row r="13" spans="1:13">
      <c r="A13" s="27" t="s">
        <v>30</v>
      </c>
      <c r="B13" s="55" t="s">
        <v>31</v>
      </c>
      <c r="C13" s="34">
        <v>1</v>
      </c>
      <c r="D13" s="21" t="s">
        <v>25</v>
      </c>
      <c r="E13" s="21"/>
      <c r="F13" s="21"/>
      <c r="G13" s="21"/>
      <c r="H13" s="21"/>
      <c r="I13" s="70" t="e">
        <f>SUM((C13+C14+E13+E14+G13+G14)*25)</f>
        <v>#VALUE!</v>
      </c>
      <c r="J13" s="66" t="s">
        <v>32</v>
      </c>
      <c r="K13" s="64" t="s">
        <v>33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34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35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36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37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38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39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/>
      <c r="B21" s="81" t="s">
        <v>40</v>
      </c>
      <c r="C21" s="34"/>
      <c r="D21" s="21"/>
      <c r="E21" s="21"/>
      <c r="F21" s="21"/>
      <c r="G21" s="21"/>
      <c r="H21" s="21"/>
      <c r="I21" s="70" t="e">
        <f>SUM((C21+C22+E21+E22+G21+G22)*25)</f>
        <v>#VALUE!</v>
      </c>
      <c r="J21" s="66" t="s">
        <v>41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42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43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44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45</v>
      </c>
      <c r="K25" s="64">
        <v>0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46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47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48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49</v>
      </c>
      <c r="K29" s="64">
        <v>0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50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51</v>
      </c>
      <c r="K31" s="64" t="s">
        <v>52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/>
      <c r="B33" s="55" t="s">
        <v>53</v>
      </c>
      <c r="C33" s="34"/>
      <c r="D33" s="21"/>
      <c r="E33" s="21"/>
      <c r="F33" s="21"/>
      <c r="G33" s="21"/>
      <c r="H33" s="21"/>
      <c r="I33" s="70" t="e">
        <f>SUM((C33+C34+E33+E34+G33+G34)*1)</f>
        <v>#VALUE!</v>
      </c>
      <c r="J33" s="66" t="s">
        <v>54</v>
      </c>
      <c r="K33" s="64" t="s">
        <v>55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56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57</v>
      </c>
      <c r="K35" s="64" t="s">
        <v>58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 t="s">
        <v>59</v>
      </c>
      <c r="B37" s="55" t="s">
        <v>60</v>
      </c>
      <c r="C37" s="34"/>
      <c r="D37" s="21"/>
      <c r="E37" s="21">
        <v>15696</v>
      </c>
      <c r="F37" s="21" t="s">
        <v>61</v>
      </c>
      <c r="G37" s="21">
        <v>28768</v>
      </c>
      <c r="H37" s="21" t="s">
        <v>61</v>
      </c>
      <c r="I37" s="70" t="e">
        <f>SUM((C37+C38+E37+E38+G37+G38)*1)</f>
        <v>#VALUE!</v>
      </c>
      <c r="J37" s="66" t="s">
        <v>62</v>
      </c>
      <c r="K37" s="64" t="s">
        <v>63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64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65</v>
      </c>
      <c r="K39" s="64" t="s">
        <v>66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67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68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69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70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 t="s">
        <v>71</v>
      </c>
      <c r="B45" s="71" t="s">
        <v>72</v>
      </c>
      <c r="C45" s="34">
        <v>32</v>
      </c>
      <c r="D45" s="21" t="s">
        <v>73</v>
      </c>
      <c r="E45" s="21">
        <v>54</v>
      </c>
      <c r="F45" s="21" t="s">
        <v>73</v>
      </c>
      <c r="G45" s="21">
        <v>86</v>
      </c>
      <c r="H45" s="21" t="s">
        <v>73</v>
      </c>
      <c r="I45" s="65" t="e">
        <f>SUM((C45+C46+E45+E46+G45+G46)*25)</f>
        <v>#VALUE!</v>
      </c>
      <c r="J45" s="66" t="s">
        <v>74</v>
      </c>
      <c r="K45" s="64" t="s">
        <v>75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 t="s">
        <v>76</v>
      </c>
      <c r="B47" s="71" t="s">
        <v>77</v>
      </c>
      <c r="C47" s="34">
        <v>111</v>
      </c>
      <c r="D47" s="21" t="s">
        <v>73</v>
      </c>
      <c r="E47" s="21">
        <v>156</v>
      </c>
      <c r="F47" s="21" t="s">
        <v>73</v>
      </c>
      <c r="G47" s="21">
        <v>166</v>
      </c>
      <c r="H47" s="21" t="s">
        <v>73</v>
      </c>
      <c r="I47" s="65" t="e">
        <f>SUM((C47+C48+E47+E48+G47+G48)*40)</f>
        <v>#VALUE!</v>
      </c>
      <c r="J47" s="66" t="s">
        <v>78</v>
      </c>
      <c r="K47" s="64" t="s">
        <v>79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 t="s">
        <v>80</v>
      </c>
      <c r="B49" s="71" t="s">
        <v>81</v>
      </c>
      <c r="C49" s="34"/>
      <c r="D49" s="21"/>
      <c r="E49" s="21">
        <v>18</v>
      </c>
      <c r="F49" s="21" t="s">
        <v>73</v>
      </c>
      <c r="G49" s="21">
        <v>176</v>
      </c>
      <c r="H49" s="21" t="s">
        <v>73</v>
      </c>
      <c r="I49" s="65" t="e">
        <f>SUM((C49+C50+E49+E50+G49+G50)*50)</f>
        <v>#VALUE!</v>
      </c>
      <c r="J49" s="66" t="s">
        <v>82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/>
      <c r="B51" s="79" t="s">
        <v>83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84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85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86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87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88</v>
      </c>
      <c r="J61" s="48"/>
      <c r="K61" s="84"/>
    </row>
    <row r="62" spans="1:13" customHeight="1" ht="109">
      <c r="A62" s="11" t="s">
        <v>89</v>
      </c>
      <c r="B62" s="12" t="e">
        <f>B59/J59</f>
        <v>#VALUE!</v>
      </c>
      <c r="C62" s="85" t="s">
        <v>90</v>
      </c>
      <c r="D62" s="86"/>
      <c r="E62" s="86" t="s">
        <v>91</v>
      </c>
      <c r="F62" s="86"/>
      <c r="G62" s="86" t="s">
        <v>90</v>
      </c>
      <c r="H62" s="86"/>
      <c r="I62" s="50" t="s">
        <v>92</v>
      </c>
      <c r="J62" s="7"/>
      <c r="K62" s="84"/>
    </row>
    <row r="63" spans="1:13" customHeight="1" ht="119">
      <c r="A63" s="13" t="s">
        <v>93</v>
      </c>
      <c r="B63" s="14" t="e">
        <f>(SUM(I47)/J59)</f>
        <v>#VALUE!</v>
      </c>
      <c r="C63" s="87" t="s">
        <v>94</v>
      </c>
      <c r="D63" s="88"/>
      <c r="E63" s="88" t="s">
        <v>95</v>
      </c>
      <c r="F63" s="88"/>
      <c r="G63" s="88" t="s">
        <v>96</v>
      </c>
      <c r="H63" s="88"/>
      <c r="I63" s="5" t="s">
        <v>97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98</v>
      </c>
      <c r="B64" s="14" t="e">
        <f>(SUM(I45)/J59)</f>
        <v>#VALUE!</v>
      </c>
      <c r="C64" s="87" t="s">
        <v>99</v>
      </c>
      <c r="D64" s="88"/>
      <c r="E64" s="88" t="s">
        <v>100</v>
      </c>
      <c r="F64" s="88"/>
      <c r="G64" s="88" t="s">
        <v>99</v>
      </c>
      <c r="H64" s="88"/>
      <c r="I64" s="5" t="s">
        <v>101</v>
      </c>
      <c r="J64" s="4" t="s">
        <v>11</v>
      </c>
      <c r="K64" s="84"/>
    </row>
    <row r="65" spans="1:13" customHeight="1" ht="47.25">
      <c r="A65" s="13" t="s">
        <v>102</v>
      </c>
      <c r="B65" s="14" t="e">
        <f>(SUM(I49)/J59)</f>
        <v>#VALUE!</v>
      </c>
      <c r="C65" s="87"/>
      <c r="D65" s="88"/>
      <c r="E65" s="88"/>
      <c r="F65" s="88"/>
      <c r="G65" s="88"/>
      <c r="H65" s="88"/>
      <c r="I65" s="3" t="s">
        <v>103</v>
      </c>
      <c r="J65" s="4" t="s">
        <v>104</v>
      </c>
      <c r="K65" s="84"/>
    </row>
    <row r="66" spans="1:13" customHeight="1" ht="45.75">
      <c r="A66" s="51" t="s">
        <v>105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106</v>
      </c>
      <c r="J66" s="54"/>
      <c r="K66" s="84"/>
    </row>
    <row r="67" spans="1:13" customHeight="1" ht="45.75">
      <c r="A67" s="46" t="s">
        <v>107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108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