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<sst xmlns="http://schemas.openxmlformats.org/spreadsheetml/2006/main" uniqueCount="100">
  <si>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CENTRO</t>
  </si>
  <si>
    <t>MOLIENDA DE TRIGO Nº</t>
  </si>
  <si>
    <t>Hora Turno1</t>
  </si>
  <si>
    <t>14:00</t>
  </si>
  <si>
    <t>Hora Turno2</t>
  </si>
  <si>
    <t>06:00</t>
  </si>
  <si>
    <t>Hora Turno3</t>
  </si>
  <si>
    <t>06:06</t>
  </si>
  <si>
    <t>FECHA</t>
  </si>
  <si>
    <t>2026-03-05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</si>
  <si>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</si>
  <si>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</si>
  <si>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</si>
  <si>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</si>
  <si>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</si>
  <si>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</si>
  <si>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</si>
  <si>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</si>
  <si>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</si>
  <si>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</si>
  <si>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</si>
  <si>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</si>
  <si>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</si>
  <si>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</si>
  <si>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260226B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</si>
  <si>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</si>
  <si>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</si>
  <si>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</si>
  <si>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</si>
  <si>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</si>
  <si>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</si>
  <si>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</si>
  <si>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</si>
  <si>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</si>
  <si>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</si>
  <si>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</si>
  <si>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050326B</t>
  </si>
  <si>
    <t>EMPAQUE GALERAS CAFÉ X50</t>
  </si>
  <si>
    <t>030326B</t>
  </si>
  <si>
    <t>NATURAL X50</t>
  </si>
  <si>
    <t>EMPAQUE GALERAS AZUL X50</t>
  </si>
  <si>
    <t>ESPECIAL X50</t>
  </si>
  <si>
    <t>EMPAQUE GALERAS NARANJA X25</t>
  </si>
  <si>
    <t>MP-02303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</si>
  <si>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</si>
  <si>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</si>
  <si>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</si>
  <si>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</si>
  <si>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</si>
  <si>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</si>
  <si>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</si>
  <si>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</si>
  <si>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040326B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</si>
  <si>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</si>
  <si>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</si>
  <si>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</si>
  <si>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</si>
  <si>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</si>
  <si>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</si>
  <si>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</si>
  <si>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</si>
  <si>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</si>
  <si>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</si>
  <si>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</si>
  <si>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</si>
  <si>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</si>
  <si>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</si>
  <si>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</si>
  <si>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>020326B</t>
  </si>
  <si>
    <t xml:space="preserve">HILO VERDE  </t>
  </si>
  <si>
    <t>MP-02234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</si>
  <si>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</si>
  <si>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</si>
  <si>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</si>
  <si>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</si>
  <si>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</si>
  <si>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</si>
  <si>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</si>
  <si>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</si>
  <si>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</si>
  <si>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</si>
  <si>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</si>
  <si>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</si>
  <si>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Yilver</t>
  </si>
  <si>
    <t>Luis poloche</t>
  </si>
  <si>
    <t>ENCARGADO TURNO 2</t>
  </si>
  <si>
    <t>EXT. MOGOLLA</t>
  </si>
  <si>
    <t>Fernando</t>
  </si>
  <si>
    <t>Elmer</t>
  </si>
  <si>
    <t>Andres</t>
  </si>
  <si>
    <t>ENCARGADO TURNO 3</t>
  </si>
  <si>
    <t>EXT. SALVADO x25</t>
  </si>
  <si>
    <t>Ju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</si>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</sst>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34c91278c75a569dc9b109b6a0f837.png"/><Relationship Id="rId2" Type="http://schemas.openxmlformats.org/officeDocument/2006/relationships/image" Target="../media/6e621b8c9fe7e56167589a3ca435f680.png"/><Relationship Id="rId3" Type="http://schemas.openxmlformats.org/officeDocument/2006/relationships/image" Target="../media/e50cb2a4ddbf132d420db161be499da2.png"/><Relationship Id="rId4" Type="http://schemas.openxmlformats.org/officeDocument/2006/relationships/image" Target="../media/53e2e047446cacc1bfac1649c2fdb3bd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6478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526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1425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>
        <v>69</v>
      </c>
      <c r="H11" s="19" t="s">
        <v>24</v>
      </c>
      <c r="I11" s="70" t="e">
        <f>SUM((C11+C12+E11+E12+G11+G12)*50)</f>
        <v>#VALUE!</v>
      </c>
      <c r="J11" s="122" t="s">
        <v>25</v>
      </c>
      <c r="K11" s="64" t="s">
        <v>26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27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28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29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30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31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32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33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34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35</v>
      </c>
      <c r="C21" s="34">
        <v>835</v>
      </c>
      <c r="D21" s="21" t="s">
        <v>36</v>
      </c>
      <c r="E21" s="21">
        <v>124</v>
      </c>
      <c r="F21" s="21" t="s">
        <v>36</v>
      </c>
      <c r="G21" s="21"/>
      <c r="H21" s="21"/>
      <c r="I21" s="70" t="e">
        <f>SUM((C21+C22+E21+E22+G21+G22)*25)</f>
        <v>#VALUE!</v>
      </c>
      <c r="J21" s="66" t="s">
        <v>37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>
        <v>37</v>
      </c>
      <c r="F22" s="20" t="s">
        <v>38</v>
      </c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39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40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41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42</v>
      </c>
      <c r="K25" s="64" t="s">
        <v>43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44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45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46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47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48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49</v>
      </c>
      <c r="K31" s="64" t="s">
        <v>50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51</v>
      </c>
      <c r="C33" s="34">
        <v>9248</v>
      </c>
      <c r="D33" s="21" t="s">
        <v>52</v>
      </c>
      <c r="E33" s="21">
        <v>25472</v>
      </c>
      <c r="F33" s="21" t="s">
        <v>36</v>
      </c>
      <c r="G33" s="21">
        <v>24704</v>
      </c>
      <c r="H33" s="21" t="s">
        <v>36</v>
      </c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67</v>
      </c>
      <c r="C45" s="34">
        <v>50</v>
      </c>
      <c r="D45" s="21" t="s">
        <v>68</v>
      </c>
      <c r="E45" s="21">
        <v>69</v>
      </c>
      <c r="F45" s="21" t="s">
        <v>68</v>
      </c>
      <c r="G45" s="21">
        <v>62</v>
      </c>
      <c r="H45" s="21" t="s">
        <v>68</v>
      </c>
      <c r="I45" s="65" t="e">
        <f>SUM((C45+C46+E45+E46+G45+G46)*25)</f>
        <v>#VALUE!</v>
      </c>
      <c r="J45" s="66" t="s">
        <v>69</v>
      </c>
      <c r="K45" s="64" t="s">
        <v>70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71</v>
      </c>
      <c r="C47" s="34">
        <v>137</v>
      </c>
      <c r="D47" s="21" t="s">
        <v>68</v>
      </c>
      <c r="E47" s="21">
        <v>128</v>
      </c>
      <c r="F47" s="21" t="s">
        <v>68</v>
      </c>
      <c r="G47" s="21">
        <v>115</v>
      </c>
      <c r="H47" s="21" t="s">
        <v>68</v>
      </c>
      <c r="I47" s="65" t="e">
        <f>SUM((C47+C48+E47+E48+G47+G48)*40)</f>
        <v>#VALUE!</v>
      </c>
      <c r="J47" s="66" t="s">
        <v>72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73</v>
      </c>
      <c r="C49" s="34">
        <v>26</v>
      </c>
      <c r="D49" s="21" t="s">
        <v>68</v>
      </c>
      <c r="E49" s="21">
        <v>54</v>
      </c>
      <c r="F49" s="21" t="s">
        <v>68</v>
      </c>
      <c r="G49" s="21">
        <v>46</v>
      </c>
      <c r="H49" s="21" t="s">
        <v>68</v>
      </c>
      <c r="I49" s="65" t="e">
        <f>SUM((C49+C50+E49+E50+G49+G50)*50)</f>
        <v>#VALUE!</v>
      </c>
      <c r="J49" s="66" t="s">
        <v>74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75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80</v>
      </c>
      <c r="J61" s="48"/>
      <c r="K61" s="84"/>
    </row>
    <row r="62" spans="1:13" customHeight="1" ht="109">
      <c r="A62" s="11" t="s">
        <v>81</v>
      </c>
      <c r="B62" s="12" t="e">
        <f>B59/J59</f>
        <v>#VALUE!</v>
      </c>
      <c r="C62" s="85" t="s">
        <v>82</v>
      </c>
      <c r="D62" s="86"/>
      <c r="E62" s="86" t="s">
        <v>83</v>
      </c>
      <c r="F62" s="86"/>
      <c r="G62" s="86" t="s">
        <v>84</v>
      </c>
      <c r="H62" s="86"/>
      <c r="I62" s="50" t="s">
        <v>85</v>
      </c>
      <c r="J62" s="7"/>
      <c r="K62" s="84"/>
    </row>
    <row r="63" spans="1:13" customHeight="1" ht="119">
      <c r="A63" s="13" t="s">
        <v>86</v>
      </c>
      <c r="B63" s="14" t="e">
        <f>(SUM(I47)/J59)</f>
        <v>#VALUE!</v>
      </c>
      <c r="C63" s="87" t="s">
        <v>87</v>
      </c>
      <c r="D63" s="88"/>
      <c r="E63" s="88" t="s">
        <v>88</v>
      </c>
      <c r="F63" s="88"/>
      <c r="G63" s="88" t="s">
        <v>89</v>
      </c>
      <c r="H63" s="88"/>
      <c r="I63" s="5" t="s">
        <v>90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91</v>
      </c>
      <c r="B64" s="14" t="e">
        <f>(SUM(I45)/J59)</f>
        <v>#VALUE!</v>
      </c>
      <c r="C64" s="87" t="s">
        <v>92</v>
      </c>
      <c r="D64" s="88"/>
      <c r="E64" s="88"/>
      <c r="F64" s="88"/>
      <c r="G64" s="88" t="s">
        <v>88</v>
      </c>
      <c r="H64" s="88"/>
      <c r="I64" s="5" t="s">
        <v>93</v>
      </c>
      <c r="J64" s="4" t="s">
        <v>11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95</v>
      </c>
      <c r="J65" s="4" t="s">
        <v>11</v>
      </c>
      <c r="K65" s="84"/>
    </row>
    <row r="66" spans="1:13" customHeight="1" ht="45.75">
      <c r="A66" s="51" t="s">
        <v>96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97</v>
      </c>
      <c r="J66" s="54"/>
      <c r="K66" s="84"/>
    </row>
    <row r="67" spans="1:13" customHeight="1" ht="45.75">
      <c r="A67" s="46" t="s">
        <v>98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