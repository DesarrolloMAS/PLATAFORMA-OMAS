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<sst xmlns="http://schemas.openxmlformats.org/spreadsheetml/2006/main" uniqueCount="110">
  <si>
    <t>CONTROL DE MOLIENDA ZONA CENTRO</t>
  </si>
  <si>
    <t>MOLIENDA DE TRIGO Nº</t>
  </si>
  <si>
    <t>Hora Turno1</t>
  </si>
  <si>
    <t>14:00</t>
  </si>
  <si>
    <t>Hora Turno2</t>
  </si>
  <si>
    <t>06:00</t>
  </si>
  <si>
    <t>Hora Turno3</t>
  </si>
  <si>
    <t>FECHA</t>
  </si>
  <si>
    <t>2026-03-09</t>
  </si>
  <si>
    <t>Responsable</t>
  </si>
  <si>
    <t>Elkin Polania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</si>
  <si>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</si>
  <si>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</si>
  <si>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</si>
  <si>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</si>
  <si>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</si>
  <si>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</si>
  <si>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</si>
  <si>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</si>
  <si>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</si>
  <si>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</si>
  <si>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</si>
  <si>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17066-20-30</t>
  </si>
  <si>
    <t>EXTRAPAN X50</t>
  </si>
  <si>
    <t>090326B</t>
  </si>
  <si>
    <t>090326B1</t>
  </si>
  <si>
    <t>EMPAQUE EXTRA PAN X50</t>
  </si>
  <si>
    <t>MP-02192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</si>
  <si>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</si>
  <si>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</si>
  <si>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</si>
  <si>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</si>
  <si>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</si>
  <si>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</si>
  <si>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</si>
  <si>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</si>
  <si>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</si>
  <si>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</si>
  <si>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EMPAQUE CAFE</t>
  </si>
  <si>
    <t>MP-01953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</si>
  <si>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</si>
  <si>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</si>
  <si>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</si>
  <si>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</si>
  <si>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</si>
  <si>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</si>
  <si>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17066-50</t>
  </si>
  <si>
    <t>EXCLUSIVA X50</t>
  </si>
  <si>
    <t>100326B</t>
  </si>
  <si>
    <t>EMPAQUE MULTI BEIGE X25</t>
  </si>
  <si>
    <t>MP-02224</t>
  </si>
  <si>
    <t>DESARROLLO X1</t>
  </si>
  <si>
    <t>EMPAQUE GALERAS MOG X40</t>
  </si>
  <si>
    <t>MP-02289</t>
  </si>
  <si>
    <t>17066-40</t>
  </si>
  <si>
    <t>HARINA ALTA PROTEINA X1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</si>
  <si>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</si>
  <si>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</si>
  <si>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</si>
  <si>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</si>
  <si>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</si>
  <si>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</si>
  <si>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</si>
  <si>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MP-02243</t>
  </si>
  <si>
    <t>ARTESANAL X1</t>
  </si>
  <si>
    <t xml:space="preserve">MEJORANTE EXTRA PAN </t>
  </si>
  <si>
    <t>050326B-050326B1-090326B</t>
  </si>
  <si>
    <t xml:space="preserve">FUERTE EXPORTACIÓN </t>
  </si>
  <si>
    <t>MEJORANTE ARTESANAL</t>
  </si>
  <si>
    <t>17066-10</t>
  </si>
  <si>
    <t>HARINA T1 X 50</t>
  </si>
  <si>
    <t>HILO BLANCO</t>
  </si>
  <si>
    <t>17066-60-70</t>
  </si>
  <si>
    <t>SALVADO X25</t>
  </si>
  <si>
    <t>020326B</t>
  </si>
  <si>
    <t xml:space="preserve">HILO VERDE  </t>
  </si>
  <si>
    <t>MP-02234</t>
  </si>
  <si>
    <t>17066-80-90</t>
  </si>
  <si>
    <t>MOGOLLA X40</t>
  </si>
  <si>
    <t>HILO NARANJA</t>
  </si>
  <si>
    <t>MP-01747</t>
  </si>
  <si>
    <t>17066-100</t>
  </si>
  <si>
    <t>SEGUNDA X50</t>
  </si>
  <si>
    <t>EMPAQUE FUERTE EXPORTACION</t>
  </si>
  <si>
    <t>17066-110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</si>
  <si>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</si>
  <si>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</si>
  <si>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</si>
  <si>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</si>
  <si>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</si>
  <si>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</si>
  <si>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</si>
  <si>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</si>
  <si>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Rolando</t>
  </si>
  <si>
    <t>ENCARGADO TURNO 2</t>
  </si>
  <si>
    <t>EXT. MOGOLLA</t>
  </si>
  <si>
    <t>Elmer</t>
  </si>
  <si>
    <t>Julio</t>
  </si>
  <si>
    <t>Antonio</t>
  </si>
  <si>
    <t>ENCARGADO TURNO 3</t>
  </si>
  <si>
    <t>EXT. SALVADO x25</t>
  </si>
  <si>
    <t>Andres</t>
  </si>
  <si>
    <t>Fernando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</si>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</sst>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e713bb0adc6a93e5ea96ba3c44f040a.png"/><Relationship Id="rId2" Type="http://schemas.openxmlformats.org/officeDocument/2006/relationships/image" Target="../media/120f72eb6b179196120a8e4e7dc96af9.png"/><Relationship Id="rId3" Type="http://schemas.openxmlformats.org/officeDocument/2006/relationships/image" Target="../media/1063cbce01a2b43dea51e2b54febe045.png"/><Relationship Id="rId4" Type="http://schemas.openxmlformats.org/officeDocument/2006/relationships/image" Target="../media/72e8a51590d8a20f24ad8b7aeadb74ec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7049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6954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1427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5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7</v>
      </c>
      <c r="I8" s="118" t="s">
        <v>8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9</v>
      </c>
      <c r="I9" s="124"/>
      <c r="J9" s="125" t="s">
        <v>10</v>
      </c>
      <c r="K9" s="126"/>
      <c r="M9" s="24"/>
    </row>
    <row r="10" spans="1:13" customHeight="1" ht="15">
      <c r="A10" s="44" t="s">
        <v>11</v>
      </c>
      <c r="B10" s="41" t="s">
        <v>12</v>
      </c>
      <c r="C10" s="43" t="s">
        <v>13</v>
      </c>
      <c r="D10" s="42" t="s">
        <v>14</v>
      </c>
      <c r="E10" s="2" t="s">
        <v>15</v>
      </c>
      <c r="F10" s="2" t="s">
        <v>14</v>
      </c>
      <c r="G10" s="2" t="s">
        <v>16</v>
      </c>
      <c r="H10" s="2" t="s">
        <v>14</v>
      </c>
      <c r="I10" s="2" t="s">
        <v>17</v>
      </c>
      <c r="J10" s="2" t="s">
        <v>18</v>
      </c>
      <c r="K10" s="10" t="s">
        <v>19</v>
      </c>
      <c r="L10" s="10" t="s">
        <v>20</v>
      </c>
      <c r="M10" s="10" t="s">
        <v>21</v>
      </c>
    </row>
    <row r="11" spans="1:13">
      <c r="A11" s="27" t="s">
        <v>22</v>
      </c>
      <c r="B11" s="120" t="s">
        <v>23</v>
      </c>
      <c r="C11" s="35">
        <v>441</v>
      </c>
      <c r="D11" s="39" t="s">
        <v>24</v>
      </c>
      <c r="E11" s="28">
        <v>356</v>
      </c>
      <c r="F11" s="19" t="s">
        <v>24</v>
      </c>
      <c r="G11" s="19">
        <v>339</v>
      </c>
      <c r="H11" s="19" t="s">
        <v>25</v>
      </c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/>
      <c r="B12" s="121"/>
      <c r="C12" s="40"/>
      <c r="E12" s="20">
        <v>80</v>
      </c>
      <c r="F12" s="20" t="s">
        <v>25</v>
      </c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28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29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30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31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32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33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34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35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36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37</v>
      </c>
      <c r="K21" s="64"/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 t="s">
        <v>38</v>
      </c>
      <c r="K22" s="64" t="s">
        <v>39</v>
      </c>
      <c r="L22" s="64"/>
      <c r="M22" s="64"/>
    </row>
    <row r="23" spans="1:13">
      <c r="A23" s="27"/>
      <c r="B23" s="55" t="s">
        <v>40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41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42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43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44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45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 t="s">
        <v>46</v>
      </c>
      <c r="B29" s="55" t="s">
        <v>47</v>
      </c>
      <c r="C29" s="34"/>
      <c r="D29" s="21"/>
      <c r="E29" s="21"/>
      <c r="F29" s="21"/>
      <c r="G29" s="21">
        <v>601</v>
      </c>
      <c r="H29" s="21" t="s">
        <v>48</v>
      </c>
      <c r="I29" s="70" t="e">
        <f>SUM((C29+C30+E29+E30+G29+G30)*50)</f>
        <v>#VALUE!</v>
      </c>
      <c r="J29" s="66" t="s">
        <v>49</v>
      </c>
      <c r="K29" s="64" t="s">
        <v>50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51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52</v>
      </c>
      <c r="K31" s="64" t="s">
        <v>53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54</v>
      </c>
      <c r="B33" s="55" t="s">
        <v>55</v>
      </c>
      <c r="C33" s="34">
        <v>24336</v>
      </c>
      <c r="D33" s="21" t="s">
        <v>24</v>
      </c>
      <c r="E33" s="21"/>
      <c r="F33" s="21"/>
      <c r="G33" s="21"/>
      <c r="H33" s="21"/>
      <c r="I33" s="70" t="e">
        <f>SUM((C33+C34+E33+E34+G33+G34)*1)</f>
        <v>#VALUE!</v>
      </c>
      <c r="J33" s="66" t="s">
        <v>56</v>
      </c>
      <c r="K33" s="64" t="s">
        <v>57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58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59</v>
      </c>
      <c r="K35" s="64" t="s">
        <v>60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61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62</v>
      </c>
      <c r="K37" s="64" t="s">
        <v>63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64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65</v>
      </c>
      <c r="K39" s="64" t="s">
        <v>66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67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68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 t="s">
        <v>69</v>
      </c>
      <c r="B43" s="55" t="s">
        <v>70</v>
      </c>
      <c r="C43" s="34">
        <v>135</v>
      </c>
      <c r="D43" s="21" t="s">
        <v>24</v>
      </c>
      <c r="E43" s="21">
        <v>165</v>
      </c>
      <c r="F43" s="21" t="s">
        <v>24</v>
      </c>
      <c r="G43" s="21"/>
      <c r="H43" s="21"/>
      <c r="I43" s="70" t="e">
        <f>SUM((C43+C44+E43+E44+G43+G44)*50)</f>
        <v>#VALUE!</v>
      </c>
      <c r="J43" s="66" t="s">
        <v>71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72</v>
      </c>
      <c r="B45" s="71" t="s">
        <v>73</v>
      </c>
      <c r="C45" s="34">
        <v>54</v>
      </c>
      <c r="D45" s="21" t="s">
        <v>74</v>
      </c>
      <c r="E45" s="21">
        <v>51</v>
      </c>
      <c r="F45" s="21" t="s">
        <v>24</v>
      </c>
      <c r="G45" s="21">
        <v>63</v>
      </c>
      <c r="H45" s="21" t="s">
        <v>24</v>
      </c>
      <c r="I45" s="65" t="e">
        <f>SUM((C45+C46+E45+E46+G45+G46)*25)</f>
        <v>#VALUE!</v>
      </c>
      <c r="J45" s="66" t="s">
        <v>75</v>
      </c>
      <c r="K45" s="64" t="s">
        <v>76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77</v>
      </c>
      <c r="B47" s="71" t="s">
        <v>78</v>
      </c>
      <c r="C47" s="34">
        <v>90</v>
      </c>
      <c r="D47" s="21" t="s">
        <v>74</v>
      </c>
      <c r="E47" s="21">
        <v>147</v>
      </c>
      <c r="F47" s="21" t="s">
        <v>24</v>
      </c>
      <c r="G47" s="21">
        <v>124</v>
      </c>
      <c r="H47" s="21" t="s">
        <v>24</v>
      </c>
      <c r="I47" s="65" t="e">
        <f>SUM((C47+C48+E47+E48+G47+G48)*40)</f>
        <v>#VALUE!</v>
      </c>
      <c r="J47" s="66" t="s">
        <v>79</v>
      </c>
      <c r="K47" s="64" t="s">
        <v>80</v>
      </c>
      <c r="L47" s="64"/>
      <c r="M47" s="64"/>
    </row>
    <row r="48" spans="1:13">
      <c r="A48" s="31"/>
      <c r="B48" s="71"/>
      <c r="C48" s="40">
        <v>126</v>
      </c>
      <c r="D48" s="20" t="s">
        <v>24</v>
      </c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81</v>
      </c>
      <c r="B49" s="71" t="s">
        <v>82</v>
      </c>
      <c r="C49" s="34"/>
      <c r="D49" s="21"/>
      <c r="E49" s="21">
        <v>33</v>
      </c>
      <c r="F49" s="21" t="s">
        <v>74</v>
      </c>
      <c r="G49" s="21">
        <v>72</v>
      </c>
      <c r="H49" s="21" t="s">
        <v>74</v>
      </c>
      <c r="I49" s="65" t="e">
        <f>SUM((C49+C50+E49+E50+G49+G50)*50)</f>
        <v>#VALUE!</v>
      </c>
      <c r="J49" s="66" t="s">
        <v>83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 t="s">
        <v>84</v>
      </c>
      <c r="B51" s="79" t="s">
        <v>85</v>
      </c>
      <c r="C51" s="34"/>
      <c r="D51" s="21"/>
      <c r="E51" s="21">
        <v>38</v>
      </c>
      <c r="F51" s="21" t="s">
        <v>24</v>
      </c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86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87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88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89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90</v>
      </c>
      <c r="J61" s="48"/>
      <c r="K61" s="84"/>
    </row>
    <row r="62" spans="1:13" customHeight="1" ht="109">
      <c r="A62" s="11" t="s">
        <v>91</v>
      </c>
      <c r="B62" s="12" t="e">
        <f>B59/J59</f>
        <v>#VALUE!</v>
      </c>
      <c r="C62" s="85" t="s">
        <v>92</v>
      </c>
      <c r="D62" s="86"/>
      <c r="E62" s="86" t="s">
        <v>93</v>
      </c>
      <c r="F62" s="86"/>
      <c r="G62" s="86" t="s">
        <v>93</v>
      </c>
      <c r="H62" s="86"/>
      <c r="I62" s="50" t="s">
        <v>94</v>
      </c>
      <c r="J62" s="7"/>
      <c r="K62" s="84"/>
    </row>
    <row r="63" spans="1:13" customHeight="1" ht="119">
      <c r="A63" s="13" t="s">
        <v>95</v>
      </c>
      <c r="B63" s="14" t="e">
        <f>(SUM(I47)/J59)</f>
        <v>#VALUE!</v>
      </c>
      <c r="C63" s="87" t="s">
        <v>96</v>
      </c>
      <c r="D63" s="88"/>
      <c r="E63" s="88" t="s">
        <v>97</v>
      </c>
      <c r="F63" s="88"/>
      <c r="G63" s="88" t="s">
        <v>98</v>
      </c>
      <c r="H63" s="88"/>
      <c r="I63" s="5" t="s">
        <v>99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100</v>
      </c>
      <c r="B64" s="14" t="e">
        <f>(SUM(I45)/J59)</f>
        <v>#VALUE!</v>
      </c>
      <c r="C64" s="87" t="s">
        <v>101</v>
      </c>
      <c r="D64" s="88"/>
      <c r="E64" s="88" t="s">
        <v>102</v>
      </c>
      <c r="F64" s="88"/>
      <c r="G64" s="88"/>
      <c r="H64" s="88"/>
      <c r="I64" s="5" t="s">
        <v>103</v>
      </c>
      <c r="J64" s="4" t="s">
        <v>10</v>
      </c>
      <c r="K64" s="84"/>
    </row>
    <row r="65" spans="1:13" customHeight="1" ht="47.25">
      <c r="A65" s="13" t="s">
        <v>104</v>
      </c>
      <c r="B65" s="14" t="e">
        <f>(SUM(I49)/J59)</f>
        <v>#VALUE!</v>
      </c>
      <c r="C65" s="87"/>
      <c r="D65" s="88"/>
      <c r="E65" s="88" t="s">
        <v>98</v>
      </c>
      <c r="F65" s="88"/>
      <c r="G65" s="88"/>
      <c r="H65" s="88"/>
      <c r="I65" s="3" t="s">
        <v>105</v>
      </c>
      <c r="J65" s="4" t="s">
        <v>10</v>
      </c>
      <c r="K65" s="84"/>
    </row>
    <row r="66" spans="1:13" customHeight="1" ht="45.75">
      <c r="A66" s="51" t="s">
        <v>106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107</v>
      </c>
      <c r="J66" s="54"/>
      <c r="K66" s="84"/>
    </row>
    <row r="67" spans="1:13" customHeight="1" ht="45.75">
      <c r="A67" s="46" t="s">
        <v>108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109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