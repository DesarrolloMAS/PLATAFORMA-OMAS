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3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<sst xmlns="http://schemas.openxmlformats.org/spreadsheetml/2006/main" uniqueCount="103">
  <si>
    <t>CONTROL DE MOLIENDA ZONA CENTRO</t>
  </si>
  <si>
    <t>MOLIENDA DE TRIGO Nº</t>
  </si>
  <si>
    <t>Hora Turno1</t>
  </si>
  <si>
    <t>14:01</t>
  </si>
  <si>
    <t>Hora Turno2</t>
  </si>
  <si>
    <t>06:14</t>
  </si>
  <si>
    <t>Hora Turno3</t>
  </si>
  <si>
    <t>06:18</t>
  </si>
  <si>
    <t>FECHA</t>
  </si>
  <si>
    <t>2026-03-24</t>
  </si>
  <si>
    <t>Responsable</t>
  </si>
  <si>
    <t>Gleimer Paez</t>
  </si>
  <si>
    <t>N SAP Orden de Trabajo</t>
  </si>
  <si>
    <t xml:space="preserve">REFERENCIA </t>
  </si>
  <si>
    <t>1 TURNO</t>
  </si>
  <si>
    <t>LOTE</t>
  </si>
  <si>
    <t>2 TURNO</t>
  </si>
  <si>
    <t>3 TURNO</t>
  </si>
  <si>
    <t>TOTAL KILOS</t>
  </si>
  <si>
    <t>MATERIALES</t>
  </si>
  <si>
    <t>LOTES TURNO 1</t>
  </si>
  <si>
    <t>LOTES TURNO 2</t>
  </si>
  <si>
    <t>LOTES TURNO 3</t>
  </si>
  <si>
    <t>EXTRAPAN X50</t>
  </si>
  <si>
    <t>190326B</t>
  </si>
  <si>
    <t>EMPAQUE EXTRA PAN X50</t>
  </si>
  <si>
    <t>MP-02192 MP-02197</t>
  </si>
  <si>
    <t>240326B</t>
  </si>
  <si>
    <t>EXTRAPAN X25</t>
  </si>
  <si>
    <t>EMPAQUE EXTRA PAN X25</t>
  </si>
  <si>
    <t>MP-02053</t>
  </si>
  <si>
    <t>EXTRAPAN X10</t>
  </si>
  <si>
    <t>EMPAQUE EXTRAPAN X10</t>
  </si>
  <si>
    <t>ARTESANAL X50</t>
  </si>
  <si>
    <t>EMPAQUE GALERAS ROJO X50</t>
  </si>
  <si>
    <t>ARTESANAL X25</t>
  </si>
  <si>
    <t>EMPAQUE GALERAS VERDE X50</t>
  </si>
  <si>
    <t>FUERTE X25</t>
  </si>
  <si>
    <t>EMPAQUE GALERAS CAFÉ X50</t>
  </si>
  <si>
    <t>NATURAL X50</t>
  </si>
  <si>
    <t>EMPAQUE GALERAS AZUL X50</t>
  </si>
  <si>
    <t>ESPECIAL X50</t>
  </si>
  <si>
    <t>EMPAQUE GALERAS NARANJA X25</t>
  </si>
  <si>
    <t>ESPECIAL X25</t>
  </si>
  <si>
    <t>EMPAQUE GALERAS KRAFT X25</t>
  </si>
  <si>
    <t>EXCLUSIVA X50</t>
  </si>
  <si>
    <t>EMPAQUE MULTI BEIGE X25</t>
  </si>
  <si>
    <t>DESARROLLO X1</t>
  </si>
  <si>
    <t>EMPAQUE GALERAS MOG X40</t>
  </si>
  <si>
    <t>MP-02289</t>
  </si>
  <si>
    <t>HARINA ALTA PROTEINA X1</t>
  </si>
  <si>
    <t>EMPAQUE GALERAS SAL X25</t>
  </si>
  <si>
    <t>MP-02152</t>
  </si>
  <si>
    <t>HARINA MEDIA PROTEINA X1</t>
  </si>
  <si>
    <t>EMPAQUE GALERAS SEG X50</t>
  </si>
  <si>
    <t>MP-02153</t>
  </si>
  <si>
    <t>HARINA BAJA PROTEINA X1</t>
  </si>
  <si>
    <t>VITAMINA</t>
  </si>
  <si>
    <t>MP-02327</t>
  </si>
  <si>
    <t>ARTESANAL X1</t>
  </si>
  <si>
    <t xml:space="preserve">MEJORANTE EXTRA PAN </t>
  </si>
  <si>
    <t>190326B-190326B1</t>
  </si>
  <si>
    <t xml:space="preserve">FUERTE EXPORTACIÓN </t>
  </si>
  <si>
    <t>MEJORANTE ARTESANAL</t>
  </si>
  <si>
    <t>HARINA T1 X 50</t>
  </si>
  <si>
    <t>HILO BLANCO</t>
  </si>
  <si>
    <t>SALVADO X25</t>
  </si>
  <si>
    <t>160326B</t>
  </si>
  <si>
    <t xml:space="preserve">HILO VERDE  </t>
  </si>
  <si>
    <t>MP-02325</t>
  </si>
  <si>
    <t>MOGOLLA X40</t>
  </si>
  <si>
    <t>HILO NARANJA</t>
  </si>
  <si>
    <t>MP-01747</t>
  </si>
  <si>
    <t>SEGUNDA X50</t>
  </si>
  <si>
    <t>EMPAQUE FUERTE EXPORTACION</t>
  </si>
  <si>
    <t>SÉMOLA FINA X25</t>
  </si>
  <si>
    <t>SEMOLA GRUESA X25</t>
  </si>
  <si>
    <t>GERMEN X25</t>
  </si>
  <si>
    <t>TOTAL HARINA</t>
  </si>
  <si>
    <t>TOTAL</t>
  </si>
  <si>
    <t>ENCARGADO TURNO 1</t>
  </si>
  <si>
    <t>EXT. HARINA</t>
  </si>
  <si>
    <t>Andres</t>
  </si>
  <si>
    <t>Fernando</t>
  </si>
  <si>
    <t>Julio</t>
  </si>
  <si>
    <t>ENCARGADO TURNO 2</t>
  </si>
  <si>
    <t>EXT. MOGOLLA</t>
  </si>
  <si>
    <t>Ferney</t>
  </si>
  <si>
    <t>Sayco</t>
  </si>
  <si>
    <t>Rola</t>
  </si>
  <si>
    <t>ENCARGADO TURNO 3</t>
  </si>
  <si>
    <t>EXT. SALVADO x25</t>
  </si>
  <si>
    <t>Luis poloche</t>
  </si>
  <si>
    <t>Chala</t>
  </si>
  <si>
    <t>Antonio</t>
  </si>
  <si>
    <t>ALMACENISTA 1</t>
  </si>
  <si>
    <t>EXT. SEGUNDA</t>
  </si>
  <si>
    <t>ALMACENISTA 2</t>
  </si>
  <si>
    <t>Elkin Polania</t>
  </si>
  <si>
    <t>EXT. GERMEN</t>
  </si>
  <si>
    <t>COORDINADOR DE OPERACIONES</t>
  </si>
  <si>
    <t>EXT.SALVADO X30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</si>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</sst>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0"/>
      <name val="Calibri"/>
      <scheme val="minor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8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44546A"/>
        <bgColor rgb="FFFFFFFF"/>
      </patternFill>
    </fill>
  </fills>
  <borders count="5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1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1" numFmtId="0" fillId="4" borderId="13" applyFont="1" applyNumberFormat="0" applyFill="1" applyBorder="1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0" numFmtId="0" fillId="0" borderId="17" applyFont="0" applyNumberFormat="0" applyFill="0" applyBorder="1" applyAlignment="0"/>
    <xf xfId="0" fontId="0" numFmtId="0" fillId="0" borderId="18" applyFont="0" applyNumberFormat="0" applyFill="0" applyBorder="1" applyAlignment="0"/>
    <xf xfId="0" fontId="0" numFmtId="0" fillId="0" borderId="19" applyFont="0" applyNumberFormat="0" applyFill="0" applyBorder="1" applyAlignment="0"/>
    <xf xfId="0" fontId="2" numFmtId="0" fillId="0" borderId="20" applyFont="1" applyNumberFormat="0" applyFill="0" applyBorder="1" applyAlignment="1">
      <alignment vertical="center" textRotation="0" wrapText="false" shrinkToFit="false"/>
    </xf>
    <xf xfId="0" fontId="2" numFmtId="0" fillId="0" borderId="21" applyFont="1" applyNumberFormat="0" applyFill="0" applyBorder="1" applyAlignment="1">
      <alignment vertical="center" textRotation="0" wrapText="false" shrinkToFit="false"/>
    </xf>
    <xf xfId="0" fontId="2" numFmtId="0" fillId="0" borderId="22" applyFont="1" applyNumberFormat="0" applyFill="0" applyBorder="1" applyAlignment="1">
      <alignment vertical="center" textRotation="0" wrapText="false" shrinkToFit="false"/>
    </xf>
    <xf xfId="0" fontId="2" numFmtId="0" fillId="0" borderId="23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24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21" applyFont="1" applyNumberFormat="0" applyFill="0" applyBorder="1" applyAlignment="1">
      <alignment horizontal="center" vertical="center" textRotation="0" wrapText="false" shrinkToFit="false"/>
    </xf>
    <xf xfId="0" fontId="2" numFmtId="0" fillId="3" borderId="25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26" applyFont="1" applyNumberFormat="0" applyFill="0" applyBorder="1" applyAlignment="1">
      <alignment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1" numFmtId="0" fillId="2" borderId="27" applyFont="1" applyNumberFormat="0" applyFill="1" applyBorder="1" applyAlignment="1">
      <alignment horizontal="center" vertical="center" textRotation="0" wrapText="false" shrinkToFit="false"/>
    </xf>
    <xf xfId="0" fontId="1" numFmtId="0" fillId="2" borderId="28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9" applyFont="1" applyNumberFormat="0" applyFill="1" applyBorder="1" applyAlignment="1">
      <alignment horizontal="center" vertical="center" textRotation="0" wrapText="tru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23" applyFont="1" applyNumberFormat="0" applyFill="0" applyBorder="1" applyAlignment="1">
      <alignment horizontal="center" vertical="center" textRotation="0" wrapText="true" shrinkToFit="false"/>
    </xf>
    <xf xfId="0" fontId="1" numFmtId="0" fillId="0" borderId="30" applyFont="1" applyNumberFormat="0" applyFill="0" applyBorder="1" applyAlignment="1">
      <alignment horizontal="center" vertical="center" textRotation="0" wrapText="true" shrinkToFit="false"/>
    </xf>
    <xf xfId="0" fontId="1" numFmtId="0" fillId="4" borderId="31" applyFont="1" applyNumberFormat="0" applyFill="1" applyBorder="1" applyAlignment="1">
      <alignment horizontal="center" vertical="center" textRotation="0" wrapText="false" shrinkToFit="false"/>
    </xf>
    <xf xfId="0" fontId="2" numFmtId="10" fillId="4" borderId="32" applyFont="1" applyNumberFormat="1" applyFill="1" applyBorder="1" applyAlignment="1">
      <alignment horizontal="center" vertical="center" textRotation="0" wrapText="false" shrinkToFit="false"/>
    </xf>
    <xf xfId="0" fontId="1" numFmtId="0" fillId="0" borderId="33" applyFont="1" applyNumberFormat="0" applyFill="0" applyBorder="1" applyAlignment="1">
      <alignment horizontal="center" vertical="center" textRotation="0" wrapText="true" shrinkToFit="false"/>
    </xf>
    <xf xfId="0" fontId="1" numFmtId="0" fillId="0" borderId="32" applyFont="1" applyNumberFormat="0" applyFill="0" applyBorder="1" applyAlignment="1">
      <alignment horizontal="center" vertical="center" textRotation="0" wrapText="false" shrinkToFit="false"/>
    </xf>
    <xf xfId="0" fontId="1" numFmtId="0" fillId="4" borderId="16" applyFont="1" applyNumberFormat="0" applyFill="1" applyBorder="1" applyAlignment="1">
      <alignment horizontal="center" vertical="center" textRotation="0" wrapText="false" shrinkToFit="false"/>
    </xf>
    <xf xfId="0" fontId="1" numFmtId="0" fillId="4" borderId="15" applyFont="1" applyNumberFormat="0" applyFill="1" applyBorder="1" applyAlignment="1">
      <alignment horizontal="center" vertical="center" textRotation="0" wrapText="false" shrinkToFit="false"/>
    </xf>
    <xf xfId="0" fontId="4" numFmtId="0" fillId="5" borderId="34" applyFont="1" applyNumberFormat="0" applyFill="1" applyBorder="1" applyAlignment="1">
      <alignment horizontal="center" vertical="bottom" textRotation="0" wrapText="false" shrinkToFit="false"/>
    </xf>
    <xf xfId="0" fontId="4" numFmtId="0" fillId="5" borderId="30" applyFont="1" applyNumberFormat="0" applyFill="1" applyBorder="1" applyAlignment="1">
      <alignment horizontal="center" vertical="bottom" textRotation="0" wrapText="false" shrinkToFit="false"/>
    </xf>
    <xf xfId="0" fontId="4" numFmtId="0" fillId="5" borderId="15" applyFont="1" applyNumberFormat="0" applyFill="1" applyBorder="1" applyAlignment="1">
      <alignment horizontal="center" vertical="bottom" textRotation="0" wrapText="false" shrinkToFit="false"/>
    </xf>
    <xf xfId="0" fontId="4" numFmtId="0" fillId="5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1">
      <alignment horizontal="center" vertical="bottom" textRotation="0" wrapText="false" shrinkToFit="false"/>
    </xf>
    <xf xfId="0" fontId="0" numFmtId="0" fillId="0" borderId="33" applyFont="0" applyNumberFormat="0" applyFill="0" applyBorder="1" applyAlignment="1">
      <alignment horizontal="center" vertical="bottom" textRotation="0" wrapText="false" shrinkToFit="false"/>
    </xf>
    <xf xfId="0" fontId="0" numFmtId="0" fillId="0" borderId="32" applyFont="0" applyNumberFormat="0" applyFill="0" applyBorder="1" applyAlignment="1">
      <alignment horizontal="center" vertical="bottom" textRotation="0" wrapText="fals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2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4" borderId="16" applyFont="1" applyNumberFormat="0" applyFill="1" applyBorder="1" applyAlignment="1">
      <alignment horizontal="center" vertical="center" textRotation="0" wrapText="true" shrinkToFit="false"/>
    </xf>
    <xf xfId="0" fontId="1" numFmtId="0" fillId="4" borderId="15" applyFont="1" applyNumberFormat="0" applyFill="1" applyBorder="1" applyAlignment="1">
      <alignment horizontal="center" vertical="center" textRotation="0" wrapText="true" shrinkToFit="false"/>
    </xf>
    <xf xfId="0" fontId="5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4" borderId="3" applyFont="1" applyNumberFormat="0" applyFill="1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4" borderId="37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38" applyFont="1" applyNumberFormat="0" applyFill="0" applyBorder="1" applyAlignment="1">
      <alignment horizontal="center" vertical="center" textRotation="0" wrapText="false" shrinkToFit="false"/>
    </xf>
    <xf xfId="0" fontId="1" numFmtId="0" fillId="0" borderId="20" applyFont="1" applyNumberFormat="0" applyFill="0" applyBorder="1" applyAlignment="1">
      <alignment horizontal="center" vertical="center" textRotation="0" wrapText="false" shrinkToFit="false"/>
    </xf>
    <xf xfId="0" fontId="1" numFmtId="0" fillId="0" borderId="3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4" borderId="40" applyFont="1" applyNumberFormat="0" applyFill="1" applyBorder="1" applyAlignment="1">
      <alignment horizontal="center" vertical="center" textRotation="0" wrapText="false" shrinkToFit="false"/>
    </xf>
    <xf xfId="0" fontId="1" numFmtId="0" fillId="4" borderId="41" applyFont="1" applyNumberFormat="0" applyFill="1" applyBorder="1" applyAlignment="1">
      <alignment horizontal="center" vertical="center" textRotation="0" wrapText="false" shrinkToFit="false"/>
    </xf>
    <xf xfId="0" fontId="1" numFmtId="0" fillId="4" borderId="3" applyFont="1" applyNumberFormat="0" applyFill="1" applyBorder="1" applyAlignment="1">
      <alignment horizontal="center" vertical="center" textRotation="0" wrapText="false" shrinkToFit="false"/>
    </xf>
    <xf xfId="0" fontId="1" numFmtId="0" fillId="0" borderId="14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3" borderId="19" applyFont="1" applyNumberFormat="0" applyFill="1" applyBorder="1" applyAlignment="1">
      <alignment horizontal="center" vertical="center" textRotation="0" wrapText="false" shrinkToFit="false"/>
    </xf>
    <xf xfId="0" fontId="1" numFmtId="0" fillId="0" borderId="42" applyFont="1" applyNumberFormat="0" applyFill="0" applyBorder="1" applyAlignment="1">
      <alignment horizontal="center" vertical="center" textRotation="0" wrapText="false" shrinkToFit="false"/>
    </xf>
    <xf xfId="0" fontId="1" numFmtId="0" fillId="0" borderId="30" applyFont="1" applyNumberFormat="0" applyFill="0" applyBorder="1" applyAlignment="1">
      <alignment horizontal="center" vertical="center" textRotation="0" wrapText="false" shrinkToFit="false"/>
    </xf>
    <xf xfId="0" fontId="1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3" applyFont="1" applyNumberFormat="0" applyFill="0" applyBorder="1" applyAlignment="1">
      <alignment horizontal="center" vertical="center" textRotation="0" wrapText="false" shrinkToFit="false"/>
    </xf>
    <xf xfId="0" fontId="1" numFmtId="0" fillId="0" borderId="33" applyFont="1" applyNumberFormat="0" applyFill="0" applyBorder="1" applyAlignment="1">
      <alignment horizontal="center" vertical="center" textRotation="0" wrapText="false" shrinkToFit="false"/>
    </xf>
    <xf xfId="0" fontId="1" numFmtId="0" fillId="0" borderId="29" applyFont="1" applyNumberFormat="0" applyFill="0" applyBorder="1" applyAlignment="1">
      <alignment horizontal="center" vertical="center" textRotation="0" wrapText="false" shrinkToFit="false"/>
    </xf>
    <xf xfId="0" fontId="2" numFmtId="0" fillId="0" borderId="34" applyFont="1" applyNumberFormat="0" applyFill="0" applyBorder="1" applyAlignment="1">
      <alignment horizontal="center" vertical="center" textRotation="0" wrapText="fals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44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22" applyFont="1" applyNumberFormat="0" applyFill="0" applyBorder="1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0" borderId="45" applyFont="1" applyNumberFormat="0" applyFill="0" applyBorder="1" applyAlignment="1">
      <alignment horizontal="center" vertical="center" textRotation="0" wrapText="false" shrinkToFit="false"/>
    </xf>
    <xf xfId="0" fontId="2" numFmtId="0" fillId="3" borderId="17" applyFont="1" applyNumberFormat="0" applyFill="1" applyBorder="1" applyAlignment="1">
      <alignment horizontal="center" vertical="center" textRotation="0" wrapText="false" shrinkToFit="false"/>
    </xf>
    <xf xfId="0" fontId="2" numFmtId="0" fillId="0" borderId="25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6" numFmtId="0" fillId="4" borderId="34" applyFont="1" applyNumberFormat="0" applyFill="1" applyBorder="1" applyAlignment="1">
      <alignment horizontal="center" vertical="center" textRotation="0" wrapText="true" shrinkToFit="false"/>
    </xf>
    <xf xfId="0" fontId="6" numFmtId="0" fillId="4" borderId="30" applyFont="1" applyNumberFormat="0" applyFill="1" applyBorder="1" applyAlignment="1">
      <alignment horizontal="center" vertical="center" textRotation="0" wrapText="true" shrinkToFit="false"/>
    </xf>
    <xf xfId="0" fontId="6" numFmtId="0" fillId="4" borderId="6" applyFont="1" applyNumberFormat="0" applyFill="1" applyBorder="1" applyAlignment="1">
      <alignment horizontal="center" vertical="center" textRotation="0" wrapText="true" shrinkToFit="false"/>
    </xf>
    <xf xfId="0" fontId="6" numFmtId="0" fillId="4" borderId="44" applyFont="1" applyNumberFormat="0" applyFill="1" applyBorder="1" applyAlignment="1">
      <alignment horizontal="center" vertical="center" textRotation="0" wrapText="true" shrinkToFit="false"/>
    </xf>
    <xf xfId="0" fontId="6" numFmtId="0" fillId="4" borderId="3" applyFont="1" applyNumberFormat="0" applyFill="1" applyBorder="1" applyAlignment="1">
      <alignment horizontal="center" vertical="center" textRotation="0" wrapText="true" shrinkToFit="false"/>
    </xf>
    <xf xfId="0" fontId="6" numFmtId="0" fillId="4" borderId="4" applyFont="1" applyNumberFormat="0" applyFill="1" applyBorder="1" applyAlignment="1">
      <alignment horizontal="center" vertical="center" textRotation="0" wrapText="true" shrinkToFit="false"/>
    </xf>
    <xf xfId="0" fontId="6" numFmtId="0" fillId="4" borderId="35" applyFont="1" applyNumberFormat="0" applyFill="1" applyBorder="1" applyAlignment="1">
      <alignment horizontal="center" vertical="center" textRotation="0" wrapText="true" shrinkToFit="false"/>
    </xf>
    <xf xfId="0" fontId="6" numFmtId="0" fillId="4" borderId="33" applyFont="1" applyNumberFormat="0" applyFill="1" applyBorder="1" applyAlignment="1">
      <alignment horizontal="center" vertical="center" textRotation="0" wrapText="true" shrinkToFit="false"/>
    </xf>
    <xf xfId="0" fontId="6" numFmtId="0" fillId="4" borderId="32" applyFont="1" applyNumberFormat="0" applyFill="1" applyBorder="1" applyAlignment="1">
      <alignment horizontal="center" vertical="center" textRotation="0" wrapText="true" shrinkToFit="false"/>
    </xf>
    <xf xfId="0" fontId="7" numFmtId="0" fillId="4" borderId="34" applyFont="1" applyNumberFormat="0" applyFill="1" applyBorder="1" applyAlignment="1">
      <alignment horizontal="center" vertical="center" textRotation="0" wrapText="true" shrinkToFit="false"/>
    </xf>
    <xf xfId="0" fontId="7" numFmtId="0" fillId="4" borderId="6" applyFont="1" applyNumberFormat="0" applyFill="1" applyBorder="1" applyAlignment="1">
      <alignment horizontal="center" vertical="center" textRotation="0" wrapText="true" shrinkToFit="false"/>
    </xf>
    <xf xfId="0" fontId="7" numFmtId="0" fillId="4" borderId="44" applyFont="1" applyNumberFormat="0" applyFill="1" applyBorder="1" applyAlignment="1">
      <alignment horizontal="center" vertical="center" textRotation="0" wrapText="true" shrinkToFit="false"/>
    </xf>
    <xf xfId="0" fontId="7" numFmtId="0" fillId="4" borderId="4" applyFont="1" applyNumberFormat="0" applyFill="1" applyBorder="1" applyAlignment="1">
      <alignment horizontal="center" vertical="center" textRotation="0" wrapText="true" shrinkToFit="false"/>
    </xf>
    <xf xfId="0" fontId="8" numFmtId="0" fillId="4" borderId="22" applyFont="1" applyNumberFormat="0" applyFill="1" applyBorder="1" applyAlignment="1">
      <alignment horizontal="center" vertical="center" textRotation="0" wrapText="true" shrinkToFit="false"/>
    </xf>
    <xf xfId="0" fontId="8" numFmtId="0" fillId="4" borderId="32" applyFont="1" applyNumberFormat="0" applyFill="1" applyBorder="1" applyAlignment="1">
      <alignment horizontal="center" vertical="center" textRotation="0" wrapText="true" shrinkToFit="false"/>
    </xf>
    <xf xfId="0" fontId="2" numFmtId="0" fillId="0" borderId="46" applyFont="1" applyNumberFormat="0" applyFill="0" applyBorder="1" applyAlignment="1">
      <alignment horizontal="center" vertical="center" textRotation="0" wrapText="false" shrinkToFit="false"/>
    </xf>
    <xf xfId="0" fontId="2" numFmtId="0" fillId="0" borderId="47" applyFont="1" applyNumberFormat="0" applyFill="0" applyBorder="1" applyAlignment="1">
      <alignment horizontal="center" vertical="center" textRotation="0" wrapText="false" shrinkToFit="false"/>
    </xf>
    <xf xfId="0" fontId="1" numFmtId="0" fillId="4" borderId="48" applyFont="1" applyNumberFormat="0" applyFill="1" applyBorder="1" applyAlignment="1">
      <alignment horizontal="center" vertical="center" textRotation="0" wrapText="false" shrinkToFit="false"/>
    </xf>
    <xf xfId="0" fontId="1" numFmtId="0" fillId="4" borderId="49" applyFont="1" applyNumberFormat="0" applyFill="1" applyBorder="1" applyAlignment="1">
      <alignment horizontal="center" vertical="center" textRotation="0" wrapText="false" shrinkToFit="false"/>
    </xf>
    <xf xfId="0" fontId="1" numFmtId="0" fillId="4" borderId="14" applyFont="1" applyNumberFormat="0" applyFill="1" applyBorder="1" applyAlignment="1">
      <alignment horizontal="center" vertical="center" textRotation="0" wrapText="true" shrinkToFit="false"/>
    </xf>
    <xf xfId="0" fontId="9" numFmtId="0" fillId="3" borderId="46" applyFont="1" applyNumberFormat="0" applyFill="1" applyBorder="1" applyAlignment="1">
      <alignment horizontal="center" vertical="center" textRotation="0" wrapText="false" shrinkToFit="false"/>
    </xf>
    <xf xfId="0" fontId="9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46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21" applyFont="1" applyNumberFormat="0" applyFill="1" applyBorder="1" applyAlignment="1">
      <alignment horizontal="center" vertical="center" textRotation="0" wrapText="false" shrinkToFit="false"/>
    </xf>
    <xf xfId="0" fontId="1" numFmtId="0" fillId="4" borderId="20" applyFont="1" applyNumberFormat="0" applyFill="1" applyBorder="1" applyAlignment="1">
      <alignment horizontal="center" vertical="center" textRotation="0" wrapText="false" shrinkToFit="false"/>
    </xf>
    <xf xfId="0" fontId="1" numFmtId="0" fillId="0" borderId="32" applyFont="1" applyNumberFormat="0" applyFill="0" applyBorder="1" applyAlignment="1">
      <alignment horizontal="center" vertical="distributed" textRotation="0" wrapText="true" shrinkToFit="false"/>
    </xf>
    <xf xfId="0" fontId="2" numFmtId="0" fillId="0" borderId="43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976f2c55745d71859b7e93296dd1ca8.png"/><Relationship Id="rId2" Type="http://schemas.openxmlformats.org/officeDocument/2006/relationships/image" Target="../media/93ce5fed92a97a8e9ee05bae98034e45.png"/><Relationship Id="rId3" Type="http://schemas.openxmlformats.org/officeDocument/2006/relationships/image" Target="../media/963cec5bda3b1fc40f2741f15ea5db05.png"/><Relationship Id="rId4" Type="http://schemas.openxmlformats.org/officeDocument/2006/relationships/image" Target="../media/2a662b6228eeea20aef906d7901e82d3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61</xdr:row>
      <xdr:rowOff>0</xdr:rowOff>
    </xdr:from>
    <xdr:ext cx="1905000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0</xdr:colOff>
      <xdr:row>85</xdr:row>
      <xdr:rowOff>0</xdr:rowOff>
    </xdr:from>
    <xdr:ext cx="1905000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0</xdr:colOff>
      <xdr:row>61</xdr:row>
      <xdr:rowOff>0</xdr:rowOff>
    </xdr:from>
    <xdr:ext cx="1905000" cy="9525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86"/>
  <sheetViews>
    <sheetView tabSelected="1" workbookViewId="0" zoomScale="38" zoomScaleNormal="60" showGridLines="true" showRowColHeaders="1">
      <selection activeCell="I55" sqref="I55"/>
    </sheetView>
  </sheetViews>
  <sheetFormatPr defaultRowHeight="14.4" defaultColWidth="9.1796875" outlineLevelRow="0" outlineLevelCol="0"/>
  <cols>
    <col min="1" max="1" width="26.1796875" customWidth="true" style="0"/>
    <col min="2" max="2" width="48.1796875" customWidth="true" style="0"/>
    <col min="3" max="3" width="23.54296875" customWidth="true" style="0"/>
    <col min="4" max="4" width="22.54296875" customWidth="true" style="0"/>
    <col min="5" max="5" width="24" customWidth="true" style="0"/>
    <col min="6" max="6" width="22.453125" customWidth="true" style="0"/>
    <col min="7" max="7" width="23.453125" customWidth="true" style="0"/>
    <col min="8" max="8" width="25.1796875" customWidth="true" style="0"/>
    <col min="9" max="9" width="26.7265625" customWidth="true" style="0"/>
    <col min="10" max="10" width="61.453125" customWidth="true" style="0"/>
    <col min="11" max="11" width="35" customWidth="true" style="0"/>
    <col min="12" max="12" width="30.54296875" customWidth="true" style="0"/>
    <col min="13" max="13" width="23.7265625" customWidth="true" style="0"/>
  </cols>
  <sheetData>
    <row r="1" spans="1:13" customHeight="1" ht="15">
      <c r="A1" s="92"/>
      <c r="B1" s="93"/>
      <c r="C1" s="94"/>
      <c r="D1" s="100"/>
      <c r="E1" s="100"/>
      <c r="F1" s="100"/>
      <c r="G1" s="100"/>
      <c r="H1" s="100"/>
      <c r="I1" s="100"/>
      <c r="J1" s="101"/>
      <c r="K1" s="102"/>
      <c r="L1" s="22"/>
      <c r="M1" s="23"/>
    </row>
    <row r="2" spans="1:13">
      <c r="A2" s="95"/>
      <c r="B2" s="70"/>
      <c r="C2" s="96"/>
      <c r="D2" s="9"/>
      <c r="E2" s="103" t="s">
        <v>0</v>
      </c>
      <c r="F2" s="104"/>
      <c r="G2" s="105"/>
      <c r="H2" s="9"/>
      <c r="I2" s="9"/>
      <c r="J2" s="112" t="s">
        <v>1</v>
      </c>
      <c r="K2" s="113"/>
      <c r="M2" s="24"/>
    </row>
    <row r="3" spans="1:13">
      <c r="A3" s="95"/>
      <c r="B3" s="70"/>
      <c r="C3" s="96"/>
      <c r="D3" s="9"/>
      <c r="E3" s="106"/>
      <c r="F3" s="107"/>
      <c r="G3" s="108"/>
      <c r="H3" s="9"/>
      <c r="I3" s="9"/>
      <c r="J3" s="114"/>
      <c r="K3" s="115"/>
      <c r="M3" s="24"/>
    </row>
    <row r="4" spans="1:13" customHeight="1" ht="25.5">
      <c r="A4" s="95"/>
      <c r="B4" s="70"/>
      <c r="C4" s="96"/>
      <c r="D4" s="9"/>
      <c r="E4" s="106"/>
      <c r="F4" s="107"/>
      <c r="G4" s="108"/>
      <c r="H4" s="9"/>
      <c r="I4" s="9"/>
      <c r="J4" s="116">
        <v>1438</v>
      </c>
      <c r="K4" s="117"/>
      <c r="M4" s="24"/>
    </row>
    <row r="5" spans="1:13" customHeight="1" ht="21">
      <c r="A5" s="95"/>
      <c r="B5" s="70"/>
      <c r="C5" s="96"/>
      <c r="D5" s="9"/>
      <c r="E5" s="109"/>
      <c r="F5" s="110"/>
      <c r="G5" s="111"/>
      <c r="H5" s="9"/>
      <c r="I5" s="9"/>
      <c r="J5" s="15" t="s">
        <v>2</v>
      </c>
      <c r="K5" s="16" t="s">
        <v>3</v>
      </c>
      <c r="M5" s="24"/>
    </row>
    <row r="6" spans="1:13" customHeight="1" ht="27">
      <c r="A6" s="95"/>
      <c r="B6" s="70"/>
      <c r="C6" s="96"/>
      <c r="D6" s="9"/>
      <c r="E6" s="9"/>
      <c r="F6" s="9"/>
      <c r="G6" s="9"/>
      <c r="H6" s="9"/>
      <c r="I6" s="9"/>
      <c r="J6" s="17" t="s">
        <v>4</v>
      </c>
      <c r="K6" s="16" t="s">
        <v>5</v>
      </c>
      <c r="M6" s="24"/>
    </row>
    <row r="7" spans="1:13" customHeight="1" ht="25.5">
      <c r="A7" s="95"/>
      <c r="B7" s="70"/>
      <c r="C7" s="96"/>
      <c r="D7" s="9"/>
      <c r="E7" s="9"/>
      <c r="F7" s="9"/>
      <c r="G7" s="9"/>
      <c r="H7" s="29"/>
      <c r="I7" s="30"/>
      <c r="J7" s="18" t="s">
        <v>6</v>
      </c>
      <c r="K7" s="16" t="s">
        <v>7</v>
      </c>
      <c r="M7" s="24"/>
    </row>
    <row r="8" spans="1:13" customHeight="1" ht="15">
      <c r="A8" s="95"/>
      <c r="B8" s="70"/>
      <c r="C8" s="96"/>
      <c r="D8" s="9"/>
      <c r="E8" s="9"/>
      <c r="F8" s="9"/>
      <c r="G8" s="29"/>
      <c r="H8" s="1" t="s">
        <v>8</v>
      </c>
      <c r="I8" s="118" t="s">
        <v>9</v>
      </c>
      <c r="J8" s="119"/>
      <c r="K8" s="102"/>
      <c r="M8" s="24"/>
    </row>
    <row r="9" spans="1:13" customHeight="1" ht="16">
      <c r="A9" s="97"/>
      <c r="B9" s="98"/>
      <c r="C9" s="99"/>
      <c r="D9" s="9"/>
      <c r="E9" s="9"/>
      <c r="F9" s="9"/>
      <c r="G9" s="9"/>
      <c r="H9" s="123" t="s">
        <v>10</v>
      </c>
      <c r="I9" s="124"/>
      <c r="J9" s="125" t="s">
        <v>11</v>
      </c>
      <c r="K9" s="126"/>
      <c r="M9" s="24"/>
    </row>
    <row r="10" spans="1:13" customHeight="1" ht="15">
      <c r="A10" s="44" t="s">
        <v>12</v>
      </c>
      <c r="B10" s="41" t="s">
        <v>13</v>
      </c>
      <c r="C10" s="43" t="s">
        <v>14</v>
      </c>
      <c r="D10" s="42" t="s">
        <v>15</v>
      </c>
      <c r="E10" s="2" t="s">
        <v>16</v>
      </c>
      <c r="F10" s="2" t="s">
        <v>15</v>
      </c>
      <c r="G10" s="2" t="s">
        <v>17</v>
      </c>
      <c r="H10" s="2" t="s">
        <v>15</v>
      </c>
      <c r="I10" s="2" t="s">
        <v>18</v>
      </c>
      <c r="J10" s="2" t="s">
        <v>19</v>
      </c>
      <c r="K10" s="10" t="s">
        <v>20</v>
      </c>
      <c r="L10" s="10" t="s">
        <v>21</v>
      </c>
      <c r="M10" s="10" t="s">
        <v>22</v>
      </c>
    </row>
    <row r="11" spans="1:13">
      <c r="A11" s="27"/>
      <c r="B11" s="120" t="s">
        <v>23</v>
      </c>
      <c r="C11" s="35"/>
      <c r="D11" s="39"/>
      <c r="E11" s="28">
        <v>45</v>
      </c>
      <c r="F11" s="19" t="s">
        <v>24</v>
      </c>
      <c r="G11" s="19">
        <v>212</v>
      </c>
      <c r="H11" s="19" t="s">
        <v>24</v>
      </c>
      <c r="I11" s="70" t="e">
        <f>SUM((C11+C12+E11+E12+G11+G12)*50)</f>
        <v>#VALUE!</v>
      </c>
      <c r="J11" s="122" t="s">
        <v>25</v>
      </c>
      <c r="K11" s="64" t="s">
        <v>26</v>
      </c>
      <c r="L11" s="64"/>
      <c r="M11" s="64"/>
    </row>
    <row r="12" spans="1:13">
      <c r="A12" s="31"/>
      <c r="B12" s="121"/>
      <c r="C12" s="40"/>
      <c r="E12" s="20"/>
      <c r="F12" s="20"/>
      <c r="G12" s="20">
        <v>402</v>
      </c>
      <c r="H12" s="20" t="s">
        <v>27</v>
      </c>
      <c r="I12" s="70"/>
      <c r="J12" s="67"/>
      <c r="K12" s="64"/>
      <c r="L12" s="64"/>
      <c r="M12" s="64"/>
    </row>
    <row r="13" spans="1:13">
      <c r="A13" s="27"/>
      <c r="B13" s="55" t="s">
        <v>28</v>
      </c>
      <c r="C13" s="34"/>
      <c r="D13" s="21"/>
      <c r="E13" s="21">
        <v>999</v>
      </c>
      <c r="F13" s="21" t="s">
        <v>27</v>
      </c>
      <c r="G13" s="21"/>
      <c r="H13" s="21"/>
      <c r="I13" s="70" t="e">
        <f>SUM((C13+C14+E13+E14+G13+G14)*25)</f>
        <v>#VALUE!</v>
      </c>
      <c r="J13" s="66" t="s">
        <v>29</v>
      </c>
      <c r="K13" s="64" t="s">
        <v>30</v>
      </c>
      <c r="L13" s="64"/>
      <c r="M13" s="64"/>
    </row>
    <row r="14" spans="1:13">
      <c r="A14" s="31"/>
      <c r="B14" s="56"/>
      <c r="C14" s="40"/>
      <c r="D14" s="20"/>
      <c r="E14" s="20"/>
      <c r="F14" s="20"/>
      <c r="G14" s="20"/>
      <c r="H14" s="20"/>
      <c r="I14" s="70"/>
      <c r="J14" s="67"/>
      <c r="K14" s="64"/>
      <c r="L14" s="64"/>
      <c r="M14" s="64"/>
    </row>
    <row r="15" spans="1:13">
      <c r="A15" s="27"/>
      <c r="B15" s="55" t="s">
        <v>31</v>
      </c>
      <c r="C15" s="34"/>
      <c r="D15" s="21"/>
      <c r="E15" s="21"/>
      <c r="F15" s="21"/>
      <c r="G15" s="21"/>
      <c r="H15" s="21"/>
      <c r="I15" s="70" t="e">
        <f>SUM((C15+C16+E15+E16+G15+G16)*10)</f>
        <v>#VALUE!</v>
      </c>
      <c r="J15" s="66" t="s">
        <v>32</v>
      </c>
      <c r="K15" s="64">
        <v>0</v>
      </c>
      <c r="L15" s="64"/>
      <c r="M15" s="64"/>
    </row>
    <row r="16" spans="1:13">
      <c r="A16" s="31"/>
      <c r="B16" s="56"/>
      <c r="C16" s="40"/>
      <c r="D16" s="20"/>
      <c r="E16" s="20"/>
      <c r="F16" s="20"/>
      <c r="G16" s="20"/>
      <c r="H16" s="20"/>
      <c r="I16" s="70"/>
      <c r="J16" s="67"/>
      <c r="K16" s="64"/>
      <c r="L16" s="64"/>
      <c r="M16" s="64"/>
    </row>
    <row r="17" spans="1:13">
      <c r="A17" s="27"/>
      <c r="B17" s="55" t="s">
        <v>33</v>
      </c>
      <c r="C17" s="34"/>
      <c r="D17" s="21"/>
      <c r="E17" s="21"/>
      <c r="F17" s="21"/>
      <c r="G17" s="21"/>
      <c r="H17" s="21"/>
      <c r="I17" s="70" t="e">
        <f>SUM((C17+C18+E17+E18+G17+G18)*50)</f>
        <v>#VALUE!</v>
      </c>
      <c r="J17" s="55" t="s">
        <v>34</v>
      </c>
      <c r="K17" s="64">
        <v>0</v>
      </c>
      <c r="L17" s="64"/>
      <c r="M17" s="64"/>
    </row>
    <row r="18" spans="1:13">
      <c r="A18" s="31"/>
      <c r="B18" s="56"/>
      <c r="C18" s="40"/>
      <c r="D18" s="20"/>
      <c r="E18" s="20"/>
      <c r="F18" s="20"/>
      <c r="G18" s="20"/>
      <c r="H18" s="20"/>
      <c r="I18" s="70"/>
      <c r="J18" s="56"/>
      <c r="K18" s="64"/>
      <c r="L18" s="64"/>
      <c r="M18" s="64"/>
    </row>
    <row r="19" spans="1:13">
      <c r="A19" s="27"/>
      <c r="B19" s="55" t="s">
        <v>35</v>
      </c>
      <c r="C19" s="34"/>
      <c r="D19" s="21"/>
      <c r="E19" s="21"/>
      <c r="F19" s="21"/>
      <c r="G19" s="21"/>
      <c r="H19" s="21"/>
      <c r="I19" s="70" t="e">
        <f>SUM((C19+C20+E19+E20+G19+G20)*25)</f>
        <v>#VALUE!</v>
      </c>
      <c r="J19" s="66" t="s">
        <v>36</v>
      </c>
      <c r="K19" s="64">
        <v>0</v>
      </c>
      <c r="L19" s="64"/>
      <c r="M19" s="64"/>
    </row>
    <row r="20" spans="1:13">
      <c r="A20" s="31"/>
      <c r="B20" s="56"/>
      <c r="C20" s="40"/>
      <c r="D20" s="20"/>
      <c r="E20" s="20"/>
      <c r="F20" s="20"/>
      <c r="G20" s="20"/>
      <c r="H20" s="20"/>
      <c r="I20" s="70"/>
      <c r="J20" s="67"/>
      <c r="K20" s="64"/>
      <c r="L20" s="64"/>
      <c r="M20" s="64"/>
    </row>
    <row r="21" spans="1:13">
      <c r="A21" s="27"/>
      <c r="B21" s="81" t="s">
        <v>37</v>
      </c>
      <c r="C21" s="34"/>
      <c r="D21" s="21"/>
      <c r="E21" s="21"/>
      <c r="F21" s="21"/>
      <c r="G21" s="21"/>
      <c r="H21" s="21"/>
      <c r="I21" s="70" t="e">
        <f>SUM((C21+C22+E21+E22+G21+G22)*25)</f>
        <v>#VALUE!</v>
      </c>
      <c r="J21" s="66" t="s">
        <v>38</v>
      </c>
      <c r="K21" s="64">
        <v>0</v>
      </c>
      <c r="L21" s="64"/>
      <c r="M21" s="64"/>
    </row>
    <row r="22" spans="1:13">
      <c r="A22" s="31"/>
      <c r="B22" s="81"/>
      <c r="C22" s="40"/>
      <c r="D22" s="20"/>
      <c r="E22" s="20"/>
      <c r="F22" s="20"/>
      <c r="G22" s="20"/>
      <c r="H22" s="20"/>
      <c r="I22" s="70"/>
      <c r="J22" s="67"/>
      <c r="K22" s="64"/>
      <c r="L22" s="64"/>
      <c r="M22" s="64"/>
    </row>
    <row r="23" spans="1:13">
      <c r="A23" s="27"/>
      <c r="B23" s="55" t="s">
        <v>39</v>
      </c>
      <c r="C23" s="34"/>
      <c r="D23" s="21"/>
      <c r="E23" s="21"/>
      <c r="F23" s="21"/>
      <c r="G23" s="21"/>
      <c r="H23" s="21"/>
      <c r="I23" s="70" t="e">
        <f>SUM((C23+C24+E23+E24+G23+G24)*50)</f>
        <v>#VALUE!</v>
      </c>
      <c r="J23" s="66" t="s">
        <v>40</v>
      </c>
      <c r="K23" s="64">
        <v>0</v>
      </c>
      <c r="L23" s="64"/>
      <c r="M23" s="64"/>
    </row>
    <row r="24" spans="1:13">
      <c r="A24" s="31"/>
      <c r="B24" s="56"/>
      <c r="C24" s="40"/>
      <c r="D24" s="20"/>
      <c r="E24" s="20"/>
      <c r="F24" s="20"/>
      <c r="G24" s="20"/>
      <c r="H24" s="20"/>
      <c r="I24" s="70"/>
      <c r="J24" s="67"/>
      <c r="K24" s="64"/>
      <c r="L24" s="64"/>
      <c r="M24" s="64"/>
    </row>
    <row r="25" spans="1:13">
      <c r="A25" s="27"/>
      <c r="B25" s="55" t="s">
        <v>41</v>
      </c>
      <c r="C25" s="34"/>
      <c r="D25" s="21"/>
      <c r="E25" s="21"/>
      <c r="F25" s="21"/>
      <c r="G25" s="21"/>
      <c r="H25" s="21"/>
      <c r="I25" s="70" t="e">
        <f>SUM((C25+C26+E25+E26+G25+G26)*50)</f>
        <v>#VALUE!</v>
      </c>
      <c r="J25" s="66" t="s">
        <v>42</v>
      </c>
      <c r="K25" s="64">
        <v>0</v>
      </c>
      <c r="L25" s="64"/>
      <c r="M25" s="64"/>
    </row>
    <row r="26" spans="1:13">
      <c r="A26" s="31"/>
      <c r="B26" s="56"/>
      <c r="C26" s="40"/>
      <c r="D26" s="20"/>
      <c r="E26" s="20"/>
      <c r="F26" s="20"/>
      <c r="G26" s="20"/>
      <c r="H26" s="20"/>
      <c r="I26" s="70"/>
      <c r="J26" s="67"/>
      <c r="K26" s="64"/>
      <c r="L26" s="64"/>
      <c r="M26" s="64"/>
    </row>
    <row r="27" spans="1:13">
      <c r="A27" s="27"/>
      <c r="B27" s="55" t="s">
        <v>43</v>
      </c>
      <c r="C27" s="34"/>
      <c r="D27" s="21"/>
      <c r="E27" s="21"/>
      <c r="F27" s="21"/>
      <c r="G27" s="21"/>
      <c r="H27" s="21"/>
      <c r="I27" s="70" t="e">
        <f>SUM((C27+C28+E27+E28+G27+G28)*25)</f>
        <v>#VALUE!</v>
      </c>
      <c r="J27" s="66" t="s">
        <v>44</v>
      </c>
      <c r="K27" s="64">
        <v>0</v>
      </c>
      <c r="L27" s="64"/>
      <c r="M27" s="64"/>
    </row>
    <row r="28" spans="1:13">
      <c r="A28" s="31"/>
      <c r="B28" s="56"/>
      <c r="C28" s="40"/>
      <c r="D28" s="20"/>
      <c r="E28" s="20"/>
      <c r="F28" s="20"/>
      <c r="G28" s="20"/>
      <c r="H28" s="20"/>
      <c r="I28" s="70"/>
      <c r="J28" s="67"/>
      <c r="K28" s="64"/>
      <c r="L28" s="64"/>
      <c r="M28" s="64"/>
    </row>
    <row r="29" spans="1:13">
      <c r="A29" s="27"/>
      <c r="B29" s="55" t="s">
        <v>45</v>
      </c>
      <c r="C29" s="34"/>
      <c r="D29" s="21"/>
      <c r="E29" s="21"/>
      <c r="F29" s="21"/>
      <c r="G29" s="21"/>
      <c r="H29" s="21"/>
      <c r="I29" s="70" t="e">
        <f>SUM((C29+C30+E29+E30+G29+G30)*50)</f>
        <v>#VALUE!</v>
      </c>
      <c r="J29" s="66" t="s">
        <v>46</v>
      </c>
      <c r="K29" s="64">
        <v>0</v>
      </c>
      <c r="L29" s="64"/>
      <c r="M29" s="64"/>
    </row>
    <row r="30" spans="1:13">
      <c r="A30" s="31"/>
      <c r="B30" s="56"/>
      <c r="C30" s="40"/>
      <c r="D30" s="20"/>
      <c r="E30" s="20"/>
      <c r="F30" s="20"/>
      <c r="G30" s="20"/>
      <c r="H30" s="20"/>
      <c r="I30" s="70"/>
      <c r="J30" s="67"/>
      <c r="K30" s="64"/>
      <c r="L30" s="64"/>
      <c r="M30" s="64"/>
    </row>
    <row r="31" spans="1:13">
      <c r="A31" s="27"/>
      <c r="B31" s="55" t="s">
        <v>47</v>
      </c>
      <c r="C31" s="34"/>
      <c r="D31" s="21"/>
      <c r="E31" s="21"/>
      <c r="F31" s="21"/>
      <c r="G31" s="21"/>
      <c r="H31" s="21"/>
      <c r="I31" s="70" t="e">
        <f>SUM((C31+C32+E31+E32+G31+G32)*1)</f>
        <v>#VALUE!</v>
      </c>
      <c r="J31" s="66" t="s">
        <v>48</v>
      </c>
      <c r="K31" s="64" t="s">
        <v>49</v>
      </c>
      <c r="L31" s="64"/>
      <c r="M31" s="64"/>
    </row>
    <row r="32" spans="1:13">
      <c r="A32" s="31"/>
      <c r="B32" s="56"/>
      <c r="C32" s="40"/>
      <c r="D32" s="20"/>
      <c r="E32" s="20"/>
      <c r="F32" s="20"/>
      <c r="G32" s="20"/>
      <c r="H32" s="20"/>
      <c r="I32" s="70"/>
      <c r="J32" s="67"/>
      <c r="K32" s="64"/>
      <c r="L32" s="64"/>
      <c r="M32" s="64"/>
    </row>
    <row r="33" spans="1:13">
      <c r="A33" s="27"/>
      <c r="B33" s="55" t="s">
        <v>50</v>
      </c>
      <c r="C33" s="34">
        <v>51600</v>
      </c>
      <c r="D33" s="21" t="s">
        <v>27</v>
      </c>
      <c r="E33" s="21"/>
      <c r="F33" s="21"/>
      <c r="G33" s="21"/>
      <c r="H33" s="21"/>
      <c r="I33" s="70" t="e">
        <f>SUM((C33+C34+E33+E34+G33+G34)*1)</f>
        <v>#VALUE!</v>
      </c>
      <c r="J33" s="66" t="s">
        <v>51</v>
      </c>
      <c r="K33" s="64" t="s">
        <v>52</v>
      </c>
      <c r="L33" s="64"/>
      <c r="M33" s="64"/>
    </row>
    <row r="34" spans="1:13">
      <c r="A34" s="31"/>
      <c r="B34" s="56"/>
      <c r="C34" s="40"/>
      <c r="D34" s="20"/>
      <c r="E34" s="20"/>
      <c r="F34" s="20"/>
      <c r="G34" s="20"/>
      <c r="H34" s="20"/>
      <c r="I34" s="70"/>
      <c r="J34" s="67"/>
      <c r="K34" s="64"/>
      <c r="L34" s="64"/>
      <c r="M34" s="64"/>
    </row>
    <row r="35" spans="1:13">
      <c r="A35" s="27"/>
      <c r="B35" s="55" t="s">
        <v>53</v>
      </c>
      <c r="C35" s="34"/>
      <c r="D35" s="21"/>
      <c r="E35" s="21"/>
      <c r="F35" s="21"/>
      <c r="G35" s="21"/>
      <c r="H35" s="21"/>
      <c r="I35" s="70" t="e">
        <f>SUM((C35+C36+E35+E36+G35+G36)*1)</f>
        <v>#VALUE!</v>
      </c>
      <c r="J35" s="66" t="s">
        <v>54</v>
      </c>
      <c r="K35" s="64" t="s">
        <v>55</v>
      </c>
      <c r="L35" s="64"/>
      <c r="M35" s="64"/>
    </row>
    <row r="36" spans="1:13">
      <c r="A36" s="31"/>
      <c r="B36" s="56"/>
      <c r="C36" s="40"/>
      <c r="D36" s="20"/>
      <c r="E36" s="20"/>
      <c r="F36" s="20"/>
      <c r="G36" s="20"/>
      <c r="H36" s="20"/>
      <c r="I36" s="70"/>
      <c r="J36" s="67"/>
      <c r="K36" s="64"/>
      <c r="L36" s="64"/>
      <c r="M36" s="64"/>
    </row>
    <row r="37" spans="1:13">
      <c r="A37" s="27"/>
      <c r="B37" s="55" t="s">
        <v>56</v>
      </c>
      <c r="C37" s="34"/>
      <c r="D37" s="21"/>
      <c r="E37" s="21"/>
      <c r="F37" s="21"/>
      <c r="G37" s="21"/>
      <c r="H37" s="21"/>
      <c r="I37" s="70" t="e">
        <f>SUM((C37+C38+E37+E38+G37+G38)*1)</f>
        <v>#VALUE!</v>
      </c>
      <c r="J37" s="66" t="s">
        <v>57</v>
      </c>
      <c r="K37" s="64" t="s">
        <v>58</v>
      </c>
      <c r="L37" s="64"/>
      <c r="M37" s="64"/>
    </row>
    <row r="38" spans="1:13">
      <c r="A38" s="31"/>
      <c r="B38" s="56"/>
      <c r="C38" s="40"/>
      <c r="D38" s="20"/>
      <c r="E38" s="20"/>
      <c r="F38" s="20"/>
      <c r="G38" s="20"/>
      <c r="H38" s="20"/>
      <c r="I38" s="70"/>
      <c r="J38" s="67"/>
      <c r="K38" s="64"/>
      <c r="L38" s="64"/>
      <c r="M38" s="64"/>
    </row>
    <row r="39" spans="1:13">
      <c r="A39" s="27"/>
      <c r="B39" s="81" t="s">
        <v>59</v>
      </c>
      <c r="C39" s="34"/>
      <c r="D39" s="21"/>
      <c r="E39" s="21"/>
      <c r="F39" s="21"/>
      <c r="G39" s="21"/>
      <c r="H39" s="21"/>
      <c r="I39" s="70" t="e">
        <f>SUM((C39+C40+E39+E40+G39+G40)*1)</f>
        <v>#VALUE!</v>
      </c>
      <c r="J39" s="69" t="s">
        <v>60</v>
      </c>
      <c r="K39" s="64" t="s">
        <v>61</v>
      </c>
      <c r="L39" s="64"/>
      <c r="M39" s="64"/>
    </row>
    <row r="40" spans="1:13">
      <c r="A40" s="31"/>
      <c r="B40" s="81"/>
      <c r="C40" s="40"/>
      <c r="D40" s="20"/>
      <c r="E40" s="20"/>
      <c r="F40" s="20"/>
      <c r="G40" s="20"/>
      <c r="H40" s="20"/>
      <c r="I40" s="70"/>
      <c r="J40" s="69"/>
      <c r="K40" s="64"/>
      <c r="L40" s="64"/>
      <c r="M40" s="64"/>
    </row>
    <row r="41" spans="1:13">
      <c r="A41" s="27"/>
      <c r="B41" s="81" t="s">
        <v>62</v>
      </c>
      <c r="C41" s="34"/>
      <c r="D41" s="21"/>
      <c r="E41" s="21"/>
      <c r="F41" s="21"/>
      <c r="G41" s="21"/>
      <c r="H41" s="21"/>
      <c r="I41" s="70" t="e">
        <f>SUM((C41+C42+E41+E42+G41+G42)*1)</f>
        <v>#VALUE!</v>
      </c>
      <c r="J41" s="66" t="s">
        <v>63</v>
      </c>
      <c r="K41" s="64">
        <v>0</v>
      </c>
      <c r="L41" s="64"/>
      <c r="M41" s="64"/>
    </row>
    <row r="42" spans="1:13">
      <c r="A42" s="31"/>
      <c r="B42" s="81"/>
      <c r="C42" s="40"/>
      <c r="D42" s="20"/>
      <c r="E42" s="20"/>
      <c r="F42" s="20"/>
      <c r="G42" s="20"/>
      <c r="H42" s="20"/>
      <c r="I42" s="70"/>
      <c r="J42" s="67"/>
      <c r="K42" s="64"/>
      <c r="L42" s="64"/>
      <c r="M42" s="64"/>
    </row>
    <row r="43" spans="1:13">
      <c r="A43" s="27"/>
      <c r="B43" s="55" t="s">
        <v>64</v>
      </c>
      <c r="C43" s="34"/>
      <c r="D43" s="21"/>
      <c r="E43" s="21"/>
      <c r="F43" s="21"/>
      <c r="G43" s="21"/>
      <c r="H43" s="21"/>
      <c r="I43" s="70" t="e">
        <f>SUM((C43+C44+E43+E44+G43+G44)*50)</f>
        <v>#VALUE!</v>
      </c>
      <c r="J43" s="66" t="s">
        <v>65</v>
      </c>
      <c r="K43" s="64">
        <v>0</v>
      </c>
      <c r="L43" s="64"/>
      <c r="M43" s="64"/>
    </row>
    <row r="44" spans="1:13">
      <c r="A44" s="31"/>
      <c r="B44" s="56"/>
      <c r="C44" s="40"/>
      <c r="D44" s="26"/>
      <c r="E44" s="26"/>
      <c r="F44" s="26"/>
      <c r="G44" s="26"/>
      <c r="H44" s="26"/>
      <c r="I44" s="70"/>
      <c r="J44" s="67"/>
      <c r="K44" s="64"/>
      <c r="L44" s="64"/>
      <c r="M44" s="64"/>
    </row>
    <row r="45" spans="1:13">
      <c r="A45" s="27"/>
      <c r="B45" s="71" t="s">
        <v>66</v>
      </c>
      <c r="C45" s="34">
        <v>62</v>
      </c>
      <c r="D45" s="21" t="s">
        <v>67</v>
      </c>
      <c r="E45" s="21">
        <v>38</v>
      </c>
      <c r="F45" s="21" t="s">
        <v>67</v>
      </c>
      <c r="G45" s="21">
        <v>53</v>
      </c>
      <c r="H45" s="21" t="s">
        <v>67</v>
      </c>
      <c r="I45" s="65" t="e">
        <f>SUM((C45+C46+E45+E46+G45+G46)*25)</f>
        <v>#VALUE!</v>
      </c>
      <c r="J45" s="66" t="s">
        <v>68</v>
      </c>
      <c r="K45" s="64" t="s">
        <v>69</v>
      </c>
      <c r="L45" s="64"/>
      <c r="M45" s="64"/>
    </row>
    <row r="46" spans="1:13">
      <c r="A46" s="31"/>
      <c r="B46" s="71"/>
      <c r="C46" s="40"/>
      <c r="D46" s="20"/>
      <c r="E46" s="20"/>
      <c r="F46" s="20"/>
      <c r="G46" s="20"/>
      <c r="H46" s="20"/>
      <c r="I46" s="65"/>
      <c r="J46" s="67"/>
      <c r="K46" s="64"/>
      <c r="L46" s="64"/>
      <c r="M46" s="64"/>
    </row>
    <row r="47" spans="1:13">
      <c r="A47" s="27"/>
      <c r="B47" s="71" t="s">
        <v>70</v>
      </c>
      <c r="C47" s="34">
        <v>196</v>
      </c>
      <c r="D47" s="21" t="s">
        <v>67</v>
      </c>
      <c r="E47" s="21">
        <v>99</v>
      </c>
      <c r="F47" s="21" t="s">
        <v>67</v>
      </c>
      <c r="G47" s="21">
        <v>143</v>
      </c>
      <c r="H47" s="21" t="s">
        <v>67</v>
      </c>
      <c r="I47" s="65" t="e">
        <f>SUM((C47+C48+E47+E48+G47+G48)*40)</f>
        <v>#VALUE!</v>
      </c>
      <c r="J47" s="66" t="s">
        <v>71</v>
      </c>
      <c r="K47" s="64" t="s">
        <v>72</v>
      </c>
      <c r="L47" s="64"/>
      <c r="M47" s="64"/>
    </row>
    <row r="48" spans="1:13">
      <c r="A48" s="31"/>
      <c r="B48" s="71"/>
      <c r="C48" s="40"/>
      <c r="D48" s="20"/>
      <c r="E48" s="20"/>
      <c r="F48" s="20"/>
      <c r="G48" s="20"/>
      <c r="H48" s="20"/>
      <c r="I48" s="65"/>
      <c r="J48" s="67"/>
      <c r="K48" s="64"/>
      <c r="L48" s="64"/>
      <c r="M48" s="64"/>
    </row>
    <row r="49" spans="1:13">
      <c r="A49" s="27"/>
      <c r="B49" s="71" t="s">
        <v>73</v>
      </c>
      <c r="C49" s="34">
        <v>24</v>
      </c>
      <c r="D49" s="21" t="s">
        <v>67</v>
      </c>
      <c r="E49" s="21"/>
      <c r="F49" s="21"/>
      <c r="G49" s="21">
        <v>32</v>
      </c>
      <c r="H49" s="21" t="s">
        <v>67</v>
      </c>
      <c r="I49" s="65" t="e">
        <f>SUM((C49+C50+E49+E50+G49+G50)*50)</f>
        <v>#VALUE!</v>
      </c>
      <c r="J49" s="66" t="s">
        <v>74</v>
      </c>
      <c r="K49" s="64">
        <v>0</v>
      </c>
      <c r="L49" s="64"/>
      <c r="M49" s="64"/>
    </row>
    <row r="50" spans="1:13">
      <c r="A50" s="31"/>
      <c r="B50" s="71"/>
      <c r="C50" s="40"/>
      <c r="D50" s="20"/>
      <c r="E50" s="20"/>
      <c r="F50" s="20"/>
      <c r="G50" s="20"/>
      <c r="H50" s="20"/>
      <c r="I50" s="65"/>
      <c r="J50" s="67"/>
      <c r="K50" s="64"/>
      <c r="L50" s="64"/>
      <c r="M50" s="64"/>
    </row>
    <row r="51" spans="1:13">
      <c r="A51" s="27"/>
      <c r="B51" s="79" t="s">
        <v>75</v>
      </c>
      <c r="C51" s="34"/>
      <c r="D51" s="21"/>
      <c r="E51" s="21"/>
      <c r="F51" s="21"/>
      <c r="G51" s="21"/>
      <c r="H51" s="21"/>
      <c r="I51" s="65" t="e">
        <f>SUM((C51+C52+E51+E52+G51+G52)*25)</f>
        <v>#VALUE!</v>
      </c>
      <c r="J51" s="66"/>
      <c r="K51" s="64"/>
      <c r="L51" s="64"/>
      <c r="M51" s="64"/>
    </row>
    <row r="52" spans="1:13">
      <c r="A52" s="31"/>
      <c r="B52" s="80"/>
      <c r="C52" s="40"/>
      <c r="D52" s="20"/>
      <c r="E52" s="20"/>
      <c r="F52" s="20"/>
      <c r="G52" s="20"/>
      <c r="H52" s="20"/>
      <c r="I52" s="65"/>
      <c r="J52" s="67"/>
      <c r="K52" s="64"/>
      <c r="L52" s="64"/>
      <c r="M52" s="64"/>
    </row>
    <row r="53" spans="1:13">
      <c r="A53" s="27"/>
      <c r="B53" s="79" t="s">
        <v>76</v>
      </c>
      <c r="C53" s="34"/>
      <c r="D53" s="21"/>
      <c r="E53" s="21"/>
      <c r="F53" s="21"/>
      <c r="G53" s="21"/>
      <c r="H53" s="21"/>
      <c r="I53" s="65" t="e">
        <f>SUM((C53+C54+E53+E54+G53+G54)*25)</f>
        <v>#VALUE!</v>
      </c>
      <c r="J53" s="66"/>
      <c r="K53" s="68"/>
      <c r="L53" s="64"/>
      <c r="M53" s="64"/>
    </row>
    <row r="54" spans="1:13">
      <c r="A54" s="31"/>
      <c r="B54" s="80"/>
      <c r="C54" s="40"/>
      <c r="D54" s="20"/>
      <c r="E54" s="20"/>
      <c r="F54" s="20"/>
      <c r="G54" s="20"/>
      <c r="H54" s="20"/>
      <c r="I54" s="65"/>
      <c r="J54" s="67"/>
      <c r="K54" s="68"/>
      <c r="L54" s="64"/>
      <c r="M54" s="64"/>
    </row>
    <row r="55" spans="1:13">
      <c r="A55" s="27"/>
      <c r="B55" s="79" t="s">
        <v>77</v>
      </c>
      <c r="C55" s="34"/>
      <c r="D55" s="21"/>
      <c r="E55" s="21"/>
      <c r="F55" s="21"/>
      <c r="G55" s="21"/>
      <c r="H55" s="21"/>
      <c r="I55" s="65" t="e">
        <f>SUM((C55+C56+E55+E56+G55+G56)*25)</f>
        <v>#VALUE!</v>
      </c>
      <c r="J55" s="81"/>
      <c r="K55" s="64"/>
      <c r="L55" s="64"/>
      <c r="M55" s="64"/>
    </row>
    <row r="56" spans="1:13" customHeight="1" ht="15.5">
      <c r="A56" s="31"/>
      <c r="B56" s="80"/>
      <c r="C56" s="40"/>
      <c r="D56" s="20"/>
      <c r="E56" s="20"/>
      <c r="F56" s="20"/>
      <c r="G56" s="20"/>
      <c r="H56" s="20"/>
      <c r="I56" s="65"/>
      <c r="J56" s="81"/>
      <c r="K56" s="64"/>
      <c r="L56" s="64"/>
      <c r="M56" s="64"/>
    </row>
    <row r="57" spans="1:13">
      <c r="A57" s="27"/>
      <c r="B57" s="127"/>
      <c r="C57" s="34"/>
      <c r="D57" s="21"/>
      <c r="E57" s="21"/>
      <c r="F57" s="21"/>
      <c r="G57" s="21"/>
      <c r="H57" s="21"/>
      <c r="I57" s="65"/>
      <c r="J57" s="55"/>
      <c r="K57" s="64"/>
      <c r="L57" s="64"/>
      <c r="M57" s="64"/>
    </row>
    <row r="58" spans="1:13" customHeight="1" ht="15">
      <c r="A58" s="31"/>
      <c r="B58" s="128"/>
      <c r="C58" s="40"/>
      <c r="D58" s="25"/>
      <c r="E58" s="25"/>
      <c r="F58" s="25"/>
      <c r="G58" s="25"/>
      <c r="H58" s="25"/>
      <c r="I58" s="130"/>
      <c r="J58" s="128"/>
      <c r="K58" s="129"/>
      <c r="L58" s="129"/>
      <c r="M58" s="129"/>
    </row>
    <row r="59" spans="1:13" customHeight="1" ht="20.5">
      <c r="A59" s="33" t="s">
        <v>78</v>
      </c>
      <c r="B59" s="32" t="e">
        <f>SUM(I11:I44)</f>
        <v>#VALUE!</v>
      </c>
      <c r="C59" s="36"/>
      <c r="D59" s="32"/>
      <c r="E59" s="32"/>
      <c r="F59" s="32"/>
      <c r="G59" s="32"/>
      <c r="H59" s="32"/>
      <c r="I59" s="37" t="s">
        <v>79</v>
      </c>
      <c r="J59" s="32" t="e">
        <f>SUM(I11:I58)</f>
        <v>#VALUE!</v>
      </c>
      <c r="K59" s="38"/>
    </row>
    <row r="60" spans="1:13" customHeight="1" ht="29.25">
      <c r="A60" s="72"/>
      <c r="B60" s="73"/>
      <c r="C60" s="74"/>
      <c r="D60" s="75"/>
      <c r="E60" s="76"/>
      <c r="F60" s="77"/>
      <c r="G60" s="77"/>
      <c r="H60" s="77"/>
      <c r="I60" s="77"/>
      <c r="J60" s="77"/>
      <c r="K60" s="78"/>
    </row>
    <row r="61" spans="1:13" customHeight="1" ht="90.75">
      <c r="A61" s="6"/>
      <c r="B61" s="8"/>
      <c r="C61" s="91"/>
      <c r="D61" s="82"/>
      <c r="E61" s="82"/>
      <c r="F61" s="82"/>
      <c r="G61" s="82"/>
      <c r="H61" s="83"/>
      <c r="I61" s="49" t="s">
        <v>80</v>
      </c>
      <c r="J61" s="48"/>
      <c r="K61" s="84"/>
    </row>
    <row r="62" spans="1:13" customHeight="1" ht="109">
      <c r="A62" s="11" t="s">
        <v>81</v>
      </c>
      <c r="B62" s="12" t="e">
        <f>B59/J59</f>
        <v>#VALUE!</v>
      </c>
      <c r="C62" s="85" t="s">
        <v>82</v>
      </c>
      <c r="D62" s="86"/>
      <c r="E62" s="86" t="s">
        <v>83</v>
      </c>
      <c r="F62" s="86"/>
      <c r="G62" s="86" t="s">
        <v>84</v>
      </c>
      <c r="H62" s="86"/>
      <c r="I62" s="50" t="s">
        <v>85</v>
      </c>
      <c r="J62" s="7"/>
      <c r="K62" s="84"/>
    </row>
    <row r="63" spans="1:13" customHeight="1" ht="119">
      <c r="A63" s="13" t="s">
        <v>86</v>
      </c>
      <c r="B63" s="14" t="e">
        <f>(SUM(I47)/J59)</f>
        <v>#VALUE!</v>
      </c>
      <c r="C63" s="87" t="s">
        <v>87</v>
      </c>
      <c r="D63" s="88"/>
      <c r="E63" s="88" t="s">
        <v>88</v>
      </c>
      <c r="F63" s="88"/>
      <c r="G63" s="88" t="s">
        <v>89</v>
      </c>
      <c r="H63" s="88"/>
      <c r="I63" s="5" t="s">
        <v>90</v>
      </c>
      <c r="J63" s="4"/>
      <c r="K63" s="84">
        <v>0</v>
      </c>
      <c r="L63">
        <v>0</v>
      </c>
      <c r="M63">
        <v>0</v>
      </c>
    </row>
    <row r="64" spans="1:13" customHeight="1" ht="46">
      <c r="A64" s="13" t="s">
        <v>91</v>
      </c>
      <c r="B64" s="14" t="e">
        <f>(SUM(I45)/J59)</f>
        <v>#VALUE!</v>
      </c>
      <c r="C64" s="87" t="s">
        <v>92</v>
      </c>
      <c r="D64" s="88"/>
      <c r="E64" s="88" t="s">
        <v>93</v>
      </c>
      <c r="F64" s="88"/>
      <c r="G64" s="88" t="s">
        <v>94</v>
      </c>
      <c r="H64" s="88"/>
      <c r="I64" s="5" t="s">
        <v>95</v>
      </c>
      <c r="J64" s="4" t="s">
        <v>11</v>
      </c>
      <c r="K64" s="84"/>
    </row>
    <row r="65" spans="1:13" customHeight="1" ht="47.25">
      <c r="A65" s="13" t="s">
        <v>96</v>
      </c>
      <c r="B65" s="14" t="e">
        <f>(SUM(I49)/J59)</f>
        <v>#VALUE!</v>
      </c>
      <c r="C65" s="87"/>
      <c r="D65" s="88"/>
      <c r="E65" s="88"/>
      <c r="F65" s="88"/>
      <c r="G65" s="88"/>
      <c r="H65" s="88"/>
      <c r="I65" s="3" t="s">
        <v>97</v>
      </c>
      <c r="J65" s="4" t="s">
        <v>98</v>
      </c>
      <c r="K65" s="84"/>
    </row>
    <row r="66" spans="1:13" customHeight="1" ht="45.75">
      <c r="A66" s="51" t="s">
        <v>99</v>
      </c>
      <c r="B66" s="52" t="e">
        <f>(SUM(I55)/J59)</f>
        <v>#VALUE!</v>
      </c>
      <c r="C66" s="89"/>
      <c r="D66" s="90"/>
      <c r="E66" s="90"/>
      <c r="F66" s="90"/>
      <c r="G66" s="90"/>
      <c r="H66" s="90"/>
      <c r="I66" s="53" t="s">
        <v>100</v>
      </c>
      <c r="J66" s="54"/>
      <c r="K66" s="84"/>
    </row>
    <row r="67" spans="1:13" customHeight="1" ht="45.75">
      <c r="A67" s="46" t="s">
        <v>101</v>
      </c>
      <c r="B67" s="52" t="e">
        <v>#REF!</v>
      </c>
      <c r="C67" s="30"/>
      <c r="D67" s="30"/>
      <c r="E67" s="30"/>
      <c r="F67" s="30"/>
      <c r="G67" s="30"/>
      <c r="H67" s="30"/>
      <c r="I67" s="47"/>
      <c r="J67" s="30"/>
      <c r="K67" s="45"/>
    </row>
    <row r="68" spans="1:13" customHeight="1" ht="21">
      <c r="A68" s="57" t="s">
        <v>102</v>
      </c>
      <c r="B68" s="58"/>
      <c r="C68" s="59"/>
      <c r="D68" s="59"/>
      <c r="E68" s="59"/>
      <c r="F68" s="59"/>
      <c r="G68" s="59"/>
      <c r="H68" s="59"/>
      <c r="I68" s="59"/>
      <c r="J68" s="59"/>
      <c r="K68" s="60"/>
    </row>
    <row r="69" spans="1:13" customHeight="1" ht="43.5">
      <c r="A69" s="61"/>
      <c r="B69" s="62"/>
      <c r="C69" s="62"/>
      <c r="D69" s="62"/>
      <c r="E69" s="62"/>
      <c r="F69" s="62"/>
      <c r="G69" s="62"/>
      <c r="H69" s="62"/>
      <c r="I69" s="62"/>
      <c r="J69" s="62"/>
      <c r="K69" s="63"/>
    </row>
    <row r="79" spans="1:13">
      <c r="C79">
        <v>0</v>
      </c>
      <c r="E79">
        <v>0</v>
      </c>
      <c r="G79">
        <v>0</v>
      </c>
      <c r="I79">
        <v>0</v>
      </c>
    </row>
    <row r="81" spans="1:13">
      <c r="C81">
        <v>0</v>
      </c>
      <c r="E81">
        <v>0</v>
      </c>
      <c r="G81">
        <v>0</v>
      </c>
      <c r="I81">
        <v>0</v>
      </c>
    </row>
  </sheetData>
  <mergeCells>
    <mergeCell ref="M45:M46"/>
    <mergeCell ref="M47:M48"/>
    <mergeCell ref="M49:M50"/>
    <mergeCell ref="M51:M52"/>
    <mergeCell ref="M53:M54"/>
    <mergeCell ref="M55:M56"/>
    <mergeCell ref="B57:B58"/>
    <mergeCell ref="M57:M58"/>
    <mergeCell ref="L57:L58"/>
    <mergeCell ref="K57:K58"/>
    <mergeCell ref="J57:J58"/>
    <mergeCell ref="I57:I58"/>
    <mergeCell ref="M27:M28"/>
    <mergeCell ref="M29:M30"/>
    <mergeCell ref="M31:M32"/>
    <mergeCell ref="M33:M34"/>
    <mergeCell ref="M35:M36"/>
    <mergeCell ref="M37:M38"/>
    <mergeCell ref="M39:M40"/>
    <mergeCell ref="M41:M42"/>
    <mergeCell ref="M43:M44"/>
    <mergeCell ref="L45:L46"/>
    <mergeCell ref="L47:L48"/>
    <mergeCell ref="L49:L50"/>
    <mergeCell ref="L51:L52"/>
    <mergeCell ref="L53:L54"/>
    <mergeCell ref="L55:L56"/>
    <mergeCell ref="L21:L22"/>
    <mergeCell ref="L27:L28"/>
    <mergeCell ref="L29:L30"/>
    <mergeCell ref="L31:L32"/>
    <mergeCell ref="L33:L34"/>
    <mergeCell ref="L35:L36"/>
    <mergeCell ref="L37:L38"/>
    <mergeCell ref="L39:L40"/>
    <mergeCell ref="L41:L42"/>
    <mergeCell ref="L43:L44"/>
    <mergeCell ref="K21:K22"/>
    <mergeCell ref="L23:L24"/>
    <mergeCell ref="L25:L26"/>
    <mergeCell ref="K15:K16"/>
    <mergeCell ref="K17:K18"/>
    <mergeCell ref="I25:I26"/>
    <mergeCell ref="J25:J26"/>
    <mergeCell ref="M21:M22"/>
    <mergeCell ref="M23:M24"/>
    <mergeCell ref="M25:M26"/>
    <mergeCell ref="J23:J24"/>
    <mergeCell ref="B13:B14"/>
    <mergeCell ref="I13:I14"/>
    <mergeCell ref="J13:J14"/>
    <mergeCell ref="K31:K32"/>
    <mergeCell ref="K13:K14"/>
    <mergeCell ref="B17:B18"/>
    <mergeCell ref="B21:B22"/>
    <mergeCell ref="L11:L12"/>
    <mergeCell ref="M11:M12"/>
    <mergeCell ref="L13:L14"/>
    <mergeCell ref="L15:L16"/>
    <mergeCell ref="L17:L18"/>
    <mergeCell ref="L19:L20"/>
    <mergeCell ref="I19:I20"/>
    <mergeCell ref="J19:J20"/>
    <mergeCell ref="M13:M14"/>
    <mergeCell ref="M15:M16"/>
    <mergeCell ref="M17:M18"/>
    <mergeCell ref="M19:M20"/>
    <mergeCell ref="I21:I22"/>
    <mergeCell ref="J21:J22"/>
    <mergeCell ref="I17:I18"/>
    <mergeCell ref="J17:J18"/>
    <mergeCell ref="K19:K20"/>
    <mergeCell ref="A1:C9"/>
    <mergeCell ref="D1:I1"/>
    <mergeCell ref="J1:K1"/>
    <mergeCell ref="E2:G5"/>
    <mergeCell ref="J2:K3"/>
    <mergeCell ref="J4:K4"/>
    <mergeCell ref="I8:K8"/>
    <mergeCell ref="B11:B12"/>
    <mergeCell ref="I11:I12"/>
    <mergeCell ref="J11:J12"/>
    <mergeCell ref="K11:K12"/>
    <mergeCell ref="H9:I9"/>
    <mergeCell ref="J9:K9"/>
    <mergeCell ref="B15:B16"/>
    <mergeCell ref="I15:I16"/>
    <mergeCell ref="J15:J16"/>
    <mergeCell ref="I31:I32"/>
    <mergeCell ref="B35:B36"/>
    <mergeCell ref="B31:B32"/>
    <mergeCell ref="B27:B28"/>
    <mergeCell ref="B23:B24"/>
    <mergeCell ref="B19:B20"/>
    <mergeCell ref="B33:B34"/>
    <mergeCell ref="I33:I34"/>
    <mergeCell ref="I27:I28"/>
    <mergeCell ref="J27:J28"/>
    <mergeCell ref="B29:B30"/>
    <mergeCell ref="I29:I30"/>
    <mergeCell ref="J29:J30"/>
    <mergeCell ref="I23:I24"/>
    <mergeCell ref="G61:H61"/>
    <mergeCell ref="K61:K66"/>
    <mergeCell ref="C62:D62"/>
    <mergeCell ref="E62:F62"/>
    <mergeCell ref="G62:H62"/>
    <mergeCell ref="C63:D63"/>
    <mergeCell ref="E63:F63"/>
    <mergeCell ref="G63:H63"/>
    <mergeCell ref="C66:D66"/>
    <mergeCell ref="E66:F66"/>
    <mergeCell ref="G66:H66"/>
    <mergeCell ref="G65:H65"/>
    <mergeCell ref="C61:D61"/>
    <mergeCell ref="C64:D64"/>
    <mergeCell ref="E64:F64"/>
    <mergeCell ref="G64:H64"/>
    <mergeCell ref="C65:D65"/>
    <mergeCell ref="E65:F65"/>
    <mergeCell ref="E61:F61"/>
    <mergeCell ref="B45:B46"/>
    <mergeCell ref="B47:B48"/>
    <mergeCell ref="B37:B38"/>
    <mergeCell ref="A60:B60"/>
    <mergeCell ref="C60:E60"/>
    <mergeCell ref="F60:K60"/>
    <mergeCell ref="B55:B56"/>
    <mergeCell ref="I55:I56"/>
    <mergeCell ref="K55:K56"/>
    <mergeCell ref="J55:J56"/>
    <mergeCell ref="B39:B40"/>
    <mergeCell ref="B41:B42"/>
    <mergeCell ref="J41:J42"/>
    <mergeCell ref="I39:I40"/>
    <mergeCell ref="K51:K52"/>
    <mergeCell ref="I49:I50"/>
    <mergeCell ref="J49:J50"/>
    <mergeCell ref="I51:I52"/>
    <mergeCell ref="B43:B44"/>
    <mergeCell ref="B49:B50"/>
    <mergeCell ref="B51:B52"/>
    <mergeCell ref="B53:B54"/>
    <mergeCell ref="K43:K44"/>
    <mergeCell ref="J39:J40"/>
    <mergeCell ref="I35:I36"/>
    <mergeCell ref="J35:J36"/>
    <mergeCell ref="I37:I38"/>
    <mergeCell ref="J37:J38"/>
    <mergeCell ref="I41:I42"/>
    <mergeCell ref="I43:I44"/>
    <mergeCell ref="K39:K40"/>
    <mergeCell ref="J43:J44"/>
    <mergeCell ref="B25:B26"/>
    <mergeCell ref="A68:K68"/>
    <mergeCell ref="A69:K69"/>
    <mergeCell ref="K23:K24"/>
    <mergeCell ref="K25:K26"/>
    <mergeCell ref="K27:K28"/>
    <mergeCell ref="K29:K30"/>
    <mergeCell ref="I53:I54"/>
    <mergeCell ref="I45:I46"/>
    <mergeCell ref="J45:J46"/>
    <mergeCell ref="I47:I48"/>
    <mergeCell ref="J47:J48"/>
    <mergeCell ref="K53:K54"/>
    <mergeCell ref="K47:K48"/>
    <mergeCell ref="K49:K50"/>
    <mergeCell ref="J51:J52"/>
    <mergeCell ref="J53:J54"/>
    <mergeCell ref="K45:K46"/>
    <mergeCell ref="K33:K34"/>
    <mergeCell ref="K35:K36"/>
    <mergeCell ref="K37:K38"/>
    <mergeCell ref="K41:K42"/>
    <mergeCell ref="J31:J32"/>
    <mergeCell ref="J33:J34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Practicante Desarrollo ZC - Organización</cp:lastModifiedBy>
  <dcterms:created xsi:type="dcterms:W3CDTF">2015-06-05T18:19:34+00:00</dcterms:created>
  <dcterms:modified xsi:type="dcterms:W3CDTF">2025-06-06T16:16:55+00:00</dcterms:modified>
  <dc:title/>
  <dc:description/>
  <dc:subject/>
  <cp:keywords/>
  <cp:category/>
</cp:coreProperties>
</file>