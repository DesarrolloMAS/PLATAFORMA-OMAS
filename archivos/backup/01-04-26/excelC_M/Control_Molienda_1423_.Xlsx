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<sst xmlns="http://schemas.openxmlformats.org/spreadsheetml/2006/main" uniqueCount="106">
  <si>
    <t>CONTROL DE MOLIENDA ZONA CENTRO</t>
  </si>
  <si>
    <t>MOLIENDA DE TRIGO Nº</t>
  </si>
  <si>
    <t>Hora Turno1</t>
  </si>
  <si>
    <t>14:03</t>
  </si>
  <si>
    <t>Hora Turno2</t>
  </si>
  <si>
    <t>22:05</t>
  </si>
  <si>
    <t>Hora Turno3</t>
  </si>
  <si>
    <t>06:08</t>
  </si>
  <si>
    <t>FECHA</t>
  </si>
  <si>
    <t>2026-03-03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</si>
  <si>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</si>
  <si>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</si>
  <si>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</si>
  <si>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</si>
  <si>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</si>
  <si>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</si>
  <si>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</si>
  <si>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</si>
  <si>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</si>
  <si>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</si>
  <si>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</si>
  <si>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</si>
  <si>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</si>
  <si>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17046-10</t>
  </si>
  <si>
    <t>EXTRAPAN X50</t>
  </si>
  <si>
    <t>260226B</t>
  </si>
  <si>
    <t>EMPAQUE EXTRA PAN X50</t>
  </si>
  <si>
    <t>MP-02192</t>
  </si>
  <si>
    <t>17046-20</t>
  </si>
  <si>
    <t>EXTRAPAN X25</t>
  </si>
  <si>
    <t>040326B</t>
  </si>
  <si>
    <t>EMPAQUE EXTRA PAN X25</t>
  </si>
  <si>
    <t>MP-02053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</si>
  <si>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</si>
  <si>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</si>
  <si>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</si>
  <si>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</si>
  <si>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</si>
  <si>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</si>
  <si>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17046-40</t>
  </si>
  <si>
    <t>FUERTE X25</t>
  </si>
  <si>
    <t>030326B</t>
  </si>
  <si>
    <t>EMPAQUE GALERAS CAFÉ X50</t>
  </si>
  <si>
    <t>NATURAL X50</t>
  </si>
  <si>
    <t>EMPAQUE GALERAS AZUL X50</t>
  </si>
  <si>
    <t>ESPECIAL X50</t>
  </si>
  <si>
    <t>EMPAQUE GALERAS NARANJA X25</t>
  </si>
  <si>
    <t>MP-02303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</si>
  <si>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</si>
  <si>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</si>
  <si>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</si>
  <si>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</si>
  <si>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</si>
  <si>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</si>
  <si>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</si>
  <si>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17046-30</t>
  </si>
  <si>
    <t>HARINA ALTA PROTEINA X1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</si>
  <si>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</si>
  <si>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</si>
  <si>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</si>
  <si>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</si>
  <si>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</si>
  <si>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</si>
  <si>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VITAMINA</t>
  </si>
  <si>
    <t>MP-02243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</si>
  <si>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</si>
  <si>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</si>
  <si>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</si>
  <si>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</si>
  <si>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</si>
  <si>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</si>
  <si>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17046-50</t>
  </si>
  <si>
    <t>SALVADO X25</t>
  </si>
  <si>
    <t>020326B</t>
  </si>
  <si>
    <t xml:space="preserve">HILO VERDE  </t>
  </si>
  <si>
    <t>MP-02234</t>
  </si>
  <si>
    <t>17046-60</t>
  </si>
  <si>
    <t>MOGOLLA X40</t>
  </si>
  <si>
    <t>HILO NARANJA</t>
  </si>
  <si>
    <t>MP-01747</t>
  </si>
  <si>
    <t>17046-70</t>
  </si>
  <si>
    <t>SEGUNDA X50</t>
  </si>
  <si>
    <t>160226B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</si>
  <si>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</si>
  <si>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</si>
  <si>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</si>
  <si>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</si>
  <si>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</si>
  <si>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</si>
  <si>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</si>
  <si>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</si>
  <si>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Ferney</t>
  </si>
  <si>
    <t>Yolmer</t>
  </si>
  <si>
    <t>ENCARGADO TURNO 2</t>
  </si>
  <si>
    <t>EXT. MOGOLLA</t>
  </si>
  <si>
    <t>Fernando</t>
  </si>
  <si>
    <t>ENCARGADO TURNO 3</t>
  </si>
  <si>
    <t>EXT. SALVADO x25</t>
  </si>
  <si>
    <t>ALMACENISTA 1</t>
  </si>
  <si>
    <t>EXT. SEGUNDA</t>
  </si>
  <si>
    <t>ALMACENISTA 2</t>
  </si>
  <si>
    <t>EXT. GERMEN</t>
  </si>
  <si>
    <t>COORDINADOR DE OPERACIONES</t>
  </si>
  <si>
    <t>Francisco Rodriguez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</si>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</sst>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86d61f64d25d1d53a3eb790533ade3.png"/><Relationship Id="rId2" Type="http://schemas.openxmlformats.org/officeDocument/2006/relationships/image" Target="../media/f4cc6771020a60d7f1add1c8e2ff8fa8.png"/><Relationship Id="rId3" Type="http://schemas.openxmlformats.org/officeDocument/2006/relationships/image" Target="../media/d3f5704ed4f81c0743bb8e3fcf396f68.png"/><Relationship Id="rId4" Type="http://schemas.openxmlformats.org/officeDocument/2006/relationships/image" Target="../media/eddd7cc4b74af26b5fba1756fdcd2b98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1423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/>
      <c r="D11" s="39"/>
      <c r="E11" s="28"/>
      <c r="F11" s="19"/>
      <c r="G11" s="19">
        <v>82</v>
      </c>
      <c r="H11" s="19" t="s">
        <v>25</v>
      </c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 t="s">
        <v>28</v>
      </c>
      <c r="B13" s="55" t="s">
        <v>29</v>
      </c>
      <c r="C13" s="34"/>
      <c r="D13" s="21"/>
      <c r="E13" s="21"/>
      <c r="F13" s="21"/>
      <c r="G13" s="21">
        <v>999</v>
      </c>
      <c r="H13" s="21" t="s">
        <v>30</v>
      </c>
      <c r="I13" s="70" t="e">
        <f>SUM((C13+C14+E13+E14+G13+G14)*25)</f>
        <v>#VALUE!</v>
      </c>
      <c r="J13" s="66" t="s">
        <v>31</v>
      </c>
      <c r="K13" s="64" t="s">
        <v>32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33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34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35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36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37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38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 t="s">
        <v>39</v>
      </c>
      <c r="B21" s="81" t="s">
        <v>40</v>
      </c>
      <c r="C21" s="34">
        <v>412</v>
      </c>
      <c r="D21" s="21" t="s">
        <v>41</v>
      </c>
      <c r="E21" s="21"/>
      <c r="F21" s="21"/>
      <c r="G21" s="21"/>
      <c r="H21" s="21"/>
      <c r="I21" s="70" t="e">
        <f>SUM((C21+C22+E21+E22+G21+G22)*25)</f>
        <v>#VALUE!</v>
      </c>
      <c r="J21" s="66" t="s">
        <v>42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43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44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45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46</v>
      </c>
      <c r="K25" s="64" t="s">
        <v>47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48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49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50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51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52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53</v>
      </c>
      <c r="K31" s="64" t="s">
        <v>54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55</v>
      </c>
      <c r="B33" s="55" t="s">
        <v>56</v>
      </c>
      <c r="C33" s="34">
        <v>19488</v>
      </c>
      <c r="D33" s="21" t="s">
        <v>41</v>
      </c>
      <c r="E33" s="21">
        <v>29664</v>
      </c>
      <c r="F33" s="21" t="s">
        <v>41</v>
      </c>
      <c r="G33" s="21">
        <v>992</v>
      </c>
      <c r="H33" s="21" t="s">
        <v>41</v>
      </c>
      <c r="I33" s="70" t="e">
        <f>SUM((C33+C34+E33+E34+G33+G34)*1)</f>
        <v>#VALUE!</v>
      </c>
      <c r="J33" s="66" t="s">
        <v>57</v>
      </c>
      <c r="K33" s="64" t="s">
        <v>58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59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60</v>
      </c>
      <c r="K35" s="64" t="s">
        <v>61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62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63</v>
      </c>
      <c r="K37" s="64" t="s">
        <v>64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65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66</v>
      </c>
      <c r="K39" s="64" t="s">
        <v>41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67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68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69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70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71</v>
      </c>
      <c r="B45" s="71" t="s">
        <v>72</v>
      </c>
      <c r="C45" s="34">
        <v>64</v>
      </c>
      <c r="D45" s="21" t="s">
        <v>73</v>
      </c>
      <c r="E45" s="21">
        <v>48</v>
      </c>
      <c r="F45" s="21" t="s">
        <v>73</v>
      </c>
      <c r="G45" s="21">
        <v>49</v>
      </c>
      <c r="H45" s="21" t="s">
        <v>73</v>
      </c>
      <c r="I45" s="65" t="e">
        <f>SUM((C45+C46+E45+E46+G45+G46)*25)</f>
        <v>#VALUE!</v>
      </c>
      <c r="J45" s="66" t="s">
        <v>74</v>
      </c>
      <c r="K45" s="64" t="s">
        <v>75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76</v>
      </c>
      <c r="B47" s="71" t="s">
        <v>77</v>
      </c>
      <c r="C47" s="34">
        <v>138</v>
      </c>
      <c r="D47" s="21" t="s">
        <v>73</v>
      </c>
      <c r="E47" s="21">
        <v>128</v>
      </c>
      <c r="F47" s="21" t="s">
        <v>73</v>
      </c>
      <c r="G47" s="21">
        <v>145</v>
      </c>
      <c r="H47" s="21" t="s">
        <v>73</v>
      </c>
      <c r="I47" s="65" t="e">
        <f>SUM((C47+C48+E47+E48+G47+G48)*40)</f>
        <v>#VALUE!</v>
      </c>
      <c r="J47" s="66" t="s">
        <v>78</v>
      </c>
      <c r="K47" s="64" t="s">
        <v>79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80</v>
      </c>
      <c r="B49" s="71" t="s">
        <v>81</v>
      </c>
      <c r="C49" s="34">
        <v>24</v>
      </c>
      <c r="D49" s="21" t="s">
        <v>82</v>
      </c>
      <c r="E49" s="21">
        <v>15</v>
      </c>
      <c r="F49" s="21" t="s">
        <v>73</v>
      </c>
      <c r="G49" s="21"/>
      <c r="H49" s="21"/>
      <c r="I49" s="65" t="e">
        <f>SUM((C49+C50+E49+E50+G49+G50)*50)</f>
        <v>#VALUE!</v>
      </c>
      <c r="J49" s="66" t="s">
        <v>83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84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85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86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87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88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89</v>
      </c>
      <c r="J61" s="48"/>
      <c r="K61" s="84"/>
    </row>
    <row r="62" spans="1:13" customHeight="1" ht="109">
      <c r="A62" s="11" t="s">
        <v>90</v>
      </c>
      <c r="B62" s="12" t="e">
        <f>B59/J59</f>
        <v>#VALUE!</v>
      </c>
      <c r="C62" s="85" t="s">
        <v>91</v>
      </c>
      <c r="D62" s="86"/>
      <c r="E62" s="86" t="s">
        <v>92</v>
      </c>
      <c r="F62" s="86"/>
      <c r="G62" s="86"/>
      <c r="H62" s="86"/>
      <c r="I62" s="50" t="s">
        <v>93</v>
      </c>
      <c r="J62" s="7"/>
      <c r="K62" s="84"/>
    </row>
    <row r="63" spans="1:13" customHeight="1" ht="119">
      <c r="A63" s="13" t="s">
        <v>94</v>
      </c>
      <c r="B63" s="14" t="e">
        <f>(SUM(I47)/J59)</f>
        <v>#VALUE!</v>
      </c>
      <c r="C63" s="87" t="s">
        <v>95</v>
      </c>
      <c r="D63" s="88"/>
      <c r="E63" s="88"/>
      <c r="F63" s="88"/>
      <c r="G63" s="88"/>
      <c r="H63" s="88"/>
      <c r="I63" s="5" t="s">
        <v>96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97</v>
      </c>
      <c r="B64" s="14" t="e">
        <f>(SUM(I45)/J59)</f>
        <v>#VALUE!</v>
      </c>
      <c r="C64" s="87"/>
      <c r="D64" s="88"/>
      <c r="E64" s="88"/>
      <c r="F64" s="88"/>
      <c r="G64" s="88"/>
      <c r="H64" s="88"/>
      <c r="I64" s="5" t="s">
        <v>98</v>
      </c>
      <c r="J64" s="4" t="s">
        <v>11</v>
      </c>
      <c r="K64" s="84"/>
    </row>
    <row r="65" spans="1:13" customHeight="1" ht="47.25">
      <c r="A65" s="13" t="s">
        <v>99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100</v>
      </c>
      <c r="J65" s="4" t="s">
        <v>11</v>
      </c>
      <c r="K65" s="84"/>
    </row>
    <row r="66" spans="1:13" customHeight="1" ht="45.75">
      <c r="A66" s="51" t="s">
        <v>101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102</v>
      </c>
      <c r="J66" s="54" t="s">
        <v>103</v>
      </c>
      <c r="K66" s="84"/>
    </row>
    <row r="67" spans="1:13" customHeight="1" ht="45.75">
      <c r="A67" s="46" t="s">
        <v>104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105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