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<sst xmlns="http://schemas.openxmlformats.org/spreadsheetml/2006/main" uniqueCount="107">
  <si>
    <t>CONTROL DE MOLIENDA ZONA CENTRO</t>
  </si>
  <si>
    <t>MOLIENDA DE TRIGO Nº</t>
  </si>
  <si>
    <t>Hora Turno1</t>
  </si>
  <si>
    <t>14:07</t>
  </si>
  <si>
    <t>Hora Turno2</t>
  </si>
  <si>
    <t>06:00</t>
  </si>
  <si>
    <t>Hora Turno3</t>
  </si>
  <si>
    <t>FECHA</t>
  </si>
  <si>
    <t>2026-03-12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</si>
  <si>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</si>
  <si>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</si>
  <si>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</si>
  <si>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</si>
  <si>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</si>
  <si>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</si>
  <si>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</si>
  <si>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</si>
  <si>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</si>
  <si>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</si>
  <si>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</si>
  <si>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</si>
  <si>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</si>
  <si>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17118-10-20</t>
  </si>
  <si>
    <t>EXTRAPAN X50</t>
  </si>
  <si>
    <t>110326B</t>
  </si>
  <si>
    <t>120326B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</si>
  <si>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</si>
  <si>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</si>
  <si>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</si>
  <si>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</si>
  <si>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</si>
  <si>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</si>
  <si>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17118-30-40</t>
  </si>
  <si>
    <t>ARTESANAL X50</t>
  </si>
  <si>
    <t>060326B</t>
  </si>
  <si>
    <t>EMPAQUE GALERAS ROJO X50</t>
  </si>
  <si>
    <t>MP-01506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</si>
  <si>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</si>
  <si>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</si>
  <si>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</si>
  <si>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</si>
  <si>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</si>
  <si>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</si>
  <si>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</si>
  <si>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</si>
  <si>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</si>
  <si>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</si>
  <si>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</si>
  <si>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</si>
  <si>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</si>
  <si>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</si>
  <si>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</si>
  <si>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</si>
  <si>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090326B</t>
  </si>
  <si>
    <t>EMPAQUE GALERAS SAL X25</t>
  </si>
  <si>
    <t>MP-02152</t>
  </si>
  <si>
    <t>17118-50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</si>
  <si>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</si>
  <si>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</si>
  <si>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</si>
  <si>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</si>
  <si>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</si>
  <si>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</si>
  <si>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</si>
  <si>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</si>
  <si>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>100326B-110326B</t>
  </si>
  <si>
    <t xml:space="preserve">FUERTE EXPORTACIÓN </t>
  </si>
  <si>
    <t>MEJORANTE ARTESANAL</t>
  </si>
  <si>
    <t>100326B-120326B</t>
  </si>
  <si>
    <t>HARINA T1 X 50</t>
  </si>
  <si>
    <t>HILO BLANCO</t>
  </si>
  <si>
    <t>17118-60</t>
  </si>
  <si>
    <t>SALVADO X25</t>
  </si>
  <si>
    <t>090336B</t>
  </si>
  <si>
    <t xml:space="preserve">HILO VERDE  </t>
  </si>
  <si>
    <t>MP-02234</t>
  </si>
  <si>
    <t>17118-70</t>
  </si>
  <si>
    <t>MOGOLLA X40</t>
  </si>
  <si>
    <t>HILO NARANJA</t>
  </si>
  <si>
    <t>MP-01747</t>
  </si>
  <si>
    <t>17118-80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</si>
  <si>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</si>
  <si>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</si>
  <si>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</si>
  <si>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</si>
  <si>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</si>
  <si>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</si>
  <si>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</si>
  <si>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</si>
  <si>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</si>
  <si>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</si>
  <si>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Fernando</t>
  </si>
  <si>
    <t>ENCARGADO TURNO 2</t>
  </si>
  <si>
    <t>EXT. MOGOLLA</t>
  </si>
  <si>
    <t>Luis poloche</t>
  </si>
  <si>
    <t>Juvenal</t>
  </si>
  <si>
    <t>ENCARGADO TURNO 3</t>
  </si>
  <si>
    <t>EXT. SALVADO x25</t>
  </si>
  <si>
    <t>Elmer</t>
  </si>
  <si>
    <t>ALMACENISTA 1</t>
  </si>
  <si>
    <t>EXT. SEGUNDA</t>
  </si>
  <si>
    <t>ALMACENISTA 2</t>
  </si>
  <si>
    <t>Elkin Polania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</si>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</sst>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d80243a3529a52bf75468a769a4a9d.png"/><Relationship Id="rId2" Type="http://schemas.openxmlformats.org/officeDocument/2006/relationships/image" Target="../media/073ad0e6a63bbc99ecaa49888991fc26.png"/><Relationship Id="rId3" Type="http://schemas.openxmlformats.org/officeDocument/2006/relationships/image" Target="../media/b61857b29934403b51ff08d770382d73.png"/><Relationship Id="rId4" Type="http://schemas.openxmlformats.org/officeDocument/2006/relationships/image" Target="../media/8df45875512cde469f94587c3bfce92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335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1430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5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7</v>
      </c>
      <c r="I8" s="118" t="s">
        <v>8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9</v>
      </c>
      <c r="I9" s="124"/>
      <c r="J9" s="125" t="s">
        <v>10</v>
      </c>
      <c r="K9" s="126"/>
      <c r="M9" s="24"/>
    </row>
    <row r="10" spans="1:13" customHeight="1" ht="15">
      <c r="A10" s="44" t="s">
        <v>11</v>
      </c>
      <c r="B10" s="41" t="s">
        <v>12</v>
      </c>
      <c r="C10" s="43" t="s">
        <v>13</v>
      </c>
      <c r="D10" s="42" t="s">
        <v>14</v>
      </c>
      <c r="E10" s="2" t="s">
        <v>15</v>
      </c>
      <c r="F10" s="2" t="s">
        <v>14</v>
      </c>
      <c r="G10" s="2" t="s">
        <v>16</v>
      </c>
      <c r="H10" s="2" t="s">
        <v>14</v>
      </c>
      <c r="I10" s="2" t="s">
        <v>17</v>
      </c>
      <c r="J10" s="2" t="s">
        <v>18</v>
      </c>
      <c r="K10" s="10" t="s">
        <v>19</v>
      </c>
      <c r="L10" s="10" t="s">
        <v>20</v>
      </c>
      <c r="M10" s="10" t="s">
        <v>21</v>
      </c>
    </row>
    <row r="11" spans="1:13">
      <c r="A11" s="27" t="s">
        <v>22</v>
      </c>
      <c r="B11" s="120" t="s">
        <v>23</v>
      </c>
      <c r="C11" s="35">
        <v>400</v>
      </c>
      <c r="D11" s="39" t="s">
        <v>24</v>
      </c>
      <c r="E11" s="28">
        <v>596</v>
      </c>
      <c r="F11" s="19" t="s">
        <v>25</v>
      </c>
      <c r="G11" s="19"/>
      <c r="H11" s="19"/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>
        <v>101</v>
      </c>
      <c r="D12" t="s">
        <v>25</v>
      </c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32</v>
      </c>
      <c r="B17" s="55" t="s">
        <v>33</v>
      </c>
      <c r="C17" s="34"/>
      <c r="D17" s="21"/>
      <c r="E17" s="21">
        <v>45</v>
      </c>
      <c r="F17" s="21" t="s">
        <v>34</v>
      </c>
      <c r="G17" s="21">
        <v>449</v>
      </c>
      <c r="H17" s="21" t="s">
        <v>25</v>
      </c>
      <c r="I17" s="70" t="e">
        <f>SUM((C17+C18+E17+E18+G17+G18)*50)</f>
        <v>#VALUE!</v>
      </c>
      <c r="J17" s="55" t="s">
        <v>35</v>
      </c>
      <c r="K17" s="64" t="s">
        <v>36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37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38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39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40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41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42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43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44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45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46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47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48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49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50</v>
      </c>
      <c r="K31" s="64" t="s">
        <v>51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52</v>
      </c>
      <c r="C33" s="34"/>
      <c r="D33" s="21"/>
      <c r="E33" s="21"/>
      <c r="F33" s="21"/>
      <c r="G33" s="21">
        <v>8144</v>
      </c>
      <c r="H33" s="21" t="s">
        <v>53</v>
      </c>
      <c r="I33" s="70" t="e">
        <f>SUM((C33+C34+E33+E34+G33+G34)*1)</f>
        <v>#VALUE!</v>
      </c>
      <c r="J33" s="66" t="s">
        <v>54</v>
      </c>
      <c r="K33" s="64" t="s">
        <v>55</v>
      </c>
      <c r="L33" s="64"/>
      <c r="M33" s="64"/>
    </row>
    <row r="34" spans="1:13">
      <c r="A34" s="31" t="s">
        <v>56</v>
      </c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57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58</v>
      </c>
      <c r="K35" s="64" t="s">
        <v>59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60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61</v>
      </c>
      <c r="K37" s="64" t="s">
        <v>62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63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64</v>
      </c>
      <c r="K39" s="64" t="s">
        <v>65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66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67</v>
      </c>
      <c r="K41" s="64" t="s">
        <v>68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69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70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71</v>
      </c>
      <c r="B45" s="71" t="s">
        <v>72</v>
      </c>
      <c r="C45" s="34">
        <v>48</v>
      </c>
      <c r="D45" s="21" t="s">
        <v>73</v>
      </c>
      <c r="E45" s="21">
        <v>51</v>
      </c>
      <c r="F45" s="21" t="s">
        <v>53</v>
      </c>
      <c r="G45" s="21">
        <v>83</v>
      </c>
      <c r="H45" s="21" t="s">
        <v>53</v>
      </c>
      <c r="I45" s="65" t="e">
        <f>SUM((C45+C46+E45+E46+G45+G46)*25)</f>
        <v>#VALUE!</v>
      </c>
      <c r="J45" s="66" t="s">
        <v>74</v>
      </c>
      <c r="K45" s="64" t="s">
        <v>75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76</v>
      </c>
      <c r="B47" s="71" t="s">
        <v>77</v>
      </c>
      <c r="C47" s="34">
        <v>107</v>
      </c>
      <c r="D47" s="21" t="s">
        <v>73</v>
      </c>
      <c r="E47" s="21">
        <v>134</v>
      </c>
      <c r="F47" s="21" t="s">
        <v>53</v>
      </c>
      <c r="G47" s="21">
        <v>138</v>
      </c>
      <c r="H47" s="21" t="s">
        <v>53</v>
      </c>
      <c r="I47" s="65" t="e">
        <f>SUM((C47+C48+E47+E48+G47+G48)*40)</f>
        <v>#VALUE!</v>
      </c>
      <c r="J47" s="66" t="s">
        <v>78</v>
      </c>
      <c r="K47" s="64" t="s">
        <v>79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80</v>
      </c>
      <c r="B49" s="71" t="s">
        <v>81</v>
      </c>
      <c r="C49" s="34">
        <v>50</v>
      </c>
      <c r="D49" s="21" t="s">
        <v>53</v>
      </c>
      <c r="E49" s="21">
        <v>43</v>
      </c>
      <c r="F49" s="21" t="s">
        <v>53</v>
      </c>
      <c r="G49" s="21"/>
      <c r="H49" s="21"/>
      <c r="I49" s="65" t="e">
        <f>SUM((C49+C50+E49+E50+G49+G50)*50)</f>
        <v>#VALUE!</v>
      </c>
      <c r="J49" s="66" t="s">
        <v>82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83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84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85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86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87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88</v>
      </c>
      <c r="J61" s="48"/>
      <c r="K61" s="84"/>
    </row>
    <row r="62" spans="1:13" customHeight="1" ht="109">
      <c r="A62" s="11" t="s">
        <v>89</v>
      </c>
      <c r="B62" s="12" t="e">
        <f>B59/J59</f>
        <v>#VALUE!</v>
      </c>
      <c r="C62" s="85" t="s">
        <v>90</v>
      </c>
      <c r="D62" s="86"/>
      <c r="E62" s="86" t="s">
        <v>91</v>
      </c>
      <c r="F62" s="86"/>
      <c r="G62" s="86"/>
      <c r="H62" s="86"/>
      <c r="I62" s="50" t="s">
        <v>92</v>
      </c>
      <c r="J62" s="7"/>
      <c r="K62" s="84"/>
    </row>
    <row r="63" spans="1:13" customHeight="1" ht="119">
      <c r="A63" s="13" t="s">
        <v>93</v>
      </c>
      <c r="B63" s="14" t="e">
        <f>(SUM(I47)/J59)</f>
        <v>#VALUE!</v>
      </c>
      <c r="C63" s="87" t="s">
        <v>94</v>
      </c>
      <c r="D63" s="88"/>
      <c r="E63" s="88" t="s">
        <v>95</v>
      </c>
      <c r="F63" s="88"/>
      <c r="G63" s="88"/>
      <c r="H63" s="88"/>
      <c r="I63" s="5" t="s">
        <v>96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97</v>
      </c>
      <c r="B64" s="14" t="e">
        <f>(SUM(I45)/J59)</f>
        <v>#VALUE!</v>
      </c>
      <c r="C64" s="87" t="s">
        <v>98</v>
      </c>
      <c r="D64" s="88"/>
      <c r="E64" s="88"/>
      <c r="F64" s="88"/>
      <c r="G64" s="88"/>
      <c r="H64" s="88"/>
      <c r="I64" s="5" t="s">
        <v>99</v>
      </c>
      <c r="J64" s="4" t="s">
        <v>10</v>
      </c>
      <c r="K64" s="84"/>
    </row>
    <row r="65" spans="1:13" customHeight="1" ht="47.25">
      <c r="A65" s="13" t="s">
        <v>100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101</v>
      </c>
      <c r="J65" s="4" t="s">
        <v>102</v>
      </c>
      <c r="K65" s="84"/>
    </row>
    <row r="66" spans="1:13" customHeight="1" ht="45.75">
      <c r="A66" s="51" t="s">
        <v>103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104</v>
      </c>
      <c r="J66" s="54"/>
      <c r="K66" s="84"/>
    </row>
    <row r="67" spans="1:13" customHeight="1" ht="45.75">
      <c r="A67" s="46" t="s">
        <v>105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106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