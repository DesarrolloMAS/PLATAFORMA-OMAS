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<sst xmlns="http://schemas.openxmlformats.org/spreadsheetml/2006/main" uniqueCount="85">
  <si>
    <t>CONTROL DE MOLIENDA ZONA CENTRO</t>
  </si>
  <si>
    <t>MOLIENDA DE TRIGO Nº</t>
  </si>
  <si>
    <t>Hora Turno1</t>
  </si>
  <si>
    <t>14:02</t>
  </si>
  <si>
    <t>Hora Turno2</t>
  </si>
  <si>
    <t>Hora Turno3</t>
  </si>
  <si>
    <t>FECHA</t>
  </si>
  <si>
    <t>2026-03-18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</si>
  <si>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</si>
  <si>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</si>
  <si>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</si>
  <si>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</si>
  <si>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</si>
  <si>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</si>
  <si>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</si>
  <si>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</si>
  <si>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</si>
  <si>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</si>
  <si>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</si>
  <si>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</si>
  <si>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</si>
  <si>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</si>
  <si>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170326B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</si>
  <si>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</si>
  <si>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</si>
  <si>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</si>
  <si>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</si>
  <si>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</si>
  <si>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</si>
  <si>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</si>
  <si>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</si>
  <si>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</si>
  <si>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</si>
  <si>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</si>
  <si>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</si>
  <si>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</si>
  <si>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</si>
  <si>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</si>
  <si>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</si>
  <si>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</si>
  <si>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</si>
  <si>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</si>
  <si>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</si>
  <si>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</si>
  <si>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HARINA ALTA PROTEINA X1</t>
  </si>
  <si>
    <t>160326B</t>
  </si>
  <si>
    <t>EMPAQUE GALERAS SAL X25</t>
  </si>
  <si>
    <t>HARINA MEDIA PROTEINA X1</t>
  </si>
  <si>
    <t>EMPAQUE GALERAS SEG X50</t>
  </si>
  <si>
    <t>HARINA BAJA PROTEINA X1</t>
  </si>
  <si>
    <t>VITAMINA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</si>
  <si>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</si>
  <si>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</si>
  <si>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</si>
  <si>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</si>
  <si>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</si>
  <si>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</si>
  <si>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SALVADO X25</t>
  </si>
  <si>
    <t xml:space="preserve">HILO VERDE  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</si>
  <si>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</si>
  <si>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</si>
  <si>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</si>
  <si>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</si>
  <si>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</si>
  <si>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</si>
  <si>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</si>
  <si>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</si>
  <si>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 TURNO 2</t>
  </si>
  <si>
    <t>TOTAL TURNO 3</t>
  </si>
  <si>
    <t>TOTAL</t>
  </si>
  <si>
    <t>ENCARGADO TURNO 1</t>
  </si>
  <si>
    <t>EXT. HARINA</t>
  </si>
  <si>
    <t>Yolmer</t>
  </si>
  <si>
    <t>ENCARGADO TURNO 2</t>
  </si>
  <si>
    <t>EXT. MOGOLLA</t>
  </si>
  <si>
    <t>Antonio</t>
  </si>
  <si>
    <t>ENCARGADO TURNO 3</t>
  </si>
  <si>
    <t>EXT. SALVADO x25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</si>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</sst>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1c25e6dd238a152346db758b2d7b3e.png"/><Relationship Id="rId2" Type="http://schemas.openxmlformats.org/officeDocument/2006/relationships/image" Target="../media/97036bac1e4dc61476898bcac94c2d8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zoomScale="38" zoomScaleNormal="60" showGridLines="true" showRowColHeaders="1">
      <selection activeCell="B65" sqref="B6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1434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/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5</v>
      </c>
      <c r="K7" s="16"/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6</v>
      </c>
      <c r="I8" s="118" t="s">
        <v>7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8</v>
      </c>
      <c r="I9" s="124"/>
      <c r="J9" s="125" t="s">
        <v>9</v>
      </c>
      <c r="K9" s="126"/>
      <c r="M9" s="24"/>
    </row>
    <row r="10" spans="1:13" customHeight="1" ht="15">
      <c r="A10" s="44" t="s">
        <v>10</v>
      </c>
      <c r="B10" s="41" t="s">
        <v>11</v>
      </c>
      <c r="C10" s="43" t="s">
        <v>12</v>
      </c>
      <c r="D10" s="42" t="s">
        <v>13</v>
      </c>
      <c r="E10" s="2" t="s">
        <v>14</v>
      </c>
      <c r="F10" s="2" t="s">
        <v>13</v>
      </c>
      <c r="G10" s="2" t="s">
        <v>15</v>
      </c>
      <c r="H10" s="2" t="s">
        <v>13</v>
      </c>
      <c r="I10" s="2" t="s">
        <v>16</v>
      </c>
      <c r="J10" s="2" t="s">
        <v>17</v>
      </c>
      <c r="K10" s="10" t="s">
        <v>18</v>
      </c>
      <c r="L10" s="10" t="s">
        <v>19</v>
      </c>
      <c r="M10" s="10" t="s">
        <v>20</v>
      </c>
    </row>
    <row r="11" spans="1:13">
      <c r="A11" s="27"/>
      <c r="B11" s="120" t="s">
        <v>21</v>
      </c>
      <c r="C11" s="35">
        <v>160</v>
      </c>
      <c r="D11" s="39" t="s">
        <v>22</v>
      </c>
      <c r="E11" s="28"/>
      <c r="F11" s="19"/>
      <c r="G11" s="19"/>
      <c r="H11" s="19"/>
      <c r="I11" s="70" t="e">
        <f>SUM((C11+C12+E11+E12+G11+G12)*50)</f>
        <v>#VALUE!</v>
      </c>
      <c r="J11" s="122" t="s">
        <v>23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24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25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26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27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28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29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30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31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32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33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34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35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36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37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38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39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41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42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43</v>
      </c>
      <c r="K31" s="64">
        <v>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44</v>
      </c>
      <c r="C33" s="34">
        <v>19920</v>
      </c>
      <c r="D33" s="21" t="s">
        <v>45</v>
      </c>
      <c r="E33" s="21"/>
      <c r="F33" s="21"/>
      <c r="G33" s="21"/>
      <c r="H33" s="21"/>
      <c r="I33" s="70" t="e">
        <f>SUM((C33+C34+E33+E34+G33+G34)*1)</f>
        <v>#VALUE!</v>
      </c>
      <c r="J33" s="66" t="s">
        <v>46</v>
      </c>
      <c r="K33" s="64">
        <v>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47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48</v>
      </c>
      <c r="K35" s="64">
        <v>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49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50</v>
      </c>
      <c r="K37" s="64">
        <v>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52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54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55</v>
      </c>
      <c r="C43" s="34"/>
      <c r="D43" s="21"/>
      <c r="E43" s="21"/>
      <c r="F43" s="21"/>
      <c r="G43" s="21"/>
      <c r="H43" s="21"/>
      <c r="I43" s="70">
        <f>SUM((C43+C44+E43+E44+G43+G44)*50)</f>
        <v>0</v>
      </c>
      <c r="J43" s="66" t="s">
        <v>56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57</v>
      </c>
      <c r="C45" s="34">
        <v>49</v>
      </c>
      <c r="D45" s="21" t="s">
        <v>45</v>
      </c>
      <c r="E45" s="21"/>
      <c r="F45" s="21"/>
      <c r="G45" s="21"/>
      <c r="H45" s="21"/>
      <c r="I45" s="65" t="e">
        <f>SUM((C45+C46+E45+E46+G45+G46)*25)</f>
        <v>#VALUE!</v>
      </c>
      <c r="J45" s="66" t="s">
        <v>58</v>
      </c>
      <c r="K45" s="64">
        <v>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59</v>
      </c>
      <c r="C47" s="34">
        <v>125</v>
      </c>
      <c r="D47" s="21" t="s">
        <v>45</v>
      </c>
      <c r="E47" s="21"/>
      <c r="F47" s="21"/>
      <c r="G47" s="21"/>
      <c r="H47" s="21"/>
      <c r="I47" s="65" t="e">
        <f>SUM((C47+C48+E47+E48+G47+G48)*40)</f>
        <v>#VALUE!</v>
      </c>
      <c r="J47" s="66" t="s">
        <v>60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61</v>
      </c>
      <c r="C49" s="34">
        <v>38</v>
      </c>
      <c r="D49" s="21" t="s">
        <v>45</v>
      </c>
      <c r="E49" s="21"/>
      <c r="F49" s="21"/>
      <c r="G49" s="21"/>
      <c r="H49" s="21"/>
      <c r="I49" s="65" t="e">
        <f>SUM((C49+C50+E49+E50+G49+G50)*50)</f>
        <v>#VALUE!</v>
      </c>
      <c r="J49" s="66" t="s">
        <v>62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63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64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65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66</v>
      </c>
      <c r="B59" s="32" t="e">
        <f>SUM(I11:I44)</f>
        <v>#VALUE!</v>
      </c>
      <c r="C59" s="36"/>
      <c r="D59" s="32"/>
      <c r="E59" s="32" t="s">
        <v>67</v>
      </c>
      <c r="F59" s="32">
        <f>(((E11+E12)*50)+((E13+E14)*25)+((E15+E16)*10)+((E17+E18)*50)+((E19+E20)*25)+((E21+E22)*25)+((E23+E24)*50)+((E25+E26)*50)+((E27+E28)*25)+((E29+E30)*50)+(E31+E32)+(E33+E34)+(E35+E36)+(E37+E38)+(E39+E40)+(E41+E42)+((E43+E44)*50))</f>
        <v>0</v>
      </c>
      <c r="G59" s="32" t="s">
        <v>68</v>
      </c>
      <c r="H59" s="32">
        <f>(((G11+G12)*50)+((G13+G14)*25)+((G15+G16)*10)+((G17+G18)*50)+((G19+G20)*25)+((G21+G22)*25)+((G23+G24)*50)+((G25+G26)*50)+((G27+G28)*25)+((G29+G30)*50)+(G31+G32)+(G33+G34)+(G35+G36)+(G37+G38)+(G39+G40)+(G41+G42)+((G43+G44)*50))</f>
        <v>0</v>
      </c>
      <c r="I59" s="37" t="s">
        <v>69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>
        <v>2</v>
      </c>
      <c r="F61" s="82"/>
      <c r="G61" s="82">
        <v>3</v>
      </c>
      <c r="H61" s="83"/>
      <c r="I61" s="49" t="s">
        <v>70</v>
      </c>
      <c r="J61" s="48"/>
      <c r="K61" s="84"/>
    </row>
    <row r="62" spans="1:13" customHeight="1" ht="109">
      <c r="A62" s="11" t="s">
        <v>71</v>
      </c>
      <c r="B62" s="12" t="e">
        <f>B59/J59</f>
        <v>#VALUE!</v>
      </c>
      <c r="C62" s="85" t="s">
        <v>72</v>
      </c>
      <c r="D62" s="86"/>
      <c r="E62" s="86"/>
      <c r="F62" s="86"/>
      <c r="G62" s="86"/>
      <c r="H62" s="86"/>
      <c r="I62" s="50" t="s">
        <v>73</v>
      </c>
      <c r="J62" s="7"/>
      <c r="K62" s="84"/>
    </row>
    <row r="63" spans="1:13" customHeight="1" ht="119">
      <c r="A63" s="13" t="s">
        <v>74</v>
      </c>
      <c r="B63" s="14" t="e">
        <f>(SUM(I47)/J59)</f>
        <v>#VALUE!</v>
      </c>
      <c r="C63" s="87" t="s">
        <v>75</v>
      </c>
      <c r="D63" s="88"/>
      <c r="E63" s="88"/>
      <c r="F63" s="88"/>
      <c r="G63" s="88"/>
      <c r="H63" s="88"/>
      <c r="I63" s="5" t="s">
        <v>76</v>
      </c>
      <c r="J63" s="4"/>
      <c r="K63" s="84">
        <v>0</v>
      </c>
    </row>
    <row r="64" spans="1:13" customHeight="1" ht="46">
      <c r="A64" s="13" t="s">
        <v>77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78</v>
      </c>
      <c r="J64" s="4" t="s">
        <v>9</v>
      </c>
      <c r="K64" s="84"/>
    </row>
    <row r="65" spans="1:13" customHeight="1" ht="47.25">
      <c r="A65" s="13" t="s">
        <v>79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80</v>
      </c>
      <c r="J65" s="4"/>
      <c r="K65" s="84"/>
    </row>
    <row r="66" spans="1:13" customHeight="1" ht="45.75">
      <c r="A66" s="51" t="s">
        <v>81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82</v>
      </c>
      <c r="J66" s="54"/>
      <c r="K66" s="84"/>
    </row>
    <row r="67" spans="1:13" customHeight="1" ht="45.75">
      <c r="A67" s="46" t="s">
        <v>83</v>
      </c>
      <c r="B67" s="52" t="e">
        <f>(SUM(#REF!)/J59)</f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84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I79">
        <v>0</v>
      </c>
    </row>
    <row r="81" spans="1:13">
      <c r="C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