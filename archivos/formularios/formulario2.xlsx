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practicantezc\Downloads\ARCHIVO\"/>
    </mc:Choice>
  </mc:AlternateContent>
  <xr:revisionPtr revIDLastSave="0" documentId="13_ncr:1_{C7C4E1F5-9D84-46AE-9135-C062F85D28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4" i="1" l="1"/>
  <c r="B63" i="1"/>
  <c r="J59" i="1"/>
  <c r="B62" i="1" s="1"/>
  <c r="H59" i="1"/>
  <c r="F59" i="1"/>
  <c r="D59" i="1"/>
  <c r="B59" i="1"/>
  <c r="I29" i="1"/>
  <c r="I43" i="1"/>
  <c r="I47" i="1"/>
  <c r="I41" i="1"/>
  <c r="I33" i="1"/>
  <c r="I35" i="1"/>
  <c r="I37" i="1"/>
  <c r="I39" i="1"/>
  <c r="I31" i="1"/>
  <c r="I25" i="1"/>
  <c r="I23" i="1"/>
  <c r="I17" i="1"/>
  <c r="I15" i="1"/>
  <c r="I11" i="1"/>
  <c r="I19" i="1"/>
  <c r="I13" i="1"/>
  <c r="I21" i="1"/>
  <c r="I27" i="1"/>
  <c r="I45" i="1"/>
  <c r="I49" i="1"/>
  <c r="I51" i="1"/>
  <c r="I55" i="1"/>
  <c r="I53" i="1"/>
  <c r="B67" i="1" l="1"/>
  <c r="B65" i="1" l="1"/>
  <c r="B6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Analista Produccion</author>
  </authors>
  <commentList>
    <comment ref="B43" authorId="0" shapeId="0" xr:uid="{147F4CAB-4831-48F8-A844-E4BE2FD08704}">
      <text>
        <r>
          <rPr>
            <b/>
            <sz val="9"/>
            <color indexed="81"/>
            <rFont val="Tahoma"/>
            <family val="2"/>
          </rPr>
          <t>Analista Produccion:</t>
        </r>
        <r>
          <rPr>
            <sz val="9"/>
            <color indexed="81"/>
            <rFont val="Tahoma"/>
            <family val="2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<sst xmlns="http://schemas.openxmlformats.org/spreadsheetml/2006/main" count="82" uniqueCount="80">
  <si>
    <t>CONTROL DE MOLIENDA ZONA CENTRO</t>
  </si>
  <si>
    <t>MOLIENDA DE TRIGO Nº</t>
  </si>
  <si>
    <t>FECHA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</si>
  <si>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</si>
  <si>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</si>
  <si>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</si>
  <si>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</si>
  <si>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</si>
  <si>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</si>
  <si>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</si>
  <si>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EXTRAPAN X50</t>
  </si>
  <si>
    <t>EMPAQUE EXTRA PAN X50</t>
  </si>
  <si>
    <t>EXTRAPAN X25</t>
  </si>
  <si>
    <t>EMPAQUE EXTRA PAN X25</t>
  </si>
  <si>
    <t>EXTRAPAN X10</t>
  </si>
  <si>
    <t>EMPAQUE EXTRAPAN X10</t>
  </si>
  <si>
    <t>ARTESANAL X50</t>
  </si>
  <si>
    <t>EMPAQUE GALERAS ROJO X50</t>
  </si>
  <si>
    <t>ARTESANAL X25</t>
  </si>
  <si>
    <t>EMPAQUE GALERAS VERDE X50</t>
  </si>
  <si>
    <t>FUERTE X25</t>
  </si>
  <si>
    <t>EMPAQUE GALERAS CAFÉ X50</t>
  </si>
  <si>
    <t>NATURAL X50</t>
  </si>
  <si>
    <t>EMPAQUE GALERAS AZUL X50</t>
  </si>
  <si>
    <t>ESPECIAL X50</t>
  </si>
  <si>
    <t>EMPAQUE GALERAS NARANJA X25</t>
  </si>
  <si>
    <t>ESPECIAL X25</t>
  </si>
  <si>
    <t>EMPAQUE GALERAS KRAFT X25</t>
  </si>
  <si>
    <t>EXCLUSIVA X50</t>
  </si>
  <si>
    <t>EMPAQUE MULTI BEIGE X25</t>
  </si>
  <si>
    <t>DESARROLLO X1</t>
  </si>
  <si>
    <t>EMPAQUE GALERAS MOG X40</t>
  </si>
  <si>
    <t>HARINA ALTA PROTEINA X1</t>
  </si>
  <si>
    <t>EMPAQUE GALERAS SAL X25</t>
  </si>
  <si>
    <t>HARINA MEDIA PROTEINA X1</t>
  </si>
  <si>
    <t>EMPAQUE GALERAS SEG X50</t>
  </si>
  <si>
    <t>HARINA BAJA PROTEINA X1</t>
  </si>
  <si>
    <t>VITAMINA</t>
  </si>
  <si>
    <t>ARTESANAL X1</t>
  </si>
  <si>
    <t xml:space="preserve">MEJORANTE EXTRA PAN </t>
  </si>
  <si>
    <t xml:space="preserve">FUERTE EXPORTACIÓN </t>
  </si>
  <si>
    <t>MEJORANTE ARTESANAL</t>
  </si>
  <si>
    <t>HARINA T1 X 50</t>
  </si>
  <si>
    <t>SALVADO X25</t>
  </si>
  <si>
    <t>HILO BLANCO</t>
  </si>
  <si>
    <t>MOGOLLA X40</t>
  </si>
  <si>
    <t xml:space="preserve">HILO VERDE  </t>
  </si>
  <si>
    <t>SEGUNDA X50</t>
  </si>
  <si>
    <t>SÉMOLA FINA X25</t>
  </si>
  <si>
    <t>SEMOLA GRUESA X25</t>
  </si>
  <si>
    <t>GERMEN X25</t>
  </si>
  <si>
    <t>TOTAL</t>
  </si>
  <si>
    <t>RESPONSABLES INTERVENCIÓN</t>
  </si>
  <si>
    <t>ENCARGADO TURNO 1</t>
  </si>
  <si>
    <t>EXT. HARINA</t>
  </si>
  <si>
    <t>ENCARGADO TURNO 2</t>
  </si>
  <si>
    <t>EXT. MOGOLLA</t>
  </si>
  <si>
    <t>ENCARGADO TURNO 3</t>
  </si>
  <si>
    <t>ALMACENISTA 1</t>
  </si>
  <si>
    <t>EXT. SEGUNDA</t>
  </si>
  <si>
    <t>ALMACENISTA 2</t>
  </si>
  <si>
    <t>EXT. GERMEN</t>
  </si>
  <si>
    <t>Hora Turno1</t>
  </si>
  <si>
    <t>Hora Turno2</t>
  </si>
  <si>
    <t>Hora Turno3</t>
  </si>
  <si>
    <t>Responsable</t>
  </si>
  <si>
    <t>HILO NARANJA</t>
  </si>
  <si>
    <t>LOTES TURNO 1</t>
  </si>
  <si>
    <t>LOTES TURNO 2</t>
  </si>
  <si>
    <t>LOTES TURNO 3</t>
  </si>
  <si>
    <t>TOTAL HARINA</t>
  </si>
  <si>
    <t>COORDINADOR DE OPERACIONES</t>
  </si>
  <si>
    <t>TOTAL TURNO 1</t>
  </si>
  <si>
    <t>TOTAL TURNO 2</t>
  </si>
  <si>
    <t>TOTAL TURNO 3</t>
  </si>
  <si>
    <t>N SAP Orden de Trabajo</t>
  </si>
  <si>
    <t>Observaciones</t>
  </si>
  <si>
    <t>EXT. SALVADO x25</t>
  </si>
  <si>
    <t>EXT.SALVADO X30</t>
  </si>
  <si>
    <t>EMPAQUE FUERTE EXPORTACION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</si>
</sst>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b/>
      <sz val="20"/>
      <color rgb="FFFF0000"/>
      <name val="Arial"/>
      <family val="2"/>
    </font>
    <font>
      <b/>
      <sz val="11"/>
      <color theme="1"/>
      <name val="Arial"/>
      <family val="2"/>
    </font>
    <font>
      <sz val="16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color theme="1"/>
      <name val="Arial"/>
      <family val="2"/>
    </font>
    <font>
      <b/>
      <sz val="1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1">
    <xf numFmtId="0" fontId="0" fillId="0" borderId="0" xfId="0"/>
    <xf numFmtId="0" fontId="6" fillId="0" borderId="15" xfId="0" applyFont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2" fillId="2" borderId="22" xfId="0" applyFont="1" applyFill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6" fillId="3" borderId="30" xfId="0" applyFont="1" applyFill="1" applyBorder="1" applyAlignment="1">
      <alignment horizontal="center" vertical="center"/>
    </xf>
    <xf numFmtId="0" fontId="6" fillId="4" borderId="24" xfId="0" applyFont="1" applyFill="1" applyBorder="1" applyAlignment="1">
      <alignment horizontal="center" vertical="center"/>
    </xf>
    <xf numFmtId="10" fontId="2" fillId="4" borderId="3" xfId="1" applyNumberFormat="1" applyFont="1" applyFill="1" applyBorder="1" applyAlignment="1" applyProtection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10" fontId="2" fillId="4" borderId="9" xfId="1" applyNumberFormat="1" applyFont="1" applyFill="1" applyBorder="1" applyAlignment="1" applyProtection="1">
      <alignment horizontal="center" vertical="center"/>
    </xf>
    <xf numFmtId="0" fontId="6" fillId="4" borderId="32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33" xfId="0" applyFont="1" applyFill="1" applyBorder="1" applyAlignment="1">
      <alignment horizontal="center" vertical="center"/>
    </xf>
    <xf numFmtId="0" fontId="6" fillId="4" borderId="34" xfId="0" applyFont="1" applyFill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0" fillId="0" borderId="4" xfId="0" applyBorder="1"/>
    <xf numFmtId="0" fontId="0" fillId="0" borderId="39" xfId="0" applyBorder="1"/>
    <xf numFmtId="0" fontId="0" fillId="0" borderId="13" xfId="0" applyBorder="1"/>
    <xf numFmtId="0" fontId="2" fillId="0" borderId="29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41" xfId="0" applyFont="1" applyBorder="1" applyAlignment="1">
      <alignment vertical="center"/>
    </xf>
    <xf numFmtId="0" fontId="2" fillId="2" borderId="15" xfId="0" applyFont="1" applyFill="1" applyBorder="1" applyAlignment="1">
      <alignment vertical="center"/>
    </xf>
    <xf numFmtId="0" fontId="7" fillId="2" borderId="15" xfId="0" applyFont="1" applyFill="1" applyBorder="1" applyAlignment="1">
      <alignment vertical="center"/>
    </xf>
    <xf numFmtId="0" fontId="2" fillId="0" borderId="18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7" fillId="0" borderId="15" xfId="0" applyFont="1" applyBorder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0" fontId="2" fillId="0" borderId="45" xfId="0" applyFont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6" fillId="3" borderId="47" xfId="0" applyFont="1" applyFill="1" applyBorder="1" applyAlignment="1">
      <alignment horizontal="center" vertical="center"/>
    </xf>
    <xf numFmtId="0" fontId="6" fillId="3" borderId="48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4" borderId="49" xfId="0" applyFont="1" applyFill="1" applyBorder="1" applyAlignment="1">
      <alignment horizontal="center" vertical="center"/>
    </xf>
    <xf numFmtId="10" fontId="2" fillId="4" borderId="11" xfId="1" applyNumberFormat="1" applyFont="1" applyFill="1" applyBorder="1" applyAlignment="1" applyProtection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6" fillId="4" borderId="20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/>
    </xf>
    <xf numFmtId="0" fontId="13" fillId="5" borderId="2" xfId="0" applyFont="1" applyFill="1" applyBorder="1" applyAlignment="1">
      <alignment horizontal="center"/>
    </xf>
    <xf numFmtId="0" fontId="13" fillId="5" borderId="20" xfId="0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6" fillId="0" borderId="9" xfId="0" applyFont="1" applyBorder="1" applyAlignment="1">
      <alignment horizontal="center" vertical="distributed" wrapText="1"/>
    </xf>
    <xf numFmtId="0" fontId="2" fillId="0" borderId="26" xfId="0" applyFont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distributed" wrapText="1"/>
    </xf>
    <xf numFmtId="0" fontId="6" fillId="4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6" fillId="4" borderId="35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4" borderId="36" xfId="0" applyFont="1" applyFill="1" applyBorder="1" applyAlignment="1">
      <alignment horizontal="center" vertical="center"/>
    </xf>
    <xf numFmtId="0" fontId="6" fillId="4" borderId="3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6" fillId="4" borderId="44" xfId="0" applyFont="1" applyFill="1" applyBorder="1" applyAlignment="1">
      <alignment horizontal="center" vertical="center"/>
    </xf>
    <xf numFmtId="0" fontId="6" fillId="4" borderId="46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 wrapText="1"/>
    </xf>
    <xf numFmtId="0" fontId="10" fillId="2" borderId="31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6" fillId="4" borderId="38" xfId="0" applyFont="1" applyFill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distributed" wrapText="1"/>
    </xf>
    <xf numFmtId="0" fontId="2" fillId="0" borderId="27" xfId="0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tabSelected="1" zoomScale="38" zoomScaleNormal="60" workbookViewId="0">
      <selection activeCell="B65" sqref="B65"/>
    </sheetView>
  </sheetViews>
  <sheetFormatPr baseColWidth="10" defaultColWidth="9.1796875" defaultRowHeight="14.5" x14ac:dyDescent="0.35"/>
  <cols>
    <col min="1" max="1" width="26.1796875" bestFit="1" customWidth="1"/>
    <col min="2" max="2" width="48.1796875" bestFit="1" customWidth="1"/>
    <col min="3" max="3" width="23.54296875" customWidth="1"/>
    <col min="4" max="4" width="22.54296875" customWidth="1"/>
    <col min="5" max="5" width="24" customWidth="1"/>
    <col min="6" max="6" width="22.453125" customWidth="1"/>
    <col min="7" max="7" width="23.453125" customWidth="1"/>
    <col min="8" max="8" width="25.1796875" customWidth="1"/>
    <col min="9" max="9" width="26.7265625" customWidth="1"/>
    <col min="10" max="10" width="61.453125" bestFit="1" customWidth="1"/>
    <col min="11" max="11" width="35" customWidth="1"/>
    <col min="12" max="12" width="30.54296875" bestFit="1" customWidth="1"/>
    <col min="13" max="13" width="23.7265625" customWidth="1"/>
  </cols>
  <sheetData>
    <row r="1" spans="1:13" ht="15" thickBot="1" x14ac:dyDescent="0.4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 x14ac:dyDescent="0.35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 x14ac:dyDescent="0.35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ht="25.5" thickBot="1" x14ac:dyDescent="0.4">
      <c r="A4" s="95"/>
      <c r="B4" s="70"/>
      <c r="C4" s="96"/>
      <c r="D4" s="9"/>
      <c r="E4" s="106"/>
      <c r="F4" s="107"/>
      <c r="G4" s="108"/>
      <c r="H4" s="9"/>
      <c r="I4" s="9"/>
      <c r="J4" s="116"/>
      <c r="K4" s="117"/>
      <c r="M4" s="24"/>
    </row>
    <row r="5" spans="1:13" ht="21" customHeight="1" thickBot="1" x14ac:dyDescent="0.4">
      <c r="A5" s="95"/>
      <c r="B5" s="70"/>
      <c r="C5" s="96"/>
      <c r="D5" s="9"/>
      <c r="E5" s="109"/>
      <c r="F5" s="110"/>
      <c r="G5" s="111"/>
      <c r="H5" s="9"/>
      <c r="I5" s="9"/>
      <c r="J5" s="15" t="s">
        <v>62</v>
      </c>
      <c r="K5" s="16"/>
      <c r="M5" s="24"/>
    </row>
    <row r="6" spans="1:13" ht="27" customHeight="1" thickBot="1" x14ac:dyDescent="0.4">
      <c r="A6" s="95"/>
      <c r="B6" s="70"/>
      <c r="C6" s="96"/>
      <c r="D6" s="9"/>
      <c r="E6" s="9"/>
      <c r="F6" s="9"/>
      <c r="G6" s="9"/>
      <c r="H6" s="9"/>
      <c r="I6" s="9"/>
      <c r="J6" s="17" t="s">
        <v>63</v>
      </c>
      <c r="K6" s="16"/>
      <c r="M6" s="24"/>
    </row>
    <row r="7" spans="1:13" ht="25.5" customHeight="1" thickBot="1" x14ac:dyDescent="0.4">
      <c r="A7" s="95"/>
      <c r="B7" s="70"/>
      <c r="C7" s="96"/>
      <c r="D7" s="9"/>
      <c r="E7" s="9"/>
      <c r="F7" s="9"/>
      <c r="G7" s="9"/>
      <c r="H7" s="29"/>
      <c r="I7" s="30"/>
      <c r="J7" s="18" t="s">
        <v>64</v>
      </c>
      <c r="K7" s="16"/>
      <c r="M7" s="24"/>
    </row>
    <row r="8" spans="1:13" ht="15" thickBot="1" x14ac:dyDescent="0.4">
      <c r="A8" s="95"/>
      <c r="B8" s="70"/>
      <c r="C8" s="96"/>
      <c r="D8" s="9"/>
      <c r="E8" s="9"/>
      <c r="F8" s="9"/>
      <c r="G8" s="29"/>
      <c r="H8" s="1" t="s">
        <v>2</v>
      </c>
      <c r="I8" s="118"/>
      <c r="J8" s="119"/>
      <c r="K8" s="102"/>
      <c r="M8" s="24"/>
    </row>
    <row r="9" spans="1:13" ht="16" thickBot="1" x14ac:dyDescent="0.4">
      <c r="A9" s="97"/>
      <c r="B9" s="98"/>
      <c r="C9" s="99"/>
      <c r="D9" s="9"/>
      <c r="E9" s="9"/>
      <c r="F9" s="9"/>
      <c r="G9" s="9"/>
      <c r="H9" s="123" t="s">
        <v>65</v>
      </c>
      <c r="I9" s="124"/>
      <c r="J9" s="125"/>
      <c r="K9" s="126"/>
      <c r="M9" s="24"/>
    </row>
    <row r="10" spans="1:13" ht="15" thickBot="1" x14ac:dyDescent="0.4">
      <c r="A10" s="44" t="s">
        <v>75</v>
      </c>
      <c r="B10" s="41" t="s">
        <v>3</v>
      </c>
      <c r="C10" s="43" t="s">
        <v>4</v>
      </c>
      <c r="D10" s="42" t="s">
        <v>5</v>
      </c>
      <c r="E10" s="2" t="s">
        <v>6</v>
      </c>
      <c r="F10" s="2" t="s">
        <v>5</v>
      </c>
      <c r="G10" s="2" t="s">
        <v>7</v>
      </c>
      <c r="H10" s="2" t="s">
        <v>5</v>
      </c>
      <c r="I10" s="2" t="s">
        <v>8</v>
      </c>
      <c r="J10" s="2" t="s">
        <v>9</v>
      </c>
      <c r="K10" s="10" t="s">
        <v>67</v>
      </c>
      <c r="L10" s="10" t="s">
        <v>68</v>
      </c>
      <c r="M10" s="10" t="s">
        <v>69</v>
      </c>
    </row>
    <row r="11" spans="1:13" x14ac:dyDescent="0.35">
      <c r="A11" s="27"/>
      <c r="B11" s="120" t="s">
        <v>10</v>
      </c>
      <c r="C11" s="35"/>
      <c r="D11" s="39"/>
      <c r="E11" s="28"/>
      <c r="F11" s="19"/>
      <c r="G11" s="19"/>
      <c r="H11" s="19"/>
      <c r="I11" s="70">
        <f>SUM((C11+C12+E11+E12+G11+G12)*50)</f>
        <v>0</v>
      </c>
      <c r="J11" s="122" t="s">
        <v>11</v>
      </c>
      <c r="K11" s="64"/>
      <c r="L11" s="64"/>
      <c r="M11" s="64"/>
    </row>
    <row r="12" spans="1:13" x14ac:dyDescent="0.35">
      <c r="A12" s="31"/>
      <c r="B12" s="121"/>
      <c r="C12" s="40"/>
      <c r="E12" s="20"/>
      <c r="F12" s="20"/>
      <c r="G12" s="20"/>
      <c r="H12" s="20"/>
      <c r="I12" s="70"/>
      <c r="J12" s="67"/>
      <c r="K12" s="64"/>
      <c r="L12" s="64"/>
      <c r="M12" s="64"/>
    </row>
    <row r="13" spans="1:13" x14ac:dyDescent="0.35">
      <c r="A13" s="27"/>
      <c r="B13" s="55" t="s">
        <v>12</v>
      </c>
      <c r="C13" s="34"/>
      <c r="D13" s="21"/>
      <c r="E13" s="21"/>
      <c r="F13" s="21"/>
      <c r="G13" s="21"/>
      <c r="H13" s="21"/>
      <c r="I13" s="70">
        <f>SUM((C13+C14+E13+E14+G13+G14)*25)</f>
        <v>0</v>
      </c>
      <c r="J13" s="66" t="s">
        <v>13</v>
      </c>
      <c r="K13" s="64"/>
      <c r="L13" s="64"/>
      <c r="M13" s="64"/>
    </row>
    <row r="14" spans="1:13" x14ac:dyDescent="0.35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 x14ac:dyDescent="0.35">
      <c r="A15" s="27"/>
      <c r="B15" s="55" t="s">
        <v>14</v>
      </c>
      <c r="C15" s="34"/>
      <c r="D15" s="21"/>
      <c r="E15" s="21"/>
      <c r="F15" s="21"/>
      <c r="G15" s="21"/>
      <c r="H15" s="21"/>
      <c r="I15" s="70">
        <f>SUM((C15+C16+E15+E16+G15+G16)*10)</f>
        <v>0</v>
      </c>
      <c r="J15" s="66" t="s">
        <v>15</v>
      </c>
      <c r="K15" s="64"/>
      <c r="L15" s="64"/>
      <c r="M15" s="64"/>
    </row>
    <row r="16" spans="1:13" x14ac:dyDescent="0.35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 x14ac:dyDescent="0.35">
      <c r="A17" s="27"/>
      <c r="B17" s="55" t="s">
        <v>16</v>
      </c>
      <c r="C17" s="34"/>
      <c r="D17" s="21"/>
      <c r="E17" s="21"/>
      <c r="F17" s="21"/>
      <c r="G17" s="21"/>
      <c r="H17" s="21"/>
      <c r="I17" s="70">
        <f>SUM((C17+C18+E17+E18+G17+G18)*50)</f>
        <v>0</v>
      </c>
      <c r="J17" s="55" t="s">
        <v>17</v>
      </c>
      <c r="K17" s="64"/>
      <c r="L17" s="64"/>
      <c r="M17" s="64"/>
    </row>
    <row r="18" spans="1:13" x14ac:dyDescent="0.35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 x14ac:dyDescent="0.35">
      <c r="A19" s="27"/>
      <c r="B19" s="55" t="s">
        <v>18</v>
      </c>
      <c r="C19" s="34"/>
      <c r="D19" s="21"/>
      <c r="E19" s="21"/>
      <c r="F19" s="21"/>
      <c r="G19" s="21"/>
      <c r="H19" s="21"/>
      <c r="I19" s="70">
        <f>SUM((C19+C20+E19+E20+G19+G20)*25)</f>
        <v>0</v>
      </c>
      <c r="J19" s="66" t="s">
        <v>19</v>
      </c>
      <c r="K19" s="64"/>
      <c r="L19" s="64"/>
      <c r="M19" s="64"/>
    </row>
    <row r="20" spans="1:13" x14ac:dyDescent="0.35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 x14ac:dyDescent="0.35">
      <c r="A21" s="27"/>
      <c r="B21" s="81" t="s">
        <v>20</v>
      </c>
      <c r="C21" s="34"/>
      <c r="D21" s="21"/>
      <c r="E21" s="21"/>
      <c r="F21" s="21"/>
      <c r="G21" s="21"/>
      <c r="H21" s="21"/>
      <c r="I21" s="70">
        <f t="shared" ref="I21" si="0">SUM((C21+C22+E21+E22+G21+G22)*25)</f>
        <v>0</v>
      </c>
      <c r="J21" s="66" t="s">
        <v>21</v>
      </c>
      <c r="K21" s="64"/>
      <c r="L21" s="64"/>
      <c r="M21" s="64"/>
    </row>
    <row r="22" spans="1:13" x14ac:dyDescent="0.35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 x14ac:dyDescent="0.35">
      <c r="A23" s="27"/>
      <c r="B23" s="55" t="s">
        <v>22</v>
      </c>
      <c r="C23" s="34"/>
      <c r="D23" s="21"/>
      <c r="E23" s="21"/>
      <c r="F23" s="21"/>
      <c r="G23" s="21"/>
      <c r="H23" s="21"/>
      <c r="I23" s="70">
        <f>SUM((C23+C24+E23+E24+G23+G24)*50)</f>
        <v>0</v>
      </c>
      <c r="J23" s="66" t="s">
        <v>23</v>
      </c>
      <c r="K23" s="64"/>
      <c r="L23" s="64"/>
      <c r="M23" s="64"/>
    </row>
    <row r="24" spans="1:13" x14ac:dyDescent="0.35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 x14ac:dyDescent="0.35">
      <c r="A25" s="27"/>
      <c r="B25" s="55" t="s">
        <v>24</v>
      </c>
      <c r="C25" s="34"/>
      <c r="D25" s="21"/>
      <c r="E25" s="21"/>
      <c r="F25" s="21"/>
      <c r="G25" s="21"/>
      <c r="H25" s="21"/>
      <c r="I25" s="70">
        <f>SUM((C25+C26+E25+E26+G25+G26)*50)</f>
        <v>0</v>
      </c>
      <c r="J25" s="66" t="s">
        <v>25</v>
      </c>
      <c r="K25" s="64"/>
      <c r="L25" s="64"/>
      <c r="M25" s="64"/>
    </row>
    <row r="26" spans="1:13" x14ac:dyDescent="0.35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 x14ac:dyDescent="0.35">
      <c r="A27" s="27"/>
      <c r="B27" s="55" t="s">
        <v>26</v>
      </c>
      <c r="C27" s="34"/>
      <c r="D27" s="21"/>
      <c r="E27" s="21"/>
      <c r="F27" s="21"/>
      <c r="G27" s="21"/>
      <c r="H27" s="21"/>
      <c r="I27" s="70">
        <f t="shared" ref="I27" si="1">SUM((C27+C28+E27+E28+G27+G28)*25)</f>
        <v>0</v>
      </c>
      <c r="J27" s="66" t="s">
        <v>27</v>
      </c>
      <c r="K27" s="64"/>
      <c r="L27" s="64"/>
      <c r="M27" s="64"/>
    </row>
    <row r="28" spans="1:13" x14ac:dyDescent="0.35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 x14ac:dyDescent="0.35">
      <c r="A29" s="27"/>
      <c r="B29" s="55" t="s">
        <v>28</v>
      </c>
      <c r="C29" s="34"/>
      <c r="D29" s="21"/>
      <c r="E29" s="21"/>
      <c r="F29" s="21"/>
      <c r="G29" s="21"/>
      <c r="H29" s="21"/>
      <c r="I29" s="70">
        <f>SUM((C29+C30+E29+E30+G29+G30)*50)</f>
        <v>0</v>
      </c>
      <c r="J29" s="66" t="s">
        <v>29</v>
      </c>
      <c r="K29" s="64"/>
      <c r="L29" s="64"/>
      <c r="M29" s="64"/>
    </row>
    <row r="30" spans="1:13" x14ac:dyDescent="0.35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 x14ac:dyDescent="0.35">
      <c r="A31" s="27"/>
      <c r="B31" s="55" t="s">
        <v>30</v>
      </c>
      <c r="C31" s="34"/>
      <c r="D31" s="21"/>
      <c r="E31" s="21"/>
      <c r="F31" s="21"/>
      <c r="G31" s="21"/>
      <c r="H31" s="21"/>
      <c r="I31" s="70">
        <f>SUM((C31+C32+E31+E32+G31+G32)*1)</f>
        <v>0</v>
      </c>
      <c r="J31" s="66" t="s">
        <v>31</v>
      </c>
      <c r="K31" s="64"/>
      <c r="L31" s="64"/>
      <c r="M31" s="64"/>
    </row>
    <row r="32" spans="1:13" x14ac:dyDescent="0.35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 x14ac:dyDescent="0.35">
      <c r="A33" s="27"/>
      <c r="B33" s="55" t="s">
        <v>32</v>
      </c>
      <c r="C33" s="34"/>
      <c r="D33" s="21"/>
      <c r="E33" s="21"/>
      <c r="F33" s="21"/>
      <c r="G33" s="21"/>
      <c r="H33" s="21"/>
      <c r="I33" s="70">
        <f t="shared" ref="I33" si="2">SUM((C33+C34+E33+E34+G33+G34)*1)</f>
        <v>0</v>
      </c>
      <c r="J33" s="66" t="s">
        <v>33</v>
      </c>
      <c r="K33" s="64"/>
      <c r="L33" s="64"/>
      <c r="M33" s="64"/>
    </row>
    <row r="34" spans="1:13" x14ac:dyDescent="0.35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 x14ac:dyDescent="0.35">
      <c r="A35" s="27"/>
      <c r="B35" s="55" t="s">
        <v>34</v>
      </c>
      <c r="C35" s="34"/>
      <c r="D35" s="21"/>
      <c r="E35" s="21"/>
      <c r="F35" s="21"/>
      <c r="G35" s="21"/>
      <c r="H35" s="21"/>
      <c r="I35" s="70">
        <f t="shared" ref="I35" si="3">SUM((C35+C36+E35+E36+G35+G36)*1)</f>
        <v>0</v>
      </c>
      <c r="J35" s="66" t="s">
        <v>35</v>
      </c>
      <c r="K35" s="64"/>
      <c r="L35" s="64"/>
      <c r="M35" s="64"/>
    </row>
    <row r="36" spans="1:13" x14ac:dyDescent="0.35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 x14ac:dyDescent="0.35">
      <c r="A37" s="27"/>
      <c r="B37" s="55" t="s">
        <v>36</v>
      </c>
      <c r="C37" s="34"/>
      <c r="D37" s="21"/>
      <c r="E37" s="21"/>
      <c r="F37" s="21"/>
      <c r="G37" s="21"/>
      <c r="H37" s="21"/>
      <c r="I37" s="70">
        <f t="shared" ref="I37" si="4">SUM((C37+C38+E37+E38+G37+G38)*1)</f>
        <v>0</v>
      </c>
      <c r="J37" s="66" t="s">
        <v>37</v>
      </c>
      <c r="K37" s="64"/>
      <c r="L37" s="64"/>
      <c r="M37" s="64"/>
    </row>
    <row r="38" spans="1:13" x14ac:dyDescent="0.35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 x14ac:dyDescent="0.35">
      <c r="A39" s="27"/>
      <c r="B39" s="81" t="s">
        <v>38</v>
      </c>
      <c r="C39" s="34"/>
      <c r="D39" s="21"/>
      <c r="E39" s="21"/>
      <c r="F39" s="21"/>
      <c r="G39" s="21"/>
      <c r="H39" s="21"/>
      <c r="I39" s="70">
        <f t="shared" ref="I39" si="5">SUM((C39+C40+E39+E40+G39+G40)*1)</f>
        <v>0</v>
      </c>
      <c r="J39" s="69" t="s">
        <v>39</v>
      </c>
      <c r="K39" s="64"/>
      <c r="L39" s="64"/>
      <c r="M39" s="64"/>
    </row>
    <row r="40" spans="1:13" x14ac:dyDescent="0.35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 x14ac:dyDescent="0.35">
      <c r="A41" s="27"/>
      <c r="B41" s="81" t="s">
        <v>40</v>
      </c>
      <c r="C41" s="34"/>
      <c r="D41" s="21"/>
      <c r="E41" s="21"/>
      <c r="F41" s="21"/>
      <c r="G41" s="21"/>
      <c r="H41" s="21"/>
      <c r="I41" s="70">
        <f>SUM((C41+C42+E41+E42+G41+G42)*1)</f>
        <v>0</v>
      </c>
      <c r="J41" s="66" t="s">
        <v>41</v>
      </c>
      <c r="K41" s="64"/>
      <c r="L41" s="64"/>
      <c r="M41" s="64"/>
    </row>
    <row r="42" spans="1:13" x14ac:dyDescent="0.35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 x14ac:dyDescent="0.35">
      <c r="A43" s="27"/>
      <c r="B43" s="55" t="s">
        <v>42</v>
      </c>
      <c r="C43" s="34"/>
      <c r="D43" s="21"/>
      <c r="E43" s="21"/>
      <c r="F43" s="21"/>
      <c r="G43" s="21"/>
      <c r="H43" s="21"/>
      <c r="I43" s="70">
        <f>SUM((C43+C44+E43+E44+G43+G44)*50)</f>
        <v>0</v>
      </c>
      <c r="J43" s="66" t="s">
        <v>44</v>
      </c>
      <c r="K43" s="64"/>
      <c r="L43" s="64"/>
      <c r="M43" s="64"/>
    </row>
    <row r="44" spans="1:13" x14ac:dyDescent="0.35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 x14ac:dyDescent="0.35">
      <c r="A45" s="27"/>
      <c r="B45" s="71" t="s">
        <v>43</v>
      </c>
      <c r="C45" s="34"/>
      <c r="D45" s="21"/>
      <c r="E45" s="21"/>
      <c r="F45" s="21"/>
      <c r="G45" s="21"/>
      <c r="H45" s="21"/>
      <c r="I45" s="65">
        <f>SUM((C45+C46+E45+E46+G45+G46)*25)</f>
        <v>0</v>
      </c>
      <c r="J45" s="66" t="s">
        <v>46</v>
      </c>
      <c r="K45" s="64"/>
      <c r="L45" s="64"/>
      <c r="M45" s="64"/>
    </row>
    <row r="46" spans="1:13" x14ac:dyDescent="0.35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 x14ac:dyDescent="0.35">
      <c r="A47" s="27"/>
      <c r="B47" s="71" t="s">
        <v>45</v>
      </c>
      <c r="C47" s="34"/>
      <c r="D47" s="21"/>
      <c r="E47" s="21"/>
      <c r="F47" s="21"/>
      <c r="G47" s="21"/>
      <c r="H47" s="21"/>
      <c r="I47" s="65">
        <f>SUM((C47+C48+E47+E48+G47+G48)*40)</f>
        <v>0</v>
      </c>
      <c r="J47" s="66" t="s">
        <v>66</v>
      </c>
      <c r="K47" s="64"/>
      <c r="L47" s="64"/>
      <c r="M47" s="64"/>
    </row>
    <row r="48" spans="1:13" x14ac:dyDescent="0.35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 x14ac:dyDescent="0.35">
      <c r="A49" s="27"/>
      <c r="B49" s="71" t="s">
        <v>47</v>
      </c>
      <c r="C49" s="34"/>
      <c r="D49" s="21"/>
      <c r="E49" s="21"/>
      <c r="F49" s="21"/>
      <c r="G49" s="21"/>
      <c r="H49" s="21"/>
      <c r="I49" s="65">
        <f>SUM((C49+C50+E49+E50+G49+G50)*50)</f>
        <v>0</v>
      </c>
      <c r="J49" s="66" t="s">
        <v>79</v>
      </c>
      <c r="K49" s="64"/>
      <c r="L49" s="64"/>
      <c r="M49" s="64"/>
    </row>
    <row r="50" spans="1:13" x14ac:dyDescent="0.35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 x14ac:dyDescent="0.35">
      <c r="A51" s="27"/>
      <c r="B51" s="79" t="s">
        <v>48</v>
      </c>
      <c r="C51" s="34"/>
      <c r="D51" s="21"/>
      <c r="E51" s="21"/>
      <c r="F51" s="21"/>
      <c r="G51" s="21"/>
      <c r="H51" s="21"/>
      <c r="I51" s="65">
        <f t="shared" ref="I51" si="6">SUM((C51+C52+E51+E52+G51+G52)*25)</f>
        <v>0</v>
      </c>
      <c r="J51" s="66"/>
      <c r="K51" s="64"/>
      <c r="L51" s="64"/>
      <c r="M51" s="64"/>
    </row>
    <row r="52" spans="1:13" x14ac:dyDescent="0.35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 x14ac:dyDescent="0.35">
      <c r="A53" s="27"/>
      <c r="B53" s="79" t="s">
        <v>49</v>
      </c>
      <c r="C53" s="34"/>
      <c r="D53" s="21"/>
      <c r="E53" s="21"/>
      <c r="F53" s="21"/>
      <c r="G53" s="21"/>
      <c r="H53" s="21"/>
      <c r="I53" s="65">
        <f t="shared" ref="I53" si="7">SUM((C53+C54+E53+E54+G53+G54)*25)</f>
        <v>0</v>
      </c>
      <c r="J53" s="66"/>
      <c r="K53" s="68"/>
      <c r="L53" s="64"/>
      <c r="M53" s="64"/>
    </row>
    <row r="54" spans="1:13" x14ac:dyDescent="0.35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 x14ac:dyDescent="0.35">
      <c r="A55" s="27"/>
      <c r="B55" s="79" t="s">
        <v>50</v>
      </c>
      <c r="C55" s="34"/>
      <c r="D55" s="21"/>
      <c r="E55" s="21"/>
      <c r="F55" s="21"/>
      <c r="G55" s="21"/>
      <c r="H55" s="21"/>
      <c r="I55" s="65">
        <f t="shared" ref="I55" si="8">SUM((C55+C56+E55+E56+G55+G56)*25)</f>
        <v>0</v>
      </c>
      <c r="J55" s="81"/>
      <c r="K55" s="64"/>
      <c r="L55" s="64"/>
      <c r="M55" s="64"/>
    </row>
    <row r="56" spans="1:13" ht="15.5" customHeight="1" x14ac:dyDescent="0.3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 x14ac:dyDescent="0.35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ht="15" thickBot="1" x14ac:dyDescent="0.4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ht="20.5" thickBot="1" x14ac:dyDescent="0.4">
      <c r="A59" s="33" t="s">
        <v>70</v>
      </c>
      <c r="B59" s="32">
        <f>SUM(I11:I44)</f>
        <v>0</v>
      </c>
      <c r="C59" s="36" t="s">
        <v>72</v>
      </c>
      <c r="D59" s="32">
        <f>(((C11+C12)*50)+((C13+C14)*25)+((C15+C16)*10)+((C17+C18)*50)+((C19+C20)*25)+((C21+C22)*25)+((C23+C24)*50)+((C25+C26)*50)+((C27+C28)*25)+((C29+C30)*50)+(C31+C32)+(C33+C34)+(C35+C36)+(C37+C38)+(C39+C40)+(C41+C42)+((C43+C44)*50))</f>
        <v>0</v>
      </c>
      <c r="E59" s="32" t="s">
        <v>73</v>
      </c>
      <c r="F59" s="32">
        <f>(((E11+E12)*50)+((E13+E14)*25)+((E15+E16)*10)+((E17+E18)*50)+((E19+E20)*25)+((E21+E22)*25)+((E23+E24)*50)+((E25+E26)*50)+((E27+E28)*25)+((E29+E30)*50)+(E31+E32)+(E33+E34)+(E35+E36)+(E37+E38)+(E39+E40)+(E41+E42)+((E43+E44)*50))</f>
        <v>0</v>
      </c>
      <c r="G59" s="32" t="s">
        <v>74</v>
      </c>
      <c r="H59" s="32">
        <f>(((G11+G12)*50)+((G13+G14)*25)+((G15+G16)*10)+((G17+G18)*50)+((G19+G20)*25)+((G21+G22)*25)+((G23+G24)*50)+((G25+G26)*50)+((G27+G28)*25)+((G29+G30)*50)+(G31+G32)+(G33+G34)+(G35+G36)+(G37+G38)+(G39+G40)+(G41+G42)+((G43+G44)*50))</f>
        <v>0</v>
      </c>
      <c r="I59" s="37" t="s">
        <v>51</v>
      </c>
      <c r="J59" s="32">
        <f>SUM(I11:I58)</f>
        <v>0</v>
      </c>
      <c r="K59" s="38"/>
    </row>
    <row r="60" spans="1:13" ht="29.25" customHeight="1" thickBot="1" x14ac:dyDescent="0.4">
      <c r="A60" s="72"/>
      <c r="B60" s="73"/>
      <c r="C60" s="74" t="s">
        <v>52</v>
      </c>
      <c r="D60" s="75"/>
      <c r="E60" s="76"/>
      <c r="F60" s="77"/>
      <c r="G60" s="77"/>
      <c r="H60" s="77"/>
      <c r="I60" s="77"/>
      <c r="J60" s="77"/>
      <c r="K60" s="78"/>
    </row>
    <row r="61" spans="1:13" ht="90.75" customHeight="1" thickBot="1" x14ac:dyDescent="0.4">
      <c r="A61" s="6"/>
      <c r="B61" s="8"/>
      <c r="C61" s="91">
        <v>1</v>
      </c>
      <c r="D61" s="82"/>
      <c r="E61" s="82">
        <v>2</v>
      </c>
      <c r="F61" s="82"/>
      <c r="G61" s="82">
        <v>3</v>
      </c>
      <c r="H61" s="83"/>
      <c r="I61" s="49" t="s">
        <v>53</v>
      </c>
      <c r="J61" s="48"/>
      <c r="K61" s="84"/>
    </row>
    <row r="62" spans="1:13" ht="109" customHeight="1" x14ac:dyDescent="0.35">
      <c r="A62" s="11" t="s">
        <v>54</v>
      </c>
      <c r="B62" s="12" t="e">
        <f>B59/J59</f>
        <v>#DIV/0!</v>
      </c>
      <c r="C62" s="85"/>
      <c r="D62" s="86"/>
      <c r="E62" s="86"/>
      <c r="F62" s="86"/>
      <c r="G62" s="86"/>
      <c r="H62" s="86"/>
      <c r="I62" s="50" t="s">
        <v>55</v>
      </c>
      <c r="J62" s="7"/>
      <c r="K62" s="84"/>
    </row>
    <row r="63" spans="1:13" ht="119" customHeight="1" x14ac:dyDescent="0.35">
      <c r="A63" s="13" t="s">
        <v>56</v>
      </c>
      <c r="B63" s="14" t="e">
        <f>(SUM(I47)/J59)</f>
        <v>#DIV/0!</v>
      </c>
      <c r="C63" s="87"/>
      <c r="D63" s="88"/>
      <c r="E63" s="88"/>
      <c r="F63" s="88"/>
      <c r="G63" s="88"/>
      <c r="H63" s="88"/>
      <c r="I63" s="5" t="s">
        <v>57</v>
      </c>
      <c r="J63" s="4"/>
      <c r="K63" s="84"/>
    </row>
    <row r="64" spans="1:13" ht="46" customHeight="1" x14ac:dyDescent="0.35">
      <c r="A64" s="13" t="s">
        <v>77</v>
      </c>
      <c r="B64" s="14" t="e">
        <f>(SUM(I45)/J59)</f>
        <v>#DIV/0!</v>
      </c>
      <c r="C64" s="87"/>
      <c r="D64" s="88"/>
      <c r="E64" s="88"/>
      <c r="F64" s="88"/>
      <c r="G64" s="88"/>
      <c r="H64" s="88"/>
      <c r="I64" s="5" t="s">
        <v>58</v>
      </c>
      <c r="J64" s="4"/>
      <c r="K64" s="84"/>
    </row>
    <row r="65" spans="1:11" ht="47.25" customHeight="1" x14ac:dyDescent="0.35">
      <c r="A65" s="13" t="s">
        <v>59</v>
      </c>
      <c r="B65" s="14" t="e">
        <f>(SUM(I49)/J59)</f>
        <v>#DIV/0!</v>
      </c>
      <c r="C65" s="87"/>
      <c r="D65" s="88"/>
      <c r="E65" s="88"/>
      <c r="F65" s="88"/>
      <c r="G65" s="88"/>
      <c r="H65" s="88"/>
      <c r="I65" s="3" t="s">
        <v>60</v>
      </c>
      <c r="J65" s="4"/>
      <c r="K65" s="84"/>
    </row>
    <row r="66" spans="1:11" ht="45.75" customHeight="1" thickBot="1" x14ac:dyDescent="0.4">
      <c r="A66" s="51" t="s">
        <v>61</v>
      </c>
      <c r="B66" s="52" t="e">
        <f>(SUM(I55)/J59)</f>
        <v>#DIV/0!</v>
      </c>
      <c r="C66" s="89"/>
      <c r="D66" s="90"/>
      <c r="E66" s="90"/>
      <c r="F66" s="90"/>
      <c r="G66" s="90"/>
      <c r="H66" s="90"/>
      <c r="I66" s="53" t="s">
        <v>71</v>
      </c>
      <c r="J66" s="54"/>
      <c r="K66" s="84"/>
    </row>
    <row r="67" spans="1:11" ht="45.75" customHeight="1" thickBot="1" x14ac:dyDescent="0.4">
      <c r="A67" s="46" t="s">
        <v>78</v>
      </c>
      <c r="B67" s="52" t="e">
        <f>(SUM(#REF!)/J59)</f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1" ht="21" x14ac:dyDescent="0.5">
      <c r="A68" s="57" t="s">
        <v>76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1" ht="43.5" customHeight="1" thickBot="1" x14ac:dyDescent="0.4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</sheetData>
  <mergeCells count="177"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honeticPr fontId="11" type="noConversion"/>
  <pageMargins left="0.7" right="0.7" top="0.75" bottom="0.75" header="0.3" footer="0.3"/>
  <pageSetup paperSize="3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cp:lastPrinted>2025-02-10T13:33:34Z</cp:lastPrinted>
  <dcterms:created xsi:type="dcterms:W3CDTF">2015-06-05T18:19:34Z</dcterms:created>
  <dcterms:modified xsi:type="dcterms:W3CDTF">2025-06-06T16:16:55Z</dcterms:modified>
</cp:coreProperties>
</file>