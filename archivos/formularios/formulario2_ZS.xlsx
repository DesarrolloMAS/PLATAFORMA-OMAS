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.mora\Documents\"/>
    </mc:Choice>
  </mc:AlternateContent>
  <xr:revisionPtr revIDLastSave="0" documentId="13_ncr:1_{33D5C7C4-61A5-4772-B9C4-A19773CE900C}" xr6:coauthVersionLast="47" xr6:coauthVersionMax="47" xr10:uidLastSave="{00000000-0000-0000-0000-000000000000}"/>
  <bookViews>
    <workbookView xWindow="-30828" yWindow="-4452" windowWidth="30936" windowHeight="167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0" i="1"/>
  <c r="G18" i="1"/>
  <c r="F60" i="1"/>
  <c r="D60" i="1"/>
  <c r="G40" i="1"/>
  <c r="G32" i="1"/>
  <c r="G28" i="1"/>
  <c r="G26" i="1"/>
  <c r="G24" i="1"/>
  <c r="H60" i="1" l="1"/>
  <c r="G12" i="1"/>
  <c r="G34" i="1"/>
  <c r="B60" i="1" s="1"/>
  <c r="G42" i="1"/>
  <c r="G44" i="1"/>
  <c r="G38" i="1"/>
  <c r="G30" i="1"/>
  <c r="G14" i="1"/>
  <c r="G16" i="1"/>
  <c r="G36" i="1"/>
  <c r="G46" i="1"/>
  <c r="G48" i="1"/>
  <c r="G50" i="1"/>
  <c r="G52" i="1"/>
  <c r="G54" i="1"/>
  <c r="G56" i="1"/>
  <c r="G58" i="1"/>
  <c r="G10" i="1"/>
  <c r="B64" i="1" l="1"/>
  <c r="B67" i="1"/>
  <c r="B66" i="1"/>
  <c r="B65" i="1"/>
  <c r="B6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Analista Produccion</author>
  </authors>
  <commentList>
    <comment ref="B42" authorId="0" shapeId="0" xr:uid="{147F4CAB-4831-48F8-A844-E4BE2FD08704}">
      <text>
        <r>
          <rPr>
            <b/>
            <sz val="9"/>
            <color indexed="81"/>
            <rFont val="Tahoma"/>
            <family val="2"/>
          </rPr>
          <t>Analista Produccion:</t>
        </r>
        <r>
          <rPr>
            <sz val="9"/>
            <color indexed="81"/>
            <rFont val="Tahoma"/>
            <family val="2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<sst xmlns="http://schemas.openxmlformats.org/spreadsheetml/2006/main" count="73" uniqueCount="69">
  <si>
    <t>MOLIENDA DE TRIGO Nº</t>
  </si>
  <si>
    <t>FECHA</t>
  </si>
  <si>
    <t xml:space="preserve">REFERENCIA </t>
  </si>
  <si>
    <t>1 TURNO</t>
  </si>
  <si>
    <t>LOTE</t>
  </si>
  <si>
    <t>TOTAL KILOS</t>
  </si>
  <si>
    <t>MATERIALES</t>
  </si>
  <si>
    <t>EXTRAPAN X50</t>
  </si>
  <si>
    <t>ARTESANAL X50</t>
  </si>
  <si>
    <t>TOTAL</t>
  </si>
  <si>
    <t>RESPONSABLES INTERVENCIÓN</t>
  </si>
  <si>
    <t>ENCARGADO TURNO 1</t>
  </si>
  <si>
    <t>EXT. HARINA</t>
  </si>
  <si>
    <t>ENCARGADO TURNO 2</t>
  </si>
  <si>
    <t>EXT. MOGOLLA</t>
  </si>
  <si>
    <t>ALMACENISTA 1</t>
  </si>
  <si>
    <t>EXT. SEGUNDA</t>
  </si>
  <si>
    <t>ALMACENISTA 2</t>
  </si>
  <si>
    <t>EXT. GERMEN</t>
  </si>
  <si>
    <t>Hora Turno1</t>
  </si>
  <si>
    <t>Hora Turno2</t>
  </si>
  <si>
    <t>Responsable</t>
  </si>
  <si>
    <t>LOTES TURNO 1</t>
  </si>
  <si>
    <t>ARTESANAL X10</t>
  </si>
  <si>
    <t>GRANZA X50</t>
  </si>
  <si>
    <t>HARINA DE TRIGO NARIÑO X2500GR</t>
  </si>
  <si>
    <t>HARINA DE TRIGO NARIÑO X1000GR</t>
  </si>
  <si>
    <t>HARINA DE TRIGO NARIÑO X500GR</t>
  </si>
  <si>
    <t>EMPAQUE NARIÑO (40X56) x10</t>
  </si>
  <si>
    <t>BOLSA FARDO (32x65) xLB</t>
  </si>
  <si>
    <t>LAMINA NARIÑO (CUARTO) 2500GR</t>
  </si>
  <si>
    <t xml:space="preserve">LAMINA NARIÑO (KILO) </t>
  </si>
  <si>
    <t>LAMINA NARIÑO (LIBRA)</t>
  </si>
  <si>
    <t>EMPAQUE BLANCO (60X106)x50</t>
  </si>
  <si>
    <t>CINTA TRANSFERENCIA TERMINA (85mmx122m)</t>
  </si>
  <si>
    <t>ETIQUETA ADHESIVA DE TRANSFERENCIA</t>
  </si>
  <si>
    <t>VITAMINA (Dec. 1944)</t>
  </si>
  <si>
    <t>COORDINADOR DE OPERACIONES</t>
  </si>
  <si>
    <t>TOTAL TURNO 1</t>
  </si>
  <si>
    <t>N SAP Orden de Trabajo</t>
  </si>
  <si>
    <t>Observaciones</t>
  </si>
  <si>
    <t>EXT.SALVADO X30</t>
  </si>
  <si>
    <t>CINTA TRANSFERENCIA TERMINA (45mmx122m)</t>
  </si>
  <si>
    <t>MUESTRAS ESPECIALES</t>
  </si>
  <si>
    <t>LOTES TURNO 2</t>
  </si>
  <si>
    <t>TOTAL TURNO 2</t>
  </si>
  <si>
    <t>CONTROL DE MOLIENDA ZONA SUR</t>
  </si>
  <si>
    <t>2 TURNO</t>
  </si>
  <si>
    <t xml:space="preserve">HARINA DE TRIGO EXTRAPAN X10 (5Und) </t>
  </si>
  <si>
    <t>GERMEN DE TRIGO X 25 KG</t>
  </si>
  <si>
    <t>SEMOLA FINA X25 KG</t>
  </si>
  <si>
    <t>TOTAL HARINA</t>
  </si>
  <si>
    <t xml:space="preserve"> </t>
  </si>
  <si>
    <t>SUB MOGOLLA X 40</t>
  </si>
  <si>
    <t>SUB SEGUNDA X50 KG</t>
  </si>
  <si>
    <t>SUB SALVADO X30 KG</t>
  </si>
  <si>
    <t>SUB GRANZA X50 KG</t>
  </si>
  <si>
    <t>HARINA INTEGRAL X25 KG</t>
  </si>
  <si>
    <t>EMPAQUE EXTRA PAN  (60X100) X50</t>
  </si>
  <si>
    <t>EMPAQUE GALERAS ROJO (60X100) X50</t>
  </si>
  <si>
    <t>EMPAQUE GALERAS MOGOLLA (60X115) X 40</t>
  </si>
  <si>
    <t>EMPAQUE GALERAS SALVADO X25</t>
  </si>
  <si>
    <t>EMPAQUE GALERAS SEGUNDA  X50</t>
  </si>
  <si>
    <t>EMPAQUE GALERAS GALERAS MULTI BEIGE (50X80) X25</t>
  </si>
  <si>
    <t xml:space="preserve">HILO PISTER BLANCO </t>
  </si>
  <si>
    <t xml:space="preserve">MUESTRAS DE HARINA </t>
  </si>
  <si>
    <t>HARINA DE TRIGO NARIÑO X10</t>
  </si>
  <si>
    <t xml:space="preserve">MEJORANTE ARTESANAL </t>
  </si>
  <si>
    <t>MEJORANTE EXTRAPAN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</si>
</sst>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20"/>
      <color rgb="FFFF0000"/>
      <name val="Arial"/>
      <family val="2"/>
    </font>
    <font>
      <b/>
      <sz val="11"/>
      <color theme="1"/>
      <name val="Arial"/>
      <family val="2"/>
    </font>
    <font>
      <sz val="16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color theme="1"/>
      <name val="Arial"/>
      <family val="2"/>
    </font>
    <font>
      <b/>
      <sz val="1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0">
    <xf numFmtId="0" fontId="0" fillId="0" borderId="0" xfId="0"/>
    <xf numFmtId="0" fontId="6" fillId="0" borderId="15" xfId="0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2" fillId="2" borderId="22" xfId="0" applyFont="1" applyFill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6" fillId="3" borderId="30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10" fontId="2" fillId="4" borderId="3" xfId="1" applyNumberFormat="1" applyFont="1" applyFill="1" applyBorder="1" applyAlignment="1" applyProtection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10" fontId="2" fillId="4" borderId="9" xfId="1" applyNumberFormat="1" applyFont="1" applyFill="1" applyBorder="1" applyAlignment="1" applyProtection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33" xfId="0" applyFont="1" applyFill="1" applyBorder="1" applyAlignment="1">
      <alignment horizontal="center" vertical="center"/>
    </xf>
    <xf numFmtId="0" fontId="0" fillId="0" borderId="38" xfId="0" applyBorder="1"/>
    <xf numFmtId="0" fontId="0" fillId="0" borderId="13" xfId="0" applyBorder="1"/>
    <xf numFmtId="0" fontId="2" fillId="0" borderId="17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40" xfId="0" applyFont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7" fillId="2" borderId="15" xfId="0" applyFont="1" applyFill="1" applyBorder="1" applyAlignment="1">
      <alignment vertical="center"/>
    </xf>
    <xf numFmtId="0" fontId="2" fillId="0" borderId="37" xfId="0" applyFont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4" borderId="46" xfId="0" applyFont="1" applyFill="1" applyBorder="1" applyAlignment="1">
      <alignment horizontal="center" vertical="center"/>
    </xf>
    <xf numFmtId="10" fontId="2" fillId="4" borderId="11" xfId="1" applyNumberFormat="1" applyFont="1" applyFill="1" applyBorder="1" applyAlignment="1" applyProtection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39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/>
    </xf>
    <xf numFmtId="0" fontId="13" fillId="5" borderId="2" xfId="0" applyFont="1" applyFill="1" applyBorder="1" applyAlignment="1">
      <alignment horizontal="center"/>
    </xf>
    <xf numFmtId="0" fontId="13" fillId="5" borderId="20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9" xfId="0" applyFont="1" applyBorder="1" applyAlignment="1">
      <alignment horizontal="center" vertical="distributed" wrapText="1"/>
    </xf>
    <xf numFmtId="0" fontId="2" fillId="0" borderId="8" xfId="0" applyFont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distributed" wrapText="1"/>
    </xf>
    <xf numFmtId="0" fontId="6" fillId="6" borderId="18" xfId="0" applyFont="1" applyFill="1" applyBorder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/>
    </xf>
    <xf numFmtId="0" fontId="6" fillId="6" borderId="34" xfId="0" applyFont="1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6" borderId="42" xfId="0" applyFont="1" applyFill="1" applyBorder="1" applyAlignment="1">
      <alignment horizontal="center" vertical="center"/>
    </xf>
    <xf numFmtId="0" fontId="6" fillId="6" borderId="43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 wrapText="1"/>
    </xf>
    <xf numFmtId="0" fontId="3" fillId="4" borderId="48" xfId="0" applyFont="1" applyFill="1" applyBorder="1" applyAlignment="1">
      <alignment horizontal="center" vertical="center" wrapText="1"/>
    </xf>
    <xf numFmtId="0" fontId="3" fillId="4" borderId="47" xfId="0" applyFont="1" applyFill="1" applyBorder="1" applyAlignment="1">
      <alignment horizontal="center" vertical="center" wrapText="1"/>
    </xf>
    <xf numFmtId="0" fontId="3" fillId="4" borderId="49" xfId="0" applyFont="1" applyFill="1" applyBorder="1" applyAlignment="1">
      <alignment horizontal="center" vertical="center" wrapText="1"/>
    </xf>
    <xf numFmtId="0" fontId="3" fillId="4" borderId="36" xfId="0" applyFont="1" applyFill="1" applyBorder="1" applyAlignment="1">
      <alignment horizontal="center" vertical="center" wrapText="1"/>
    </xf>
    <xf numFmtId="0" fontId="3" fillId="4" borderId="50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tabSelected="1" zoomScale="70" zoomScaleNormal="70" workbookViewId="0">
      <selection activeCell="C23" sqref="C23"/>
    </sheetView>
  </sheetViews>
  <sheetFormatPr baseColWidth="10" defaultColWidth="9.140625" defaultRowHeight="15" x14ac:dyDescent="0.25"/>
  <cols>
    <col min="1" max="1" width="26.140625" bestFit="1" customWidth="1"/>
    <col min="2" max="2" width="53.42578125" bestFit="1" customWidth="1"/>
    <col min="3" max="3" width="23.5703125" customWidth="1"/>
    <col min="4" max="4" width="22.5703125" customWidth="1"/>
    <col min="5" max="5" width="23.42578125" customWidth="1"/>
    <col min="6" max="6" width="25.140625" customWidth="1"/>
    <col min="7" max="7" width="26.7109375" customWidth="1"/>
    <col min="8" max="8" width="61.42578125" bestFit="1" customWidth="1"/>
    <col min="9" max="9" width="26.42578125" customWidth="1"/>
    <col min="10" max="10" width="23.7109375" customWidth="1"/>
  </cols>
  <sheetData>
    <row r="1" spans="1:10" ht="15.75" thickBot="1" x14ac:dyDescent="0.3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ht="14.45" customHeight="1" x14ac:dyDescent="0.25">
      <c r="A2" s="81"/>
      <c r="B2" s="50"/>
      <c r="C2" s="82"/>
      <c r="D2" s="9"/>
      <c r="E2" s="104" t="s">
        <v>46</v>
      </c>
      <c r="F2" s="105"/>
      <c r="G2" s="9"/>
      <c r="H2" s="89" t="s">
        <v>0</v>
      </c>
      <c r="I2" s="90"/>
      <c r="J2" s="19"/>
    </row>
    <row r="3" spans="1:10" ht="14.45" customHeight="1" x14ac:dyDescent="0.2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ht="27" thickBot="1" x14ac:dyDescent="0.3">
      <c r="A4" s="81"/>
      <c r="B4" s="50"/>
      <c r="C4" s="82"/>
      <c r="D4" s="9"/>
      <c r="E4" s="106"/>
      <c r="F4" s="107"/>
      <c r="G4" s="9"/>
      <c r="H4" s="93"/>
      <c r="I4" s="94"/>
      <c r="J4" s="19"/>
    </row>
    <row r="5" spans="1:10" ht="21" customHeight="1" thickBot="1" x14ac:dyDescent="0.3">
      <c r="A5" s="81"/>
      <c r="B5" s="50"/>
      <c r="C5" s="82"/>
      <c r="D5" s="9"/>
      <c r="E5" s="108"/>
      <c r="F5" s="109"/>
      <c r="G5" s="9"/>
      <c r="H5" s="15" t="s">
        <v>19</v>
      </c>
      <c r="I5" s="16"/>
      <c r="J5" s="19"/>
    </row>
    <row r="6" spans="1:10" ht="27" customHeight="1" thickBot="1" x14ac:dyDescent="0.3">
      <c r="A6" s="81"/>
      <c r="B6" s="50"/>
      <c r="C6" s="82"/>
      <c r="D6" s="9"/>
      <c r="E6" s="9"/>
      <c r="F6" s="9"/>
      <c r="G6" s="9"/>
      <c r="H6" s="17" t="s">
        <v>20</v>
      </c>
      <c r="I6" s="16"/>
      <c r="J6" s="19"/>
    </row>
    <row r="7" spans="1:10" ht="15.75" thickBot="1" x14ac:dyDescent="0.3">
      <c r="A7" s="81"/>
      <c r="B7" s="50"/>
      <c r="C7" s="82"/>
      <c r="D7" s="9"/>
      <c r="E7" s="21"/>
      <c r="F7" s="1" t="s">
        <v>1</v>
      </c>
      <c r="G7" s="95"/>
      <c r="H7" s="96"/>
      <c r="I7" s="88"/>
      <c r="J7" s="19"/>
    </row>
    <row r="8" spans="1:10" ht="16.5" thickBot="1" x14ac:dyDescent="0.3">
      <c r="A8" s="83"/>
      <c r="B8" s="84"/>
      <c r="C8" s="85"/>
      <c r="D8" s="9"/>
      <c r="E8" s="9"/>
      <c r="F8" s="100" t="s">
        <v>21</v>
      </c>
      <c r="G8" s="101"/>
      <c r="H8" s="102"/>
      <c r="I8" s="103"/>
      <c r="J8" s="19"/>
    </row>
    <row r="9" spans="1:10" ht="15.75" thickBot="1" x14ac:dyDescent="0.3">
      <c r="A9" s="33" t="s">
        <v>39</v>
      </c>
      <c r="B9" s="30" t="s">
        <v>2</v>
      </c>
      <c r="C9" s="32" t="s">
        <v>3</v>
      </c>
      <c r="D9" s="31" t="s">
        <v>4</v>
      </c>
      <c r="E9" s="2" t="s">
        <v>47</v>
      </c>
      <c r="F9" s="2" t="s">
        <v>4</v>
      </c>
      <c r="G9" s="2" t="s">
        <v>5</v>
      </c>
      <c r="H9" s="2" t="s">
        <v>6</v>
      </c>
      <c r="I9" s="10" t="s">
        <v>22</v>
      </c>
      <c r="J9" s="10" t="s">
        <v>44</v>
      </c>
    </row>
    <row r="10" spans="1:10" x14ac:dyDescent="0.25">
      <c r="A10" s="20"/>
      <c r="B10" s="97" t="s">
        <v>7</v>
      </c>
      <c r="C10" s="25"/>
      <c r="D10" s="25"/>
      <c r="E10" s="25"/>
      <c r="F10" s="25"/>
      <c r="G10" s="50">
        <f>SUM((C10+C11+E10+E11)*50)</f>
        <v>0</v>
      </c>
      <c r="H10" s="99" t="s">
        <v>58</v>
      </c>
      <c r="I10" s="49"/>
      <c r="J10" s="49"/>
    </row>
    <row r="11" spans="1:10" x14ac:dyDescent="0.25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 x14ac:dyDescent="0.25">
      <c r="A12" s="20"/>
      <c r="B12" s="51" t="s">
        <v>8</v>
      </c>
      <c r="C12" s="25"/>
      <c r="D12" s="25"/>
      <c r="E12" s="25"/>
      <c r="F12" s="25"/>
      <c r="G12" s="50">
        <f>SUM((C12+C13+E12+E13)*50)</f>
        <v>0</v>
      </c>
      <c r="H12" s="51" t="s">
        <v>59</v>
      </c>
      <c r="I12" s="49"/>
      <c r="J12" s="49"/>
    </row>
    <row r="13" spans="1:10" x14ac:dyDescent="0.25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 x14ac:dyDescent="0.25">
      <c r="A14" s="20"/>
      <c r="B14" s="58" t="s">
        <v>23</v>
      </c>
      <c r="C14" s="25"/>
      <c r="D14" s="25"/>
      <c r="E14" s="25"/>
      <c r="F14" s="25"/>
      <c r="G14" s="50">
        <f>SUM((C14+C15+E14+E15)*10)</f>
        <v>0</v>
      </c>
      <c r="H14" s="54" t="s">
        <v>28</v>
      </c>
      <c r="I14" s="49"/>
      <c r="J14" s="49"/>
    </row>
    <row r="15" spans="1:10" x14ac:dyDescent="0.25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 x14ac:dyDescent="0.25">
      <c r="A16" s="20"/>
      <c r="B16" s="57" t="s">
        <v>48</v>
      </c>
      <c r="C16" s="25"/>
      <c r="D16" s="25"/>
      <c r="E16" s="25"/>
      <c r="F16" s="25"/>
      <c r="G16" s="50">
        <f t="shared" ref="G16" si="0">SUM((C16+C17+E16+E17)*50)</f>
        <v>0</v>
      </c>
      <c r="H16" s="56" t="s">
        <v>29</v>
      </c>
      <c r="I16" s="49"/>
      <c r="J16" s="49"/>
    </row>
    <row r="17" spans="1:10" x14ac:dyDescent="0.25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 x14ac:dyDescent="0.25">
      <c r="A18" s="20"/>
      <c r="B18" s="51" t="s">
        <v>25</v>
      </c>
      <c r="C18" s="25"/>
      <c r="D18" s="25"/>
      <c r="E18" s="25"/>
      <c r="F18" s="25"/>
      <c r="G18" s="50">
        <f>SUM((C18+C19+E18+E19)*50)</f>
        <v>0</v>
      </c>
      <c r="H18" s="67" t="s">
        <v>30</v>
      </c>
      <c r="I18" s="49"/>
      <c r="J18" s="49"/>
    </row>
    <row r="19" spans="1:10" x14ac:dyDescent="0.25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 x14ac:dyDescent="0.25">
      <c r="A20" s="20"/>
      <c r="B20" s="51" t="s">
        <v>26</v>
      </c>
      <c r="C20" s="25"/>
      <c r="D20" s="25"/>
      <c r="E20" s="25"/>
      <c r="F20" s="25"/>
      <c r="G20" s="50">
        <f>SUM((C20+C21+E20+E21)*50)</f>
        <v>0</v>
      </c>
      <c r="H20" s="56" t="s">
        <v>31</v>
      </c>
      <c r="I20" s="49"/>
      <c r="J20" s="49"/>
    </row>
    <row r="21" spans="1:10" x14ac:dyDescent="0.25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 x14ac:dyDescent="0.25">
      <c r="A22" s="20"/>
      <c r="B22" s="51" t="s">
        <v>27</v>
      </c>
      <c r="C22" s="25"/>
      <c r="D22" s="25"/>
      <c r="E22" s="25"/>
      <c r="F22" s="25"/>
      <c r="G22" s="50">
        <f>SUM(((C22+C23+E22+E23)*12.5))</f>
        <v>0</v>
      </c>
      <c r="H22" s="51" t="s">
        <v>32</v>
      </c>
      <c r="I22" s="49"/>
      <c r="J22" s="49"/>
    </row>
    <row r="23" spans="1:10" x14ac:dyDescent="0.25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 x14ac:dyDescent="0.25">
      <c r="A24" s="20"/>
      <c r="B24" s="57" t="s">
        <v>53</v>
      </c>
      <c r="C24" s="25"/>
      <c r="D24" s="25"/>
      <c r="E24" s="25"/>
      <c r="F24" s="25"/>
      <c r="G24" s="50">
        <f>SUM((C24+C25+E24+E25)*40)</f>
        <v>0</v>
      </c>
      <c r="H24" s="54" t="s">
        <v>60</v>
      </c>
      <c r="I24" s="49"/>
      <c r="J24" s="49"/>
    </row>
    <row r="25" spans="1:10" x14ac:dyDescent="0.25">
      <c r="A25" s="22" t="s">
        <v>52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 x14ac:dyDescent="0.25">
      <c r="A26" s="20"/>
      <c r="B26" s="58" t="s">
        <v>54</v>
      </c>
      <c r="C26" s="25"/>
      <c r="D26" s="25"/>
      <c r="E26" s="25"/>
      <c r="F26" s="25"/>
      <c r="G26" s="50">
        <f>SUM((C26+C27+E26+E27)*50)</f>
        <v>0</v>
      </c>
      <c r="H26" s="54" t="s">
        <v>62</v>
      </c>
      <c r="I26" s="49"/>
      <c r="J26" s="49"/>
    </row>
    <row r="27" spans="1:10" x14ac:dyDescent="0.25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 x14ac:dyDescent="0.25">
      <c r="A28" s="20"/>
      <c r="B28" s="51" t="s">
        <v>55</v>
      </c>
      <c r="C28" s="25"/>
      <c r="D28" s="25"/>
      <c r="E28" s="25"/>
      <c r="F28" s="25"/>
      <c r="G28" s="50">
        <f>SUM((C28+C29+E28+E29)*30)</f>
        <v>0</v>
      </c>
      <c r="H28" s="54" t="s">
        <v>61</v>
      </c>
      <c r="I28" s="49"/>
      <c r="J28" s="49"/>
    </row>
    <row r="29" spans="1:10" x14ac:dyDescent="0.25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 x14ac:dyDescent="0.25">
      <c r="A30" s="20"/>
      <c r="B30" s="51" t="s">
        <v>56</v>
      </c>
      <c r="C30" s="25"/>
      <c r="D30" s="25"/>
      <c r="E30" s="25"/>
      <c r="F30" s="25"/>
      <c r="G30" s="50">
        <f>SUM((C30+C31+E30+E31)*50)</f>
        <v>0</v>
      </c>
      <c r="H30" s="54" t="s">
        <v>33</v>
      </c>
      <c r="I30" s="49"/>
      <c r="J30" s="49"/>
    </row>
    <row r="31" spans="1:10" x14ac:dyDescent="0.25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 x14ac:dyDescent="0.25">
      <c r="A32" s="20"/>
      <c r="B32" s="58" t="s">
        <v>49</v>
      </c>
      <c r="C32" s="25"/>
      <c r="D32" s="25"/>
      <c r="E32" s="25"/>
      <c r="F32" s="25"/>
      <c r="G32" s="50">
        <f>SUM((C32+C33+E32+E33)*25)</f>
        <v>0</v>
      </c>
      <c r="H32" s="56" t="s">
        <v>63</v>
      </c>
      <c r="I32" s="49"/>
      <c r="J32" s="49"/>
    </row>
    <row r="33" spans="1:10" x14ac:dyDescent="0.25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 x14ac:dyDescent="0.25">
      <c r="A34" s="20"/>
      <c r="B34" s="51" t="s">
        <v>66</v>
      </c>
      <c r="C34" s="25"/>
      <c r="D34" s="25"/>
      <c r="E34" s="25"/>
      <c r="F34" s="25"/>
      <c r="G34" s="50">
        <f>SUM(((C34+C35+E34+E35)/4)*50)</f>
        <v>0</v>
      </c>
      <c r="H34" s="67" t="s">
        <v>64</v>
      </c>
      <c r="I34" s="49"/>
      <c r="J34" s="49"/>
    </row>
    <row r="35" spans="1:10" x14ac:dyDescent="0.25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 x14ac:dyDescent="0.25">
      <c r="A36" s="20"/>
      <c r="B36" s="51" t="s">
        <v>24</v>
      </c>
      <c r="C36" s="25"/>
      <c r="D36" s="25"/>
      <c r="E36" s="25"/>
      <c r="F36" s="25"/>
      <c r="G36" s="50">
        <f t="shared" ref="G36" si="1">SUM((C36+C37+E36+E37)*50)</f>
        <v>0</v>
      </c>
      <c r="H36" s="51" t="s">
        <v>42</v>
      </c>
      <c r="I36" s="49"/>
      <c r="J36" s="49"/>
    </row>
    <row r="37" spans="1:10" x14ac:dyDescent="0.25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 x14ac:dyDescent="0.25">
      <c r="A38" s="20"/>
      <c r="B38" s="58" t="s">
        <v>50</v>
      </c>
      <c r="C38" s="25"/>
      <c r="D38" s="25"/>
      <c r="E38" s="25"/>
      <c r="F38" s="25"/>
      <c r="G38" s="50">
        <f>SUM((C38+C39+E38+E39)*25)</f>
        <v>0</v>
      </c>
      <c r="H38" s="51" t="s">
        <v>34</v>
      </c>
      <c r="I38" s="49"/>
      <c r="J38" s="49"/>
    </row>
    <row r="39" spans="1:10" x14ac:dyDescent="0.25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 x14ac:dyDescent="0.25">
      <c r="A40" s="20"/>
      <c r="B40" s="60" t="s">
        <v>57</v>
      </c>
      <c r="C40" s="25"/>
      <c r="D40" s="25"/>
      <c r="E40" s="25"/>
      <c r="F40" s="25"/>
      <c r="G40" s="50">
        <f>SUM((C40+C41+E40+E41)*25)</f>
        <v>0</v>
      </c>
      <c r="H40" s="51" t="s">
        <v>33</v>
      </c>
      <c r="I40" s="49"/>
      <c r="J40" s="49"/>
    </row>
    <row r="41" spans="1:10" x14ac:dyDescent="0.25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 x14ac:dyDescent="0.25">
      <c r="A42" s="20"/>
      <c r="B42" s="51" t="s">
        <v>65</v>
      </c>
      <c r="C42" s="25"/>
      <c r="D42" s="25"/>
      <c r="E42" s="25"/>
      <c r="F42" s="25"/>
      <c r="G42" s="50">
        <f>SUM((C42+C43+E42+E43)*1)</f>
        <v>0</v>
      </c>
      <c r="H42" s="51" t="s">
        <v>42</v>
      </c>
      <c r="I42" s="49"/>
      <c r="J42" s="49"/>
    </row>
    <row r="43" spans="1:10" x14ac:dyDescent="0.25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 x14ac:dyDescent="0.25">
      <c r="A44" s="20"/>
      <c r="B44" s="57" t="s">
        <v>43</v>
      </c>
      <c r="C44" s="25"/>
      <c r="D44" s="25"/>
      <c r="E44" s="25"/>
      <c r="F44" s="25"/>
      <c r="G44" s="50">
        <f>SUM((C44+C45+E44+E45)*1)</f>
        <v>0</v>
      </c>
      <c r="H44" s="51" t="s">
        <v>34</v>
      </c>
      <c r="I44" s="49"/>
      <c r="J44" s="49"/>
    </row>
    <row r="45" spans="1:10" x14ac:dyDescent="0.25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 x14ac:dyDescent="0.25">
      <c r="A46" s="20"/>
      <c r="B46" s="57"/>
      <c r="C46" s="25"/>
      <c r="D46" s="25"/>
      <c r="E46" s="25"/>
      <c r="F46" s="25"/>
      <c r="G46" s="50">
        <f t="shared" ref="G46" si="2">SUM((C46+C47+E46+E47)*50)</f>
        <v>0</v>
      </c>
      <c r="H46" s="51" t="s">
        <v>35</v>
      </c>
      <c r="I46" s="49"/>
      <c r="J46" s="49"/>
    </row>
    <row r="47" spans="1:10" x14ac:dyDescent="0.25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 x14ac:dyDescent="0.25">
      <c r="A48" s="20"/>
      <c r="B48" s="57"/>
      <c r="C48" s="25"/>
      <c r="D48" s="25"/>
      <c r="E48" s="25"/>
      <c r="F48" s="25"/>
      <c r="G48" s="50">
        <f t="shared" ref="G48" si="3">SUM((C48+C49+E48+E49)*50)</f>
        <v>0</v>
      </c>
      <c r="H48" s="51" t="s">
        <v>36</v>
      </c>
      <c r="I48" s="49"/>
      <c r="J48" s="49"/>
    </row>
    <row r="49" spans="1:10" x14ac:dyDescent="0.25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 x14ac:dyDescent="0.25">
      <c r="A50" s="20"/>
      <c r="B50" s="58"/>
      <c r="C50" s="25"/>
      <c r="D50" s="25"/>
      <c r="E50" s="25"/>
      <c r="F50" s="25"/>
      <c r="G50" s="50">
        <f t="shared" ref="G50" si="4">SUM((C50+C51+E50+E51)*50)</f>
        <v>0</v>
      </c>
      <c r="H50" s="54" t="s">
        <v>67</v>
      </c>
      <c r="I50" s="49"/>
      <c r="J50" s="49"/>
    </row>
    <row r="51" spans="1:10" x14ac:dyDescent="0.25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 x14ac:dyDescent="0.25">
      <c r="A52" s="20"/>
      <c r="B52" s="58"/>
      <c r="C52" s="25"/>
      <c r="D52" s="25"/>
      <c r="E52" s="25"/>
      <c r="F52" s="25"/>
      <c r="G52" s="50">
        <f t="shared" ref="G52" si="5">SUM((C52+C53+E52+E53)*50)</f>
        <v>0</v>
      </c>
      <c r="H52" s="54" t="s">
        <v>68</v>
      </c>
      <c r="I52" s="53"/>
      <c r="J52" s="49"/>
    </row>
    <row r="53" spans="1:10" x14ac:dyDescent="0.25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 x14ac:dyDescent="0.25">
      <c r="A54" s="20"/>
      <c r="B54" s="58"/>
      <c r="C54" s="25"/>
      <c r="D54" s="25"/>
      <c r="E54" s="25"/>
      <c r="F54" s="25"/>
      <c r="G54" s="50">
        <f t="shared" ref="G54" si="6">SUM((C54+C55+E54+E55)*50)</f>
        <v>0</v>
      </c>
      <c r="H54" s="54"/>
      <c r="I54" s="49"/>
      <c r="J54" s="49"/>
    </row>
    <row r="55" spans="1:10" x14ac:dyDescent="0.25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 x14ac:dyDescent="0.25">
      <c r="A56" s="20"/>
      <c r="B56" s="58"/>
      <c r="C56" s="25"/>
      <c r="D56" s="25"/>
      <c r="E56" s="25"/>
      <c r="F56" s="25"/>
      <c r="G56" s="50">
        <f t="shared" ref="G56" si="7">SUM((C56+C57+E56+E57)*50)</f>
        <v>0</v>
      </c>
      <c r="H56" s="67"/>
      <c r="I56" s="49"/>
      <c r="J56" s="49"/>
    </row>
    <row r="57" spans="1:10" x14ac:dyDescent="0.25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 x14ac:dyDescent="0.25">
      <c r="A58" s="20"/>
      <c r="B58" s="58"/>
      <c r="C58" s="25"/>
      <c r="D58" s="25"/>
      <c r="E58" s="25"/>
      <c r="F58" s="25"/>
      <c r="G58" s="50">
        <f t="shared" ref="G58" si="8">SUM((C58+C59+E58+E59)*50)</f>
        <v>0</v>
      </c>
      <c r="H58" s="56"/>
      <c r="I58" s="53"/>
      <c r="J58" s="49"/>
    </row>
    <row r="59" spans="1:10" ht="15.75" thickBot="1" x14ac:dyDescent="0.3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ht="21" thickBot="1" x14ac:dyDescent="0.3">
      <c r="A60" s="24" t="s">
        <v>51</v>
      </c>
      <c r="B60" s="23">
        <f>SUM(G10:G23,G34:G45)</f>
        <v>0</v>
      </c>
      <c r="C60" s="26" t="s">
        <v>38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0</v>
      </c>
      <c r="E60" s="23" t="s">
        <v>45</v>
      </c>
      <c r="F60" s="23">
        <f t="shared" ref="F60" si="9"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0</v>
      </c>
      <c r="G60" s="27" t="s">
        <v>9</v>
      </c>
      <c r="H60" s="23">
        <f>SUM(G10:G59)</f>
        <v>0</v>
      </c>
      <c r="I60" s="28"/>
    </row>
    <row r="61" spans="1:10" ht="29.25" customHeight="1" thickBot="1" x14ac:dyDescent="0.3">
      <c r="A61" s="61"/>
      <c r="B61" s="62"/>
      <c r="C61" s="63" t="s">
        <v>10</v>
      </c>
      <c r="D61" s="64"/>
      <c r="E61" s="65"/>
      <c r="F61" s="65"/>
      <c r="G61" s="65"/>
      <c r="H61" s="65"/>
      <c r="I61" s="66"/>
    </row>
    <row r="62" spans="1:10" ht="90.75" customHeight="1" thickBot="1" x14ac:dyDescent="0.3">
      <c r="A62" s="6"/>
      <c r="B62" s="8"/>
      <c r="C62" s="77">
        <v>1</v>
      </c>
      <c r="D62" s="68"/>
      <c r="E62" s="68">
        <v>2</v>
      </c>
      <c r="F62" s="69"/>
      <c r="G62" s="41" t="s">
        <v>11</v>
      </c>
      <c r="H62" s="35"/>
      <c r="I62" s="70"/>
    </row>
    <row r="63" spans="1:10" ht="108.95" customHeight="1" x14ac:dyDescent="0.25">
      <c r="A63" s="11" t="s">
        <v>12</v>
      </c>
      <c r="B63" s="12" t="e">
        <f>B60/H60</f>
        <v>#DIV/0!</v>
      </c>
      <c r="C63" s="71"/>
      <c r="D63" s="72"/>
      <c r="E63" s="72"/>
      <c r="F63" s="72"/>
      <c r="G63" s="40" t="s">
        <v>13</v>
      </c>
      <c r="H63" s="7"/>
      <c r="I63" s="70"/>
    </row>
    <row r="64" spans="1:10" ht="119.1" customHeight="1" x14ac:dyDescent="0.25">
      <c r="A64" s="13" t="s">
        <v>14</v>
      </c>
      <c r="B64" s="14" t="e">
        <f>(SUM(G24)/H60)</f>
        <v>#DIV/0!</v>
      </c>
      <c r="C64" s="73"/>
      <c r="D64" s="74"/>
      <c r="E64" s="74"/>
      <c r="F64" s="74"/>
      <c r="G64" s="5" t="s">
        <v>15</v>
      </c>
      <c r="H64" s="4"/>
      <c r="I64" s="70"/>
    </row>
    <row r="65" spans="1:9" ht="45.95" customHeight="1" x14ac:dyDescent="0.25">
      <c r="A65" s="34" t="s">
        <v>41</v>
      </c>
      <c r="B65" s="14" t="e">
        <f>(SUM(G28)/H60)</f>
        <v>#DIV/0!</v>
      </c>
      <c r="C65" s="73"/>
      <c r="D65" s="74"/>
      <c r="E65" s="74"/>
      <c r="F65" s="74"/>
      <c r="G65" s="3" t="s">
        <v>17</v>
      </c>
      <c r="H65" s="4"/>
      <c r="I65" s="70"/>
    </row>
    <row r="66" spans="1:9" ht="47.25" customHeight="1" thickBot="1" x14ac:dyDescent="0.3">
      <c r="A66" s="13" t="s">
        <v>16</v>
      </c>
      <c r="B66" s="14" t="e">
        <f>(SUM(G26)/H60)</f>
        <v>#DIV/0!</v>
      </c>
      <c r="C66" s="73"/>
      <c r="D66" s="74"/>
      <c r="E66" s="74"/>
      <c r="F66" s="74"/>
      <c r="G66" s="38" t="s">
        <v>37</v>
      </c>
      <c r="H66" s="4"/>
      <c r="I66" s="70"/>
    </row>
    <row r="67" spans="1:9" ht="45.75" customHeight="1" thickBot="1" x14ac:dyDescent="0.3">
      <c r="A67" s="36" t="s">
        <v>18</v>
      </c>
      <c r="B67" s="37" t="e">
        <f>(SUM(G32)/H60)</f>
        <v>#DIV/0!</v>
      </c>
      <c r="C67" s="75"/>
      <c r="D67" s="76"/>
      <c r="E67" s="76"/>
      <c r="F67" s="76"/>
      <c r="G67" s="38"/>
      <c r="H67" s="39"/>
      <c r="I67" s="70"/>
    </row>
    <row r="68" spans="1:9" ht="21" x14ac:dyDescent="0.35">
      <c r="A68" s="42" t="s">
        <v>40</v>
      </c>
      <c r="B68" s="43"/>
      <c r="C68" s="44"/>
      <c r="D68" s="44"/>
      <c r="E68" s="44"/>
      <c r="F68" s="44"/>
      <c r="G68" s="44"/>
      <c r="H68" s="44"/>
      <c r="I68" s="45"/>
    </row>
    <row r="69" spans="1:9" ht="43.5" customHeight="1" thickBot="1" x14ac:dyDescent="0.3">
      <c r="A69" s="46"/>
      <c r="B69" s="47"/>
      <c r="C69" s="47"/>
      <c r="D69" s="47"/>
      <c r="E69" s="47"/>
      <c r="F69" s="47"/>
      <c r="G69" s="47"/>
      <c r="H69" s="47"/>
      <c r="I69" s="48"/>
    </row>
  </sheetData>
  <mergeCells count="152"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honeticPr fontId="11" type="noConversion"/>
  <pageMargins left="0.7" right="0.7" top="0.75" bottom="0.75" header="0.3" footer="0.3"/>
  <pageSetup paperSize="3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cp:lastPrinted>2025-02-10T13:33:34Z</cp:lastPrinted>
  <dcterms:created xsi:type="dcterms:W3CDTF">2015-06-05T18:19:34Z</dcterms:created>
  <dcterms:modified xsi:type="dcterms:W3CDTF">2026-03-10T21:06:48Z</dcterms:modified>
</cp:coreProperties>
</file>