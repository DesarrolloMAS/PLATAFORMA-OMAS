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<sst xmlns="http://schemas.openxmlformats.org/spreadsheetml/2006/main" uniqueCount="107">
  <si>
    <t>CONTROL DE MOLIENDA ZONA CENTRO</t>
  </si>
  <si>
    <t>MOLIENDA DE TRIGO Nº</t>
  </si>
  <si>
    <t>Hora Turno1</t>
  </si>
  <si>
    <t>13:50</t>
  </si>
  <si>
    <t>Hora Turno2</t>
  </si>
  <si>
    <t>21:50</t>
  </si>
  <si>
    <t>Hora Turno3</t>
  </si>
  <si>
    <t>05:50</t>
  </si>
  <si>
    <t>FECHA</t>
  </si>
  <si>
    <t>2025-08-04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</si>
  <si>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</si>
  <si>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</si>
  <si>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</si>
  <si>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</si>
  <si>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</si>
  <si>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</si>
  <si>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</si>
  <si>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</si>
  <si>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</si>
  <si>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</si>
  <si>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</si>
  <si>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</si>
  <si>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</si>
  <si>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</si>
  <si>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</si>
  <si>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</si>
  <si>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</si>
  <si>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</si>
  <si>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</si>
  <si>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</si>
  <si>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</si>
  <si>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</si>
  <si>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</si>
  <si>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</si>
  <si>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</si>
  <si>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</si>
  <si>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</si>
  <si>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</si>
  <si>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</si>
  <si>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</si>
  <si>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</si>
  <si>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X25</t>
  </si>
  <si>
    <t>050825B00</t>
  </si>
  <si>
    <t>EMPAQUE MULTI BEIGE X25</t>
  </si>
  <si>
    <t>MP-01722</t>
  </si>
  <si>
    <t>DESARROLLO X1</t>
  </si>
  <si>
    <t>EMPAQUE GALERAS MOG X40</t>
  </si>
  <si>
    <t>MP-01941</t>
  </si>
  <si>
    <t>15287-10-15287-70</t>
  </si>
  <si>
    <t>HARINA ALTA PROTEINA X1</t>
  </si>
  <si>
    <t>030825B</t>
  </si>
  <si>
    <t>EMPAQUE GALERAS SAL X25</t>
  </si>
  <si>
    <t>MP-01784</t>
  </si>
  <si>
    <t>HARINA MEDIA PROTEINA X1</t>
  </si>
  <si>
    <t>EMPAQUE GALERAS SEG X50</t>
  </si>
  <si>
    <t>MP-01806</t>
  </si>
  <si>
    <t>15287-30</t>
  </si>
  <si>
    <t>HARINA BAJA PROTEINA X1</t>
  </si>
  <si>
    <t>040825B</t>
  </si>
  <si>
    <t>VITAMINA</t>
  </si>
  <si>
    <t>MP-01963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</si>
  <si>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</si>
  <si>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</si>
  <si>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</si>
  <si>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</si>
  <si>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</si>
  <si>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</si>
  <si>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15287-40</t>
  </si>
  <si>
    <t>SALVADO X25</t>
  </si>
  <si>
    <t>280725B</t>
  </si>
  <si>
    <t xml:space="preserve">HILO VERDE  </t>
  </si>
  <si>
    <t>MP-01962</t>
  </si>
  <si>
    <t>15287-50</t>
  </si>
  <si>
    <t>MOGOLLA X40</t>
  </si>
  <si>
    <t>HILO NARANJA</t>
  </si>
  <si>
    <t>15287-60</t>
  </si>
  <si>
    <t>SEGUNDA X50</t>
  </si>
  <si>
    <t>EMPAQUE FUERTE EXPORTACION</t>
  </si>
  <si>
    <t>SÉMOLA FINA X25</t>
  </si>
  <si>
    <t>SEMOLA GRUESA X25</t>
  </si>
  <si>
    <t>GERMEN X25</t>
  </si>
  <si>
    <t>220725B</t>
  </si>
  <si>
    <t>TOTAL HARINA</t>
  </si>
  <si>
    <t>TOTAL</t>
  </si>
  <si>
    <t>ENCARGADO TURNO 1</t>
  </si>
  <si>
    <t>EXT. HARINA</t>
  </si>
  <si>
    <t>Antonio</t>
  </si>
  <si>
    <t>Ferney</t>
  </si>
  <si>
    <t>Hernando</t>
  </si>
  <si>
    <t>ENCARGADO TURNO 2</t>
  </si>
  <si>
    <t>EXT. MOGOLLA</t>
  </si>
  <si>
    <t>Ivan</t>
  </si>
  <si>
    <t>Fernando</t>
  </si>
  <si>
    <t>Yolmer</t>
  </si>
  <si>
    <t>ENCARGADO TURNO 3</t>
  </si>
  <si>
    <t>EXT. SALVADO x25</t>
  </si>
  <si>
    <t>John</t>
  </si>
  <si>
    <t>Muguel</t>
  </si>
  <si>
    <t>Luis poloche</t>
  </si>
  <si>
    <t>ALMACENISTA 1</t>
  </si>
  <si>
    <t>EXT. SEGUNDA</t>
  </si>
  <si>
    <t>ALMACENISTA 2</t>
  </si>
  <si>
    <t>Gleimer Paez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</si>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</sst>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26623ce94220400c7ca9262f10426aa.png"/><Relationship Id="rId2" Type="http://schemas.openxmlformats.org/officeDocument/2006/relationships/image" Target="../media/1d02580b8450f550aa6d4bdaa2c53215.png"/><Relationship Id="rId3" Type="http://schemas.openxmlformats.org/officeDocument/2006/relationships/image" Target="../media/cf9d43ee6a6acd3c935d20b7355d83e4.png"/><Relationship Id="rId4" Type="http://schemas.openxmlformats.org/officeDocument/2006/relationships/image" Target="../media/fc02d542b863d6c94bce174ce8a7d1ea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192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192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288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1322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>
        <v>200</v>
      </c>
      <c r="H29" s="21" t="s">
        <v>42</v>
      </c>
      <c r="I29" s="70" t="e">
        <f>SUM((C29+C30+E29+E30+G29+G30)*50)</f>
        <v>#VALUE!</v>
      </c>
      <c r="J29" s="66" t="s">
        <v>43</v>
      </c>
      <c r="K29" s="64" t="s">
        <v>44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45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46</v>
      </c>
      <c r="K31" s="64" t="s">
        <v>47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48</v>
      </c>
      <c r="B33" s="55" t="s">
        <v>49</v>
      </c>
      <c r="C33" s="34">
        <v>29092</v>
      </c>
      <c r="D33" s="21" t="s">
        <v>50</v>
      </c>
      <c r="E33" s="21">
        <v>29056</v>
      </c>
      <c r="F33" s="21" t="s">
        <v>50</v>
      </c>
      <c r="G33" s="21">
        <v>16000</v>
      </c>
      <c r="H33" s="21" t="s">
        <v>50</v>
      </c>
      <c r="I33" s="70" t="e">
        <f>SUM((C33+C34+E33+E34+G33+G34)*1)</f>
        <v>#VALUE!</v>
      </c>
      <c r="J33" s="66" t="s">
        <v>51</v>
      </c>
      <c r="K33" s="64" t="s">
        <v>52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53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54</v>
      </c>
      <c r="K35" s="64" t="s">
        <v>55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56</v>
      </c>
      <c r="B37" s="55" t="s">
        <v>57</v>
      </c>
      <c r="C37" s="34">
        <v>24816</v>
      </c>
      <c r="D37" s="21" t="s">
        <v>58</v>
      </c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67</v>
      </c>
      <c r="B45" s="71" t="s">
        <v>68</v>
      </c>
      <c r="C45" s="34">
        <v>98</v>
      </c>
      <c r="D45" s="21" t="s">
        <v>69</v>
      </c>
      <c r="E45" s="21">
        <v>62</v>
      </c>
      <c r="F45" s="21" t="s">
        <v>69</v>
      </c>
      <c r="G45" s="21">
        <v>30</v>
      </c>
      <c r="H45" s="21" t="s">
        <v>69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260</v>
      </c>
      <c r="D47" s="21" t="s">
        <v>69</v>
      </c>
      <c r="E47" s="21">
        <v>117</v>
      </c>
      <c r="F47" s="21" t="s">
        <v>69</v>
      </c>
      <c r="G47" s="21">
        <v>127</v>
      </c>
      <c r="H47" s="21" t="s">
        <v>69</v>
      </c>
      <c r="I47" s="65" t="e">
        <f>SUM((C47+C48+E47+E48+G47+G48)*40)</f>
        <v>#VALUE!</v>
      </c>
      <c r="J47" s="66" t="s">
        <v>74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75</v>
      </c>
      <c r="B49" s="71" t="s">
        <v>76</v>
      </c>
      <c r="C49" s="34">
        <v>18</v>
      </c>
      <c r="D49" s="21" t="s">
        <v>69</v>
      </c>
      <c r="E49" s="21">
        <v>109</v>
      </c>
      <c r="F49" s="21" t="s">
        <v>69</v>
      </c>
      <c r="G49" s="21">
        <v>42</v>
      </c>
      <c r="H49" s="21" t="s">
        <v>69</v>
      </c>
      <c r="I49" s="65" t="e">
        <f>SUM((C49+C50+E49+E50+G49+G50)*50)</f>
        <v>#VALUE!</v>
      </c>
      <c r="J49" s="66" t="s">
        <v>77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78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 t="s">
        <v>75</v>
      </c>
      <c r="B55" s="79" t="s">
        <v>80</v>
      </c>
      <c r="C55" s="34"/>
      <c r="D55" s="21"/>
      <c r="E55" s="21"/>
      <c r="F55" s="21"/>
      <c r="G55" s="21">
        <v>1</v>
      </c>
      <c r="H55" s="21" t="s">
        <v>81</v>
      </c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84</v>
      </c>
      <c r="J61" s="48"/>
      <c r="K61" s="84"/>
    </row>
    <row r="62" spans="1:13" customHeight="1" ht="109">
      <c r="A62" s="11" t="s">
        <v>85</v>
      </c>
      <c r="B62" s="12" t="e">
        <f>B59/J59</f>
        <v>#VALUE!</v>
      </c>
      <c r="C62" s="85" t="s">
        <v>86</v>
      </c>
      <c r="D62" s="86"/>
      <c r="E62" s="86" t="s">
        <v>87</v>
      </c>
      <c r="F62" s="86"/>
      <c r="G62" s="86" t="s">
        <v>88</v>
      </c>
      <c r="H62" s="86"/>
      <c r="I62" s="50" t="s">
        <v>89</v>
      </c>
      <c r="J62" s="7"/>
      <c r="K62" s="84"/>
    </row>
    <row r="63" spans="1:13" customHeight="1" ht="119">
      <c r="A63" s="13" t="s">
        <v>90</v>
      </c>
      <c r="B63" s="14" t="e">
        <f>(SUM(I47)/J59)</f>
        <v>#VALUE!</v>
      </c>
      <c r="C63" s="87" t="s">
        <v>91</v>
      </c>
      <c r="D63" s="88"/>
      <c r="E63" s="88" t="s">
        <v>92</v>
      </c>
      <c r="F63" s="88"/>
      <c r="G63" s="88" t="s">
        <v>93</v>
      </c>
      <c r="H63" s="88"/>
      <c r="I63" s="5" t="s">
        <v>94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95</v>
      </c>
      <c r="B64" s="14" t="e">
        <f>(SUM(I45)/J59)</f>
        <v>#VALUE!</v>
      </c>
      <c r="C64" s="87" t="s">
        <v>96</v>
      </c>
      <c r="D64" s="88"/>
      <c r="E64" s="88" t="s">
        <v>97</v>
      </c>
      <c r="F64" s="88"/>
      <c r="G64" s="88" t="s">
        <v>98</v>
      </c>
      <c r="H64" s="88"/>
      <c r="I64" s="5" t="s">
        <v>99</v>
      </c>
      <c r="J64" s="4" t="s">
        <v>11</v>
      </c>
      <c r="K64" s="84"/>
    </row>
    <row r="65" spans="1:13" customHeight="1" ht="47.25">
      <c r="A65" s="13" t="s">
        <v>100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101</v>
      </c>
      <c r="J65" s="4" t="s">
        <v>102</v>
      </c>
      <c r="K65" s="84"/>
    </row>
    <row r="66" spans="1:13" customHeight="1" ht="45.75">
      <c r="A66" s="51" t="s">
        <v>103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104</v>
      </c>
      <c r="J66" s="54"/>
      <c r="K66" s="84"/>
    </row>
    <row r="67" spans="1:13" customHeight="1" ht="45.75">
      <c r="A67" s="46" t="s">
        <v>105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106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