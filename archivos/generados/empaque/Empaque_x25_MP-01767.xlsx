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<sst xmlns="http://schemas.openxmlformats.org/spreadsheetml/2006/main" uniqueCount="38">
  <si>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</si>
  <si>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</si>
  <si>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</si>
  <si>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</si>
  <si>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</si>
  <si>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</si>
  <si>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</si>
  <si>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</si>
  <si>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</si>
  <si>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REFERENCIA</t>
  </si>
  <si>
    <t>LOTE INTERNO</t>
  </si>
  <si>
    <t>MP-01767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</si>
  <si>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</si>
  <si>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</si>
  <si>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</si>
  <si>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</si>
  <si>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</si>
  <si>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</si>
  <si>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</si>
  <si>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</si>
  <si>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</si>
  <si>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</si>
  <si>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</si>
  <si>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</si>
  <si>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</si>
  <si>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</si>
  <si>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</si>
  <si>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</si>
  <si>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</si>
  <si>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</si>
  <si>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</si>
  <si>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</si>
  <si>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2025-07-16</t>
  </si>
  <si>
    <t>GLEIMER</t>
  </si>
  <si>
    <t xml:space="preserve">EXTRAPAN X 25 </t>
  </si>
  <si>
    <t>160725B</t>
  </si>
  <si>
    <t>NO</t>
  </si>
  <si>
    <t>JUVENAL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</si>
</sst>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/>
      <c r="D5" s="19"/>
      <c r="E5" s="19"/>
      <c r="F5" s="26" t="s">
        <v>9</v>
      </c>
      <c r="G5" s="27"/>
      <c r="H5" s="28"/>
      <c r="I5" s="29"/>
      <c r="J5" s="29"/>
      <c r="K5" s="30"/>
      <c r="L5" s="5" t="s">
        <v>10</v>
      </c>
      <c r="M5" s="6"/>
      <c r="N5" s="6"/>
      <c r="O5" s="4" t="s">
        <v>11</v>
      </c>
    </row>
    <row r="6" spans="1:15" customHeight="1" ht="15">
      <c r="A6" s="43" t="s">
        <v>12</v>
      </c>
      <c r="B6" s="44"/>
      <c r="C6" s="23"/>
      <c r="D6" s="23"/>
      <c r="E6" s="23"/>
      <c r="F6" s="44" t="s">
        <v>13</v>
      </c>
      <c r="G6" s="44"/>
      <c r="H6" s="23"/>
      <c r="I6" s="23"/>
      <c r="J6" s="23"/>
      <c r="K6" s="23"/>
      <c r="L6" s="7" t="s">
        <v>14</v>
      </c>
      <c r="M6" s="8"/>
      <c r="N6" s="8"/>
      <c r="O6" s="9">
        <v>500</v>
      </c>
    </row>
    <row r="7" spans="1:15" customHeight="1" ht="14.45">
      <c r="A7" s="45" t="s">
        <v>15</v>
      </c>
      <c r="B7" s="47" t="s">
        <v>16</v>
      </c>
      <c r="C7" s="49" t="s">
        <v>17</v>
      </c>
      <c r="D7" s="50"/>
      <c r="E7" s="47" t="s">
        <v>18</v>
      </c>
      <c r="F7" s="47"/>
      <c r="G7" s="39" t="s">
        <v>19</v>
      </c>
      <c r="H7" s="39" t="s">
        <v>20</v>
      </c>
      <c r="I7" s="39" t="s">
        <v>21</v>
      </c>
      <c r="J7" s="39" t="s">
        <v>22</v>
      </c>
      <c r="K7" s="39"/>
      <c r="L7" s="39"/>
      <c r="M7" s="39" t="s">
        <v>23</v>
      </c>
      <c r="N7" s="39"/>
      <c r="O7" s="53" t="s">
        <v>24</v>
      </c>
    </row>
    <row r="8" spans="1:15" customHeight="1" ht="28.5">
      <c r="A8" s="46"/>
      <c r="B8" s="48"/>
      <c r="C8" s="51"/>
      <c r="D8" s="52"/>
      <c r="E8" s="15" t="s">
        <v>25</v>
      </c>
      <c r="F8" s="16" t="s">
        <v>26</v>
      </c>
      <c r="G8" s="40"/>
      <c r="H8" s="40"/>
      <c r="I8" s="40"/>
      <c r="J8" s="17" t="s">
        <v>27</v>
      </c>
      <c r="K8" s="17" t="s">
        <v>28</v>
      </c>
      <c r="L8" s="16" t="s">
        <v>29</v>
      </c>
      <c r="M8" s="16" t="s">
        <v>30</v>
      </c>
      <c r="N8" s="16" t="s">
        <v>31</v>
      </c>
      <c r="O8" s="54"/>
    </row>
    <row r="9" spans="1:15" customHeight="1" ht="29.1">
      <c r="A9" s="10" t="s">
        <v>32</v>
      </c>
      <c r="B9" s="2" t="s">
        <v>33</v>
      </c>
      <c r="C9" s="19" t="s">
        <v>34</v>
      </c>
      <c r="D9" s="19"/>
      <c r="E9" s="2" t="s">
        <v>35</v>
      </c>
      <c r="F9" s="2">
        <v>16072026</v>
      </c>
      <c r="G9" s="2" t="s">
        <v>36</v>
      </c>
      <c r="H9" s="2" t="s">
        <v>32</v>
      </c>
      <c r="I9" s="2" t="s">
        <v>37</v>
      </c>
      <c r="J9" s="2">
        <v>500</v>
      </c>
      <c r="K9" s="2">
        <v>0</v>
      </c>
      <c r="L9" s="2">
        <v>500</v>
      </c>
      <c r="M9" s="2">
        <v>0</v>
      </c>
      <c r="N9" s="2">
        <v>0</v>
      </c>
      <c r="O9" s="4">
        <v>-500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 t="e">
        <f>O9-L10</f>
        <v>#VALUE!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 t="e">
        <f>O10-L11</f>
        <v>#VALUE!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 t="e">
        <f>O11-L12</f>
        <v>#VALUE!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 t="e">
        <f>O12-L13</f>
        <v>#VALUE!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 t="e">
        <f>O13-L14</f>
        <v>#VALUE!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 t="e">
        <f>O14-L15</f>
        <v>#VALUE!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 t="e">
        <f>O15-L16</f>
        <v>#VALUE!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 t="e">
        <f>O16-L17</f>
        <v>#VALUE!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 t="e">
        <f>O17-L18</f>
        <v>#VALUE!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 t="e">
        <f>O18-L19</f>
        <v>#VALUE!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 t="e">
        <f>O19-L20</f>
        <v>#VALUE!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-500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-500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-500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-500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-500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-500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-500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-500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-500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-500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-500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-500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-500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-500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