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<sst xmlns="http://schemas.openxmlformats.org/spreadsheetml/2006/main" uniqueCount="100">
  <si>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</si>
  <si>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</si>
  <si>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</si>
  <si>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</si>
  <si>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</si>
  <si>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07:10</t>
  </si>
  <si>
    <t>FECHA</t>
  </si>
  <si>
    <t>2025-07-23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</si>
  <si>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</si>
  <si>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</si>
  <si>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</si>
  <si>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</si>
  <si>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</si>
  <si>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</si>
  <si>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</si>
  <si>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</si>
  <si>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</si>
  <si>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</si>
  <si>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</si>
  <si>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</si>
  <si>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220725P</t>
  </si>
  <si>
    <t>EMPAQUE EXTRA PAN  (60X100) X50</t>
  </si>
  <si>
    <t>MP-01921</t>
  </si>
  <si>
    <t>230725P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</si>
  <si>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</si>
  <si>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</si>
  <si>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</si>
  <si>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</si>
  <si>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</si>
  <si>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</si>
  <si>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</si>
  <si>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</si>
  <si>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210725P</t>
  </si>
  <si>
    <t>LAMINA NARIÑO (CUARTO) 2500GR</t>
  </si>
  <si>
    <t>MP-01935</t>
  </si>
  <si>
    <t>HARINA DE TRIGO NARIÑO X1000GR</t>
  </si>
  <si>
    <t xml:space="preserve">LAMINA NARIÑO (KILO) </t>
  </si>
  <si>
    <t>MP-01936</t>
  </si>
  <si>
    <t>HARINA DE TRIGO NARIÑO X500GR</t>
  </si>
  <si>
    <t>170725P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</si>
  <si>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</si>
  <si>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</si>
  <si>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</si>
  <si>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</si>
  <si>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</si>
  <si>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</si>
  <si>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</si>
  <si>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</si>
  <si>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</si>
  <si>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</si>
  <si>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</si>
  <si>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</si>
  <si>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</si>
  <si>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</si>
  <si>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</si>
  <si>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</si>
  <si>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</si>
  <si>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</si>
  <si>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</si>
  <si>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</si>
  <si>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</si>
  <si>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</si>
  <si>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</si>
  <si>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</si>
  <si>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MP01907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</si>
  <si>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</si>
  <si>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</si>
  <si>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</si>
  <si>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</si>
  <si>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</si>
  <si>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</si>
  <si>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</si>
  <si>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</si>
  <si>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</si>
  <si>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</si>
  <si>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</si>
  <si>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</si>
  <si>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</si>
  <si>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</si>
  <si>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</si>
  <si>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</si>
  <si>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Riascos</t>
  </si>
  <si>
    <t>ENCARGADO TURNO 2</t>
  </si>
  <si>
    <t>EXT. MOGOLLA</t>
  </si>
  <si>
    <t>Brayan Rosales</t>
  </si>
  <si>
    <t>Efrain Chachinoy</t>
  </si>
  <si>
    <t>ALMACENISTA 1</t>
  </si>
  <si>
    <t>Jorge Lara</t>
  </si>
  <si>
    <t>EXT.SALVADO X30</t>
  </si>
  <si>
    <t>Edison Paz</t>
  </si>
  <si>
    <t xml:space="preserve">Marcial diaz </t>
  </si>
  <si>
    <t>ALMACENISTA 2</t>
  </si>
  <si>
    <t>EXT. SEGUNDA</t>
  </si>
  <si>
    <t>Luis Criollo</t>
  </si>
  <si>
    <t>William Burgos</t>
  </si>
  <si>
    <t>COORDINADOR DE OPERACIONES</t>
  </si>
  <si>
    <t>EXT. GERMEN</t>
  </si>
  <si>
    <t>Robin tonguino</t>
  </si>
  <si>
    <t>Neider Tobar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</si>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</sst>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99faafbe9160c721e9b68b3aad273d3.png"/><Relationship Id="rId2" Type="http://schemas.openxmlformats.org/officeDocument/2006/relationships/image" Target="../media/35ff5c653f20f2d446dfea55fffaaba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28" sqref="C28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920</v>
      </c>
      <c r="F10" s="25" t="s">
        <v>20</v>
      </c>
      <c r="G10" s="46">
        <f>SUM((C10+C11+E10+E11)*50)</f>
        <v>60000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280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200</v>
      </c>
      <c r="D18" s="25" t="s">
        <v>32</v>
      </c>
      <c r="E18" s="25"/>
      <c r="F18" s="25"/>
      <c r="G18" s="46" t="e">
        <f>SUM((C18+C19+E18+E19)*50)</f>
        <v>#VALUE!</v>
      </c>
      <c r="H18" s="45" t="s">
        <v>33</v>
      </c>
      <c r="I18" s="42" t="s">
        <v>34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35</v>
      </c>
      <c r="C20" s="25">
        <v>100</v>
      </c>
      <c r="D20" s="25" t="s">
        <v>20</v>
      </c>
      <c r="E20" s="25"/>
      <c r="F20" s="25"/>
      <c r="G20" s="46" t="e">
        <f>SUM((C20+C21+E20+E21)*50)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1500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270</v>
      </c>
      <c r="F24" s="25" t="s">
        <v>43</v>
      </c>
      <c r="G24" s="46">
        <f>SUM((C24+C25+E24+E25)*40)</f>
        <v>10800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60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420</v>
      </c>
      <c r="F28" s="25" t="s">
        <v>43</v>
      </c>
      <c r="G28" s="46">
        <f>SUM((C28+C29+E28+E29)*30)</f>
        <v>12600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>
        <v>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 t="s">
        <v>58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32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(((C10+C11)*50)+((C12+C13)*50)+((C14+C15)*10)+((C18+C19)*50)+((C20+C21)*50)+(((C22+C23)/4)*50)+((C24+C25)*40)+((C26+C27)*50)+((C28+C29)*30)+((C30+C31)*50)+((C32+C33)*25)+(((C34+C35)/4)*50)+((C36+C37)*50)+((C38+C39)*25)+((C40+C41)*25)+(C42+C43)+((C16+C17)*50)+((C44+C45)*1))</f>
        <v>33750</v>
      </c>
      <c r="E60" s="23" t="s">
        <v>75</v>
      </c>
      <c r="F60" s="23" t="e">
        <f>(((E10+E11)*50)+((E12+E13)*50)+((E14+E15)*10)+((E18+E19)*50)+((E20+E21)*50)+(((E22+E23)/4)*50)+((E24+E25)*40)+((E26+E27)*50)+((E28+E29)*30)+((E30+E31)*50)+((E32+E33)*25)+(((E34+E35)/4)*50)+((E36+E37)*50)+((E38+E39)*25)+((E40+E41)*25)+(E42+E43)+((E16+E17)*50)+((E44+E45)*1))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2025-07-23T17:33:26+00:00</dcterms:modified>
  <dc:title/>
  <dc:description/>
  <dc:subject/>
  <cp:keywords/>
  <cp:category/>
</cp:coreProperties>
</file>