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<sst xmlns="http://schemas.openxmlformats.org/spreadsheetml/2006/main" uniqueCount="103">
  <si>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SUR</t>
  </si>
  <si>
    <t>MOLIENDA DE TRIGO Nº</t>
  </si>
  <si>
    <t>Hora Turno1</t>
  </si>
  <si>
    <t>14:57</t>
  </si>
  <si>
    <t>Hora Turno2</t>
  </si>
  <si>
    <t>07:10</t>
  </si>
  <si>
    <t>FECHA</t>
  </si>
  <si>
    <t>2025-07-30</t>
  </si>
  <si>
    <t>Responsable</t>
  </si>
  <si>
    <t>Javier Acosta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</si>
  <si>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</si>
  <si>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</si>
  <si>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</si>
  <si>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</si>
  <si>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</si>
  <si>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</si>
  <si>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</si>
  <si>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</si>
  <si>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</si>
  <si>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</si>
  <si>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290725P</t>
  </si>
  <si>
    <t>EMPAQUE EXTRA PAN  (60X100) X50</t>
  </si>
  <si>
    <t>MP-01921</t>
  </si>
  <si>
    <t>ARTESANAL X50</t>
  </si>
  <si>
    <t>EMPAQUE GALERAS ROJO (60X100) X50</t>
  </si>
  <si>
    <t>ARTESANAL X10</t>
  </si>
  <si>
    <t>280725P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</si>
  <si>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</si>
  <si>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</si>
  <si>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</si>
  <si>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</si>
  <si>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</si>
  <si>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LAMINA NARIÑO (CUARTO) 2500GR</t>
  </si>
  <si>
    <t xml:space="preserve">MP01935 (90 ) MP-1959 (40) </t>
  </si>
  <si>
    <t>HARINA DE TRIGO NARIÑO X1000GR</t>
  </si>
  <si>
    <t>240725P</t>
  </si>
  <si>
    <t xml:space="preserve">LAMINA NARIÑO (KILO) </t>
  </si>
  <si>
    <t>MP-01936</t>
  </si>
  <si>
    <t>HARINA DE TRIGO NARIÑO X500GR</t>
  </si>
  <si>
    <t>LAMINA NARIÑO (LIBRA)</t>
  </si>
  <si>
    <t>MP-01961</t>
  </si>
  <si>
    <t>SUB MOGOLLA X 40</t>
  </si>
  <si>
    <t>070725P</t>
  </si>
  <si>
    <t>EMPAQUE GALERAS MOGOLLA (60X115) X 40</t>
  </si>
  <si>
    <t>MP-01855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</si>
  <si>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</si>
  <si>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</si>
  <si>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</si>
  <si>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</si>
  <si>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</si>
  <si>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</si>
  <si>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</si>
  <si>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</si>
  <si>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</si>
  <si>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</si>
  <si>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MP-1726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</si>
  <si>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</si>
  <si>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</si>
  <si>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</si>
  <si>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</si>
  <si>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</si>
  <si>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</si>
  <si>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</si>
  <si>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</si>
  <si>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MP01907</t>
  </si>
  <si>
    <t>HARINA INTEGRAL X25 KG</t>
  </si>
  <si>
    <t xml:space="preserve">MUESTRAS DE HARINA </t>
  </si>
  <si>
    <t>MUESTRAS ESPECIALES</t>
  </si>
  <si>
    <t>ETIQUETA ADHESIVA DE TRANSFERENCIA</t>
  </si>
  <si>
    <t>(Verde) MP-00258</t>
  </si>
  <si>
    <t>VITAMINA (Dec. 1944)</t>
  </si>
  <si>
    <t>MP-01985</t>
  </si>
  <si>
    <t xml:space="preserve">MEJORANTE ARTESANAL </t>
  </si>
  <si>
    <t>140725P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</si>
  <si>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</si>
  <si>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</si>
  <si>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</si>
  <si>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</si>
  <si>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</si>
  <si>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</si>
  <si>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</si>
  <si>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</si>
  <si>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carlosama</t>
  </si>
  <si>
    <t>Jhon popayan</t>
  </si>
  <si>
    <t>ENCARGADO TURNO 2</t>
  </si>
  <si>
    <t>EXT. MOGOLLA</t>
  </si>
  <si>
    <t xml:space="preserve">Brayan rosales </t>
  </si>
  <si>
    <t>Fredi naspiran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</si>
  <si>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</si>
  <si>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</si>
  <si>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</si>
  <si>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</si>
  <si>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</si>
  <si>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</si>
  <si>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</si>
  <si>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William Burgos</t>
  </si>
  <si>
    <t>Miguel coral</t>
  </si>
  <si>
    <t>COORDINADOR DE OPERACIONES</t>
  </si>
  <si>
    <t>EXT. GERMEN</t>
  </si>
  <si>
    <t>0.00%</t>
  </si>
  <si>
    <t>Luis criollo</t>
  </si>
  <si>
    <t>Miguel tumbaco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</si>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</sst>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374e5d926e3c6119cabeb7a9189833.png"/><Relationship Id="rId2" Type="http://schemas.openxmlformats.org/officeDocument/2006/relationships/image" Target="../media/94e0f28a3c50426c1380087fa38feeea.png"/><Relationship Id="rId3" Type="http://schemas.openxmlformats.org/officeDocument/2006/relationships/image" Target="../media/4630e4c19773b07f51c3ba111de2c72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5"/>
  <sheetViews>
    <sheetView tabSelected="1" workbookViewId="0" zoomScale="80" zoomScaleNormal="80" showGridLines="true" showRowColHeaders="1" topLeftCell="A20">
      <selection activeCell="B66" sqref="B66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9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>
        <v>52000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>
        <v>0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>
        <v>280</v>
      </c>
      <c r="D14" s="25" t="s">
        <v>26</v>
      </c>
      <c r="E14" s="25"/>
      <c r="F14" s="25"/>
      <c r="G14" s="46">
        <v>14000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>
        <v>0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130</v>
      </c>
      <c r="D18" s="25" t="s">
        <v>26</v>
      </c>
      <c r="E18" s="25"/>
      <c r="F18" s="25"/>
      <c r="G18" s="46">
        <v>325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80</v>
      </c>
      <c r="D20" s="25" t="s">
        <v>35</v>
      </c>
      <c r="E20" s="25"/>
      <c r="F20" s="25"/>
      <c r="G20" s="46">
        <v>150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>
        <v>70</v>
      </c>
      <c r="D21" s="29" t="s">
        <v>20</v>
      </c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600</v>
      </c>
      <c r="D22" s="25" t="s">
        <v>35</v>
      </c>
      <c r="E22" s="25"/>
      <c r="F22" s="25"/>
      <c r="G22" s="46">
        <v>300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270</v>
      </c>
      <c r="F24" s="25" t="s">
        <v>42</v>
      </c>
      <c r="G24" s="46">
        <v>10800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55</v>
      </c>
      <c r="F26" s="25" t="s">
        <v>42</v>
      </c>
      <c r="G26" s="46">
        <v>2750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405</v>
      </c>
      <c r="F28" s="25" t="s">
        <v>42</v>
      </c>
      <c r="G28" s="46">
        <v>12150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v>0</v>
      </c>
      <c r="H30" s="49" t="s">
        <v>52</v>
      </c>
      <c r="I30" s="42">
        <v>0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53</v>
      </c>
      <c r="C32" s="25"/>
      <c r="D32" s="25"/>
      <c r="E32" s="25"/>
      <c r="F32" s="25"/>
      <c r="G32" s="46">
        <v>0</v>
      </c>
      <c r="H32" s="48" t="s">
        <v>54</v>
      </c>
      <c r="I32" s="42">
        <v>0</v>
      </c>
      <c r="J32" s="42" t="s">
        <v>55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>
        <v>0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>
        <v>0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>
        <v>50</v>
      </c>
      <c r="F38" s="25" t="s">
        <v>20</v>
      </c>
      <c r="G38" s="46">
        <v>1250</v>
      </c>
      <c r="H38" s="43" t="s">
        <v>63</v>
      </c>
      <c r="I38" s="42">
        <v>0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>
        <v>0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v>0</v>
      </c>
      <c r="H46" s="43" t="s">
        <v>68</v>
      </c>
      <c r="I46" s="42">
        <v>0</v>
      </c>
      <c r="J46" s="42" t="s">
        <v>69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>
        <v>0</v>
      </c>
      <c r="H48" s="43" t="s">
        <v>70</v>
      </c>
      <c r="I48" s="42" t="s">
        <v>71</v>
      </c>
      <c r="J48" s="42" t="s">
        <v>71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v>0</v>
      </c>
      <c r="H50" s="49" t="s">
        <v>72</v>
      </c>
      <c r="I50" s="42" t="s">
        <v>73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v>0</v>
      </c>
      <c r="H52" s="49" t="s">
        <v>74</v>
      </c>
      <c r="I52" s="101">
        <v>0</v>
      </c>
      <c r="J52" s="42" t="s">
        <v>26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75</v>
      </c>
      <c r="B60" s="23">
        <v>54025</v>
      </c>
      <c r="C60" s="26" t="s">
        <v>76</v>
      </c>
      <c r="D60" s="23">
        <v>775</v>
      </c>
      <c r="E60" s="23" t="s">
        <v>77</v>
      </c>
      <c r="F60" s="23">
        <v>78950</v>
      </c>
      <c r="G60" s="27" t="s">
        <v>78</v>
      </c>
      <c r="H60" s="23">
        <v>79725</v>
      </c>
      <c r="I60" s="28"/>
    </row>
    <row r="61" spans="1:10" customHeight="1" ht="29.25">
      <c r="A61" s="95"/>
      <c r="B61" s="96"/>
      <c r="C61" s="97" t="s">
        <v>79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80</v>
      </c>
      <c r="H62" s="35"/>
      <c r="I62" s="87"/>
    </row>
    <row r="63" spans="1:10" customHeight="1" ht="108.95">
      <c r="A63" s="11" t="s">
        <v>81</v>
      </c>
      <c r="B63" s="12">
        <f>B60/H60</f>
        <v>0.67764189401066</v>
      </c>
      <c r="C63" s="88" t="s">
        <v>82</v>
      </c>
      <c r="D63" s="89"/>
      <c r="E63" s="89" t="s">
        <v>83</v>
      </c>
      <c r="F63" s="89"/>
      <c r="G63" s="40" t="s">
        <v>84</v>
      </c>
      <c r="H63" s="7"/>
      <c r="I63" s="87"/>
    </row>
    <row r="64" spans="1:10" customHeight="1" ht="119.1">
      <c r="A64" s="13" t="s">
        <v>85</v>
      </c>
      <c r="B64" s="14">
        <f>(SUM(G24)/H60)</f>
        <v>0.13546566321731</v>
      </c>
      <c r="C64" s="90" t="s">
        <v>86</v>
      </c>
      <c r="D64" s="91"/>
      <c r="E64" s="91" t="s">
        <v>87</v>
      </c>
      <c r="F64" s="91"/>
      <c r="G64" s="5" t="s">
        <v>88</v>
      </c>
      <c r="H64" s="4" t="s">
        <v>89</v>
      </c>
      <c r="I64" s="87"/>
    </row>
    <row r="65" spans="1:10" customHeight="1" ht="45.95">
      <c r="A65" s="34" t="s">
        <v>90</v>
      </c>
      <c r="B65" s="14">
        <f>(SUM(G28)/H60)</f>
        <v>0.15239887111947</v>
      </c>
      <c r="C65" s="90" t="s">
        <v>91</v>
      </c>
      <c r="D65" s="91"/>
      <c r="E65" s="91" t="s">
        <v>92</v>
      </c>
      <c r="F65" s="91"/>
      <c r="G65" s="3" t="s">
        <v>93</v>
      </c>
      <c r="H65" s="4" t="s">
        <v>89</v>
      </c>
      <c r="I65" s="87"/>
    </row>
    <row r="66" spans="1:10" customHeight="1" ht="47.25">
      <c r="A66" s="13" t="s">
        <v>94</v>
      </c>
      <c r="B66" s="14">
        <f>(SUM(G26)/H60)</f>
        <v>0.034493571652556</v>
      </c>
      <c r="C66" s="90" t="s">
        <v>95</v>
      </c>
      <c r="D66" s="91"/>
      <c r="E66" s="91" t="s">
        <v>96</v>
      </c>
      <c r="F66" s="91"/>
      <c r="G66" s="38" t="s">
        <v>97</v>
      </c>
      <c r="H66" s="4"/>
      <c r="I66" s="87"/>
    </row>
    <row r="67" spans="1:10" customHeight="1" ht="45.75">
      <c r="A67" s="36" t="s">
        <v>98</v>
      </c>
      <c r="B67" s="37" t="s">
        <v>99</v>
      </c>
      <c r="C67" s="92" t="s">
        <v>100</v>
      </c>
      <c r="D67" s="93"/>
      <c r="E67" s="93" t="s">
        <v>101</v>
      </c>
      <c r="F67" s="93"/>
      <c r="G67" s="38"/>
      <c r="H67" s="39"/>
      <c r="I67" s="87"/>
    </row>
    <row r="68" spans="1:10" customHeight="1" ht="21">
      <c r="A68" s="103" t="s">
        <v>102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