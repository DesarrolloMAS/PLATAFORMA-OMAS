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<sst xmlns="http://schemas.openxmlformats.org/spreadsheetml/2006/main" uniqueCount="105">
  <si>
    <t>CONTROL DE MOLIENDA ZONA SUR</t>
  </si>
  <si>
    <t>MOLIENDA DE TRIGO Nº</t>
  </si>
  <si>
    <t>Hora Turno1</t>
  </si>
  <si>
    <t>07:00</t>
  </si>
  <si>
    <t>Hora Turno2</t>
  </si>
  <si>
    <t>FECHA</t>
  </si>
  <si>
    <t>2025-07-31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</si>
  <si>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</si>
  <si>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</si>
  <si>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</si>
  <si>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</si>
  <si>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</si>
  <si>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</si>
  <si>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</si>
  <si>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</si>
  <si>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</si>
  <si>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</si>
  <si>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</si>
  <si>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</si>
  <si>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300725P</t>
  </si>
  <si>
    <t>EMPAQUE EXTRA PAN  (60X100) X50</t>
  </si>
  <si>
    <t>MP-01921</t>
  </si>
  <si>
    <t>ARTESANAL X50</t>
  </si>
  <si>
    <t>EMPAQUE GALERAS ROJO (60X100) X50</t>
  </si>
  <si>
    <t>(1021) MP-01920. (29) MP-01954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</si>
  <si>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</si>
  <si>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</si>
  <si>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</si>
  <si>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</si>
  <si>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</si>
  <si>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</si>
  <si>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280725P</t>
  </si>
  <si>
    <t>LAMINA NARIÑO (CUARTO) 2500GR</t>
  </si>
  <si>
    <t>MP-01959</t>
  </si>
  <si>
    <t>HARINA DE TRIGO NARIÑO X1000GR</t>
  </si>
  <si>
    <t>290725P</t>
  </si>
  <si>
    <t xml:space="preserve">LAMINA NARIÑO (KILO) </t>
  </si>
  <si>
    <t>MP-01936</t>
  </si>
  <si>
    <t>HARINA DE TRIGO NARIÑO X500GR</t>
  </si>
  <si>
    <t>240725P</t>
  </si>
  <si>
    <t>LAMINA NARIÑO (LIBRA)</t>
  </si>
  <si>
    <t>MP-01961</t>
  </si>
  <si>
    <t>SUB MOGOLLA X 40</t>
  </si>
  <si>
    <t>070725P</t>
  </si>
  <si>
    <t>EMPAQUE GALERAS MOGOLLA (60X115) X 40</t>
  </si>
  <si>
    <t>MP-01855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</si>
  <si>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</si>
  <si>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</si>
  <si>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</si>
  <si>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</si>
  <si>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</si>
  <si>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</si>
  <si>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</si>
  <si>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</si>
  <si>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MP-01933</t>
  </si>
  <si>
    <t>GERMEN DE TRIGO X 25 KG</t>
  </si>
  <si>
    <t>210725P</t>
  </si>
  <si>
    <t>EMPAQUE GALERAS GALERAS MULTI BEIGE (50X80) X25</t>
  </si>
  <si>
    <t>MP-01726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</si>
  <si>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</si>
  <si>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</si>
  <si>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</si>
  <si>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</si>
  <si>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</si>
  <si>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</si>
  <si>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</si>
  <si>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</si>
  <si>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MP-01907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</si>
  <si>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</si>
  <si>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</si>
  <si>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</si>
  <si>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</si>
  <si>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</si>
  <si>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</si>
  <si>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MP-01985</t>
  </si>
  <si>
    <t xml:space="preserve">MEJORANTE ARTESANAL </t>
  </si>
  <si>
    <t>140725P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</si>
  <si>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</si>
  <si>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</si>
  <si>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</si>
  <si>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</si>
  <si>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</si>
  <si>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</si>
  <si>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</si>
  <si>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</si>
  <si>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</si>
  <si>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</si>
  <si>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</si>
  <si>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</si>
  <si>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</si>
  <si>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</si>
  <si>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</si>
  <si>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</si>
  <si>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</si>
  <si>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</si>
  <si>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</si>
  <si>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</si>
  <si>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</si>
  <si>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</si>
  <si>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</si>
  <si>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</si>
  <si>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</si>
  <si>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>Robin tonguino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</si>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</sst>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bb4e8b52ce76713c3461caaf4a34d3.png"/><Relationship Id="rId2" Type="http://schemas.openxmlformats.org/officeDocument/2006/relationships/image" Target="../media/f43ee3a52061d08b8856fef26f3fd1a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10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3</v>
      </c>
      <c r="J6" s="19"/>
    </row>
    <row r="7" spans="1:10" customHeight="1" ht="15.75">
      <c r="A7" s="54"/>
      <c r="B7" s="46"/>
      <c r="C7" s="55"/>
      <c r="D7" s="9"/>
      <c r="E7" s="21"/>
      <c r="F7" s="1" t="s">
        <v>5</v>
      </c>
      <c r="G7" s="68" t="s">
        <v>6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7</v>
      </c>
      <c r="G8" s="74"/>
      <c r="H8" s="75" t="s">
        <v>8</v>
      </c>
      <c r="I8" s="76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70" t="s">
        <v>18</v>
      </c>
      <c r="C10" s="25"/>
      <c r="D10" s="25"/>
      <c r="E10" s="25">
        <v>1032</v>
      </c>
      <c r="F10" s="25" t="s">
        <v>19</v>
      </c>
      <c r="G10" s="46" t="e">
        <f>SUM((C10+C11+E10+E11)*50)</f>
        <v>#VALUE!</v>
      </c>
      <c r="H10" s="72" t="s">
        <v>20</v>
      </c>
      <c r="I10" s="42">
        <v>0</v>
      </c>
      <c r="J10" s="42" t="s">
        <v>21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22</v>
      </c>
      <c r="C12" s="25"/>
      <c r="D12" s="25"/>
      <c r="E12" s="25"/>
      <c r="F12" s="25"/>
      <c r="G12" s="46" t="e">
        <f>SUM((C12+C13+E12+E13)*50)</f>
        <v>#VALUE!</v>
      </c>
      <c r="H12" s="43" t="s">
        <v>23</v>
      </c>
      <c r="I12" s="42" t="s">
        <v>24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228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166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678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232</v>
      </c>
      <c r="F24" s="25" t="s">
        <v>43</v>
      </c>
      <c r="G24" s="46">
        <f>SUM((C24+C25+E24+E25)*40)</f>
        <v>9280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63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400</v>
      </c>
      <c r="F28" s="25" t="s">
        <v>43</v>
      </c>
      <c r="G28" s="46">
        <f>SUM((C28+C29+E28+E29)*30)</f>
        <v>12000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>
        <v>20</v>
      </c>
      <c r="F32" s="25" t="s">
        <v>56</v>
      </c>
      <c r="G32" s="46" t="e">
        <f>SUM((C32+C33+E32+E33)*25)</f>
        <v>#VALUE!</v>
      </c>
      <c r="H32" s="48" t="s">
        <v>57</v>
      </c>
      <c r="I32" s="42">
        <v>0</v>
      </c>
      <c r="J32" s="42" t="s">
        <v>58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59</v>
      </c>
      <c r="C34" s="25"/>
      <c r="D34" s="25"/>
      <c r="E34" s="25"/>
      <c r="F34" s="25"/>
      <c r="G34" s="46" t="e">
        <f>SUM(((C34+C35+E34+E35)/4)*50)</f>
        <v>#VALUE!</v>
      </c>
      <c r="H34" s="45" t="s">
        <v>60</v>
      </c>
      <c r="I34" s="42" t="s">
        <v>61</v>
      </c>
      <c r="J34" s="42" t="s">
        <v>61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62</v>
      </c>
      <c r="C36" s="25"/>
      <c r="D36" s="25"/>
      <c r="E36" s="25"/>
      <c r="F36" s="25"/>
      <c r="G36" s="46" t="e">
        <f>SUM((C36+C37+E36+E37)*50)</f>
        <v>#VALUE!</v>
      </c>
      <c r="H36" s="43" t="s">
        <v>63</v>
      </c>
      <c r="I36" s="42" t="s">
        <v>64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65</v>
      </c>
      <c r="C38" s="25"/>
      <c r="D38" s="25"/>
      <c r="E38" s="25"/>
      <c r="F38" s="25"/>
      <c r="G38" s="46" t="e">
        <f>SUM((C38+C39+E38+E39)*25)</f>
        <v>#VALUE!</v>
      </c>
      <c r="H38" s="43" t="s">
        <v>66</v>
      </c>
      <c r="I38" s="42">
        <v>0</v>
      </c>
      <c r="J38" s="42" t="s">
        <v>67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68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69</v>
      </c>
      <c r="C42" s="25"/>
      <c r="D42" s="25"/>
      <c r="E42" s="25"/>
      <c r="F42" s="25"/>
      <c r="G42" s="46">
        <f>SUM((C42+C43+E42+E43)*1)</f>
        <v>0</v>
      </c>
      <c r="H42" s="43" t="s">
        <v>63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70</v>
      </c>
      <c r="C44" s="25"/>
      <c r="D44" s="25"/>
      <c r="E44" s="25"/>
      <c r="F44" s="25"/>
      <c r="G44" s="46">
        <f>SUM((C44+C45+E44+E45)*1)</f>
        <v>0</v>
      </c>
      <c r="H44" s="43" t="s">
        <v>66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71</v>
      </c>
      <c r="I46" s="42">
        <v>0</v>
      </c>
      <c r="J46" s="42" t="s">
        <v>72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73</v>
      </c>
      <c r="I48" s="42" t="s">
        <v>74</v>
      </c>
      <c r="J48" s="42" t="s">
        <v>74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75</v>
      </c>
      <c r="I50" s="42" t="s">
        <v>76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77</v>
      </c>
      <c r="I52" s="101">
        <v>0</v>
      </c>
      <c r="J52" s="42" t="s">
        <v>56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78</v>
      </c>
      <c r="B60" s="23" t="e">
        <f>SUM(G10:G23,G34:G45)</f>
        <v>#VALUE!</v>
      </c>
      <c r="C60" s="26" t="s">
        <v>79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1075</v>
      </c>
      <c r="E60" s="23" t="s">
        <v>80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81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82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83</v>
      </c>
      <c r="H62" s="35"/>
      <c r="I62" s="87"/>
    </row>
    <row r="63" spans="1:10" customHeight="1" ht="108.95">
      <c r="A63" s="11" t="s">
        <v>84</v>
      </c>
      <c r="B63" s="12" t="e">
        <f>B60/H60</f>
        <v>#VALUE!</v>
      </c>
      <c r="C63" s="88" t="s">
        <v>85</v>
      </c>
      <c r="D63" s="89"/>
      <c r="E63" s="89" t="s">
        <v>86</v>
      </c>
      <c r="F63" s="89"/>
      <c r="G63" s="40" t="s">
        <v>87</v>
      </c>
      <c r="H63" s="7"/>
      <c r="I63" s="87"/>
    </row>
    <row r="64" spans="1:10" customHeight="1" ht="119.1">
      <c r="A64" s="13" t="s">
        <v>88</v>
      </c>
      <c r="B64" s="14" t="e">
        <f>(SUM(G24)/H60)</f>
        <v>#VALUE!</v>
      </c>
      <c r="C64" s="90" t="s">
        <v>89</v>
      </c>
      <c r="D64" s="91"/>
      <c r="E64" s="91" t="s">
        <v>90</v>
      </c>
      <c r="F64" s="91"/>
      <c r="G64" s="5" t="s">
        <v>91</v>
      </c>
      <c r="H64" s="4" t="s">
        <v>92</v>
      </c>
      <c r="I64" s="87"/>
    </row>
    <row r="65" spans="1:10" customHeight="1" ht="45.95">
      <c r="A65" s="34" t="s">
        <v>93</v>
      </c>
      <c r="B65" s="14" t="e">
        <f>(SUM(G28)/H60)</f>
        <v>#VALUE!</v>
      </c>
      <c r="C65" s="90" t="s">
        <v>94</v>
      </c>
      <c r="D65" s="91"/>
      <c r="E65" s="91" t="s">
        <v>95</v>
      </c>
      <c r="F65" s="91"/>
      <c r="G65" s="3" t="s">
        <v>96</v>
      </c>
      <c r="H65" s="4" t="s">
        <v>92</v>
      </c>
      <c r="I65" s="87"/>
    </row>
    <row r="66" spans="1:10" customHeight="1" ht="47.25">
      <c r="A66" s="13" t="s">
        <v>97</v>
      </c>
      <c r="B66" s="14" t="e">
        <f>(SUM(G26)/H60)</f>
        <v>#VALUE!</v>
      </c>
      <c r="C66" s="90" t="s">
        <v>98</v>
      </c>
      <c r="D66" s="91"/>
      <c r="E66" s="91" t="s">
        <v>99</v>
      </c>
      <c r="F66" s="91"/>
      <c r="G66" s="38" t="s">
        <v>100</v>
      </c>
      <c r="H66" s="4"/>
      <c r="I66" s="87"/>
    </row>
    <row r="67" spans="1:10" customHeight="1" ht="45.75">
      <c r="A67" s="36" t="s">
        <v>101</v>
      </c>
      <c r="B67" s="37" t="e">
        <f>(SUM(G32)/H60)</f>
        <v>#VALUE!</v>
      </c>
      <c r="C67" s="92" t="s">
        <v>102</v>
      </c>
      <c r="D67" s="93"/>
      <c r="E67" s="93" t="s">
        <v>103</v>
      </c>
      <c r="F67" s="93"/>
      <c r="G67" s="38"/>
      <c r="H67" s="39"/>
      <c r="I67" s="87"/>
    </row>
    <row r="68" spans="1:10" customHeight="1" ht="21">
      <c r="A68" s="103" t="s">
        <v>104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